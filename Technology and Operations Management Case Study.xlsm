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8_{CEFAA0E4-A9A9-454F-BBFA-C62A4901E41F}" xr6:coauthVersionLast="47" xr6:coauthVersionMax="47" xr10:uidLastSave="{00000000-0000-0000-0000-000000000000}"/>
  <bookViews>
    <workbookView xWindow="0" yWindow="500" windowWidth="28800" windowHeight="17500" firstSheet="24" activeTab="32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31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66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  <sheet name="S22 Required Machine Hours" sheetId="73" r:id="rId22"/>
    <sheet name="S23 Available Working Hours" sheetId="74" r:id="rId23"/>
    <sheet name="S24 Required # of Machines" sheetId="75" r:id="rId24"/>
    <sheet name="S25 Space Coefficient" sheetId="76" r:id="rId25"/>
    <sheet name="S26 Space Requirements" sheetId="77" r:id="rId26"/>
    <sheet name="S27 Material Flow Matrix" sheetId="79" r:id="rId27"/>
    <sheet name="S28 Transportation Matrix" sheetId="80" r:id="rId28"/>
    <sheet name="S29 Distances Matrix" sheetId="81" r:id="rId29"/>
    <sheet name="S30 Transport Intensity Matrix" sheetId="82" r:id="rId30"/>
    <sheet name="S31 Draft Block Layout" sheetId="83" r:id="rId31"/>
    <sheet name="S32 MTM Motion Elements" sheetId="85" r:id="rId32"/>
    <sheet name="S33 Required # Operators" sheetId="84" r:id="rId33"/>
  </sheets>
  <functionGroups builtInGroupCount="19"/>
  <externalReferences>
    <externalReference r:id="rId34"/>
    <externalReference r:id="rId35"/>
    <externalReference r:id="rId36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8" hidden="1">'S09 BOM'!$A$6:$X$6</definedName>
    <definedName name="_xlnm._FilterDatabase" localSheetId="11" hidden="1">'S12 Operations'!$A$1:$H$534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 localSheetId="24">'[2]S03 Location Prioritization'!$AF$2:$AF$3</definedName>
    <definedName name="MakeBuy" localSheetId="25">'[2]S03 Location Prioritization'!$AF$2:$AF$3</definedName>
    <definedName name="MakeBuy" localSheetId="26">'[3]S03 Location Prioritization'!$AF$2:$AF$3</definedName>
    <definedName name="MakeBuy" localSheetId="27">'[3]S03 Location Prioritization'!$AF$2:$AF$3</definedName>
    <definedName name="MakeBuy" localSheetId="28">'[3]S03 Location Prioritization'!$AF$2:$AF$3</definedName>
    <definedName name="MakeBuy" localSheetId="29">'[3]S03 Location Prioritization'!$AF$2:$AF$3</definedName>
    <definedName name="MakeBuy">'S03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 localSheetId="20">#REF!</definedName>
    <definedName name="names" localSheetId="21">#REF!</definedName>
    <definedName name="names" localSheetId="22">#REF!</definedName>
    <definedName name="names" localSheetId="23">#REF!</definedName>
    <definedName name="names" localSheetId="24">#REF!</definedName>
    <definedName name="names" localSheetId="25">#REF!</definedName>
    <definedName name="names" localSheetId="26">#REF!</definedName>
    <definedName name="names" localSheetId="27">#REF!</definedName>
    <definedName name="names" localSheetId="28">#REF!</definedName>
    <definedName name="names" localSheetId="29">#REF!</definedName>
    <definedName name="names">#REF!</definedName>
    <definedName name="POWER_USER_EXCEL_CHART_10DFB4BD_AB64_459D_93F7_2E1E56295722" localSheetId="26">#REF!</definedName>
    <definedName name="POWER_USER_EXCEL_CHART_10DFB4BD_AB64_459D_93F7_2E1E56295722" localSheetId="27">#REF!</definedName>
    <definedName name="POWER_USER_EXCEL_CHART_10DFB4BD_AB64_459D_93F7_2E1E56295722" localSheetId="28">#REF!</definedName>
    <definedName name="POWER_USER_EXCEL_CHART_10DFB4BD_AB64_459D_93F7_2E1E56295722" localSheetId="29">#REF!</definedName>
    <definedName name="POWER_USER_EXCEL_CHART_10DFB4BD_AB64_459D_93F7_2E1E56295722">#REF!</definedName>
    <definedName name="POWER_USER_EXCEL_CHART_3FCF8CDC_1C82_4800_BC09_6A7624F588B1" localSheetId="26">#REF!</definedName>
    <definedName name="POWER_USER_EXCEL_CHART_3FCF8CDC_1C82_4800_BC09_6A7624F588B1" localSheetId="27">#REF!</definedName>
    <definedName name="POWER_USER_EXCEL_CHART_3FCF8CDC_1C82_4800_BC09_6A7624F588B1" localSheetId="28">#REF!</definedName>
    <definedName name="POWER_USER_EXCEL_CHART_3FCF8CDC_1C82_4800_BC09_6A7624F588B1" localSheetId="29">#REF!</definedName>
    <definedName name="POWER_USER_EXCEL_CHART_3FCF8CDC_1C82_4800_BC09_6A7624F588B1">#REF!</definedName>
    <definedName name="POWER_USER_EXCEL_CHART_BE703BC9_692D_48AA_9DA7_CA336198B98D" localSheetId="26">#REF!</definedName>
    <definedName name="POWER_USER_EXCEL_CHART_BE703BC9_692D_48AA_9DA7_CA336198B98D" localSheetId="27">#REF!</definedName>
    <definedName name="POWER_USER_EXCEL_CHART_BE703BC9_692D_48AA_9DA7_CA336198B98D" localSheetId="28">#REF!</definedName>
    <definedName name="POWER_USER_EXCEL_CHART_BE703BC9_692D_48AA_9DA7_CA336198B98D" localSheetId="29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29" i="84" l="1"/>
  <c r="AR4" i="84" a="1"/>
  <c r="AR4" i="84"/>
  <c r="AR5" i="84" a="1"/>
  <c r="AR5" i="84" s="1"/>
  <c r="AR6" i="84" a="1"/>
  <c r="AR6" i="84" s="1"/>
  <c r="AR7" i="84" a="1"/>
  <c r="AR7" i="84"/>
  <c r="AR8" i="84" a="1"/>
  <c r="AR8" i="84" s="1"/>
  <c r="AR9" i="84" a="1"/>
  <c r="AR9" i="84" s="1"/>
  <c r="AR10" i="84" a="1"/>
  <c r="AR10" i="84" s="1"/>
  <c r="AR11" i="84" a="1"/>
  <c r="AR11" i="84"/>
  <c r="AR12" i="84" a="1"/>
  <c r="AR12" i="84" s="1"/>
  <c r="AR13" i="84" a="1"/>
  <c r="AR13" i="84" s="1"/>
  <c r="AR14" i="84" a="1"/>
  <c r="AR14" i="84" s="1"/>
  <c r="AR15" i="84" a="1"/>
  <c r="AR15" i="84"/>
  <c r="AR16" i="84" a="1"/>
  <c r="AR16" i="84" s="1"/>
  <c r="AR17" i="84" a="1"/>
  <c r="AR17" i="84" s="1"/>
  <c r="AR18" i="84" a="1"/>
  <c r="AR18" i="84" s="1"/>
  <c r="AR19" i="84" a="1"/>
  <c r="AR19" i="84"/>
  <c r="AR20" i="84" a="1"/>
  <c r="AR20" i="84" s="1"/>
  <c r="AR21" i="84" a="1"/>
  <c r="AR21" i="84" s="1"/>
  <c r="AR22" i="84" a="1"/>
  <c r="AR22" i="84" s="1"/>
  <c r="AR23" i="84" a="1"/>
  <c r="AR23" i="84"/>
  <c r="AR24" i="84" a="1"/>
  <c r="AR24" i="84" s="1"/>
  <c r="AR25" i="84" a="1"/>
  <c r="AR25" i="84" s="1"/>
  <c r="AR26" i="84" a="1"/>
  <c r="AR26" i="84" s="1"/>
  <c r="AR27" i="84" a="1"/>
  <c r="AR27" i="84"/>
  <c r="AR28" i="84" a="1"/>
  <c r="AR28" i="84" s="1"/>
  <c r="AR3" i="84" a="1"/>
  <c r="AR3" i="84" s="1"/>
  <c r="AQ4" i="84"/>
  <c r="AQ5" i="84"/>
  <c r="AQ6" i="84"/>
  <c r="AQ7" i="84"/>
  <c r="AQ8" i="84"/>
  <c r="AQ9" i="84"/>
  <c r="AQ10" i="84"/>
  <c r="AQ11" i="84"/>
  <c r="AQ12" i="84"/>
  <c r="AQ13" i="84"/>
  <c r="AQ14" i="84"/>
  <c r="AQ15" i="84"/>
  <c r="AQ16" i="84"/>
  <c r="AQ17" i="84"/>
  <c r="AQ18" i="84"/>
  <c r="AQ19" i="84"/>
  <c r="AQ20" i="84"/>
  <c r="AQ21" i="84"/>
  <c r="AQ22" i="84"/>
  <c r="AQ23" i="84"/>
  <c r="AQ24" i="84"/>
  <c r="AQ25" i="84"/>
  <c r="AQ26" i="84"/>
  <c r="AQ27" i="84"/>
  <c r="AQ28" i="84"/>
  <c r="AQ3" i="84"/>
  <c r="AP4" i="84"/>
  <c r="AP5" i="84"/>
  <c r="AP6" i="84"/>
  <c r="AP7" i="84"/>
  <c r="AP8" i="84"/>
  <c r="AP9" i="84"/>
  <c r="AP10" i="84"/>
  <c r="AP11" i="84"/>
  <c r="AP12" i="84"/>
  <c r="AP13" i="84"/>
  <c r="AP14" i="84"/>
  <c r="AP15" i="84"/>
  <c r="AP16" i="84"/>
  <c r="AP17" i="84"/>
  <c r="AP18" i="84"/>
  <c r="AP19" i="84"/>
  <c r="AP20" i="84"/>
  <c r="AP21" i="84"/>
  <c r="AP22" i="84"/>
  <c r="AP23" i="84"/>
  <c r="AP24" i="84"/>
  <c r="AP25" i="84"/>
  <c r="AP26" i="84"/>
  <c r="AP27" i="84"/>
  <c r="AP28" i="84"/>
  <c r="AP3" i="84"/>
  <c r="AO4" i="84"/>
  <c r="AO5" i="84"/>
  <c r="AO6" i="84"/>
  <c r="AO7" i="84"/>
  <c r="AO8" i="84"/>
  <c r="AO9" i="84"/>
  <c r="AO10" i="84"/>
  <c r="AO11" i="84"/>
  <c r="AO12" i="84"/>
  <c r="AO13" i="84"/>
  <c r="AO14" i="84"/>
  <c r="AO15" i="84"/>
  <c r="AO16" i="84"/>
  <c r="AO17" i="84"/>
  <c r="AO18" i="84"/>
  <c r="AO19" i="84"/>
  <c r="AO20" i="84"/>
  <c r="AO21" i="84"/>
  <c r="AO22" i="84"/>
  <c r="AO23" i="84"/>
  <c r="AO24" i="84"/>
  <c r="AO25" i="84"/>
  <c r="AO26" i="84"/>
  <c r="AO27" i="84"/>
  <c r="AO28" i="84"/>
  <c r="AO3" i="84"/>
  <c r="AN4" i="84"/>
  <c r="AN5" i="84"/>
  <c r="AN6" i="84"/>
  <c r="AN7" i="84"/>
  <c r="AN8" i="84"/>
  <c r="AN9" i="84"/>
  <c r="AN10" i="84"/>
  <c r="AN11" i="84"/>
  <c r="AN12" i="84"/>
  <c r="AN13" i="84"/>
  <c r="AN14" i="84"/>
  <c r="AN15" i="84"/>
  <c r="AN16" i="84"/>
  <c r="AN17" i="84"/>
  <c r="AN18" i="84"/>
  <c r="AN19" i="84"/>
  <c r="AN20" i="84"/>
  <c r="AN21" i="84"/>
  <c r="AN22" i="84"/>
  <c r="AN23" i="84"/>
  <c r="AN24" i="84"/>
  <c r="AN25" i="84"/>
  <c r="AN26" i="84"/>
  <c r="AN27" i="84"/>
  <c r="AN28" i="84"/>
  <c r="AN3" i="84"/>
  <c r="AL4" i="84"/>
  <c r="AL5" i="84"/>
  <c r="AL6" i="84"/>
  <c r="AL7" i="84"/>
  <c r="AL8" i="84"/>
  <c r="AL9" i="84"/>
  <c r="AL10" i="84"/>
  <c r="AL11" i="84"/>
  <c r="AM11" i="84" s="1"/>
  <c r="AL12" i="84"/>
  <c r="AL13" i="84"/>
  <c r="AL14" i="84"/>
  <c r="AL15" i="84"/>
  <c r="AL16" i="84"/>
  <c r="AL17" i="84"/>
  <c r="AL18" i="84"/>
  <c r="AL19" i="84"/>
  <c r="AM19" i="84" s="1"/>
  <c r="AL20" i="84"/>
  <c r="AL21" i="84"/>
  <c r="AL22" i="84"/>
  <c r="AL23" i="84"/>
  <c r="AL24" i="84"/>
  <c r="AM24" i="84" s="1"/>
  <c r="AL25" i="84"/>
  <c r="AL26" i="84"/>
  <c r="AL27" i="84"/>
  <c r="AM27" i="84" s="1"/>
  <c r="AL28" i="84"/>
  <c r="AL3" i="84"/>
  <c r="AM3" i="84" s="1"/>
  <c r="AM4" i="84"/>
  <c r="AM5" i="84"/>
  <c r="AM6" i="84"/>
  <c r="AM7" i="84"/>
  <c r="AM8" i="84"/>
  <c r="AM9" i="84"/>
  <c r="AM10" i="84"/>
  <c r="AM12" i="84"/>
  <c r="AM13" i="84"/>
  <c r="AM14" i="84"/>
  <c r="AM15" i="84"/>
  <c r="AM16" i="84"/>
  <c r="AM17" i="84"/>
  <c r="AM18" i="84"/>
  <c r="AM20" i="84"/>
  <c r="AM21" i="84"/>
  <c r="AM22" i="84"/>
  <c r="AM23" i="84"/>
  <c r="AM25" i="84"/>
  <c r="AM26" i="84"/>
  <c r="AM28" i="84"/>
  <c r="AK4" i="84"/>
  <c r="AK5" i="84"/>
  <c r="AK6" i="84"/>
  <c r="AK7" i="84"/>
  <c r="AK8" i="84"/>
  <c r="AK9" i="84"/>
  <c r="AK10" i="84"/>
  <c r="AK11" i="84"/>
  <c r="AK12" i="84"/>
  <c r="AK13" i="84"/>
  <c r="AK14" i="84"/>
  <c r="AK15" i="84"/>
  <c r="AK16" i="84"/>
  <c r="AK17" i="84"/>
  <c r="AK18" i="84"/>
  <c r="AK19" i="84"/>
  <c r="AK20" i="84"/>
  <c r="AK21" i="84"/>
  <c r="AK22" i="84"/>
  <c r="AK23" i="84"/>
  <c r="AK24" i="84"/>
  <c r="AK25" i="84"/>
  <c r="AK26" i="84"/>
  <c r="AK27" i="84"/>
  <c r="AK28" i="84"/>
  <c r="AK3" i="84"/>
  <c r="AG4" i="84"/>
  <c r="AG5" i="84"/>
  <c r="AG6" i="84"/>
  <c r="AG7" i="84"/>
  <c r="AG8" i="84"/>
  <c r="AG9" i="84"/>
  <c r="AG10" i="84"/>
  <c r="AG11" i="84"/>
  <c r="AG12" i="84"/>
  <c r="AG13" i="84"/>
  <c r="AG14" i="84"/>
  <c r="AG15" i="84"/>
  <c r="AG16" i="84"/>
  <c r="AG17" i="84"/>
  <c r="AG18" i="84"/>
  <c r="AG19" i="84"/>
  <c r="AG20" i="84"/>
  <c r="AG21" i="84"/>
  <c r="AG22" i="84"/>
  <c r="AG23" i="84"/>
  <c r="AG24" i="84"/>
  <c r="AG25" i="84"/>
  <c r="AG26" i="84"/>
  <c r="AG27" i="84"/>
  <c r="AG28" i="84"/>
  <c r="AG3" i="84"/>
  <c r="AF4" i="84"/>
  <c r="AF5" i="84"/>
  <c r="AF6" i="84"/>
  <c r="AF7" i="84"/>
  <c r="AF8" i="84"/>
  <c r="AF9" i="84"/>
  <c r="AF10" i="84"/>
  <c r="AF11" i="84"/>
  <c r="AF12" i="84"/>
  <c r="AF13" i="84"/>
  <c r="AF14" i="84"/>
  <c r="AF15" i="84"/>
  <c r="AF16" i="84"/>
  <c r="AF17" i="84"/>
  <c r="AF18" i="84"/>
  <c r="AF19" i="84"/>
  <c r="AF20" i="84"/>
  <c r="AF21" i="84"/>
  <c r="AF22" i="84"/>
  <c r="AF23" i="84"/>
  <c r="AF24" i="84"/>
  <c r="AF25" i="84"/>
  <c r="AF26" i="84"/>
  <c r="AF27" i="84"/>
  <c r="AF28" i="84"/>
  <c r="AF3" i="84"/>
  <c r="AE4" i="84"/>
  <c r="AE5" i="84"/>
  <c r="AE6" i="84"/>
  <c r="AE7" i="84"/>
  <c r="AE8" i="84"/>
  <c r="AE9" i="84"/>
  <c r="AE10" i="84"/>
  <c r="AE11" i="84"/>
  <c r="AE12" i="84"/>
  <c r="AE13" i="84"/>
  <c r="AE14" i="84"/>
  <c r="AE15" i="84"/>
  <c r="AE16" i="84"/>
  <c r="AE17" i="84"/>
  <c r="AE18" i="84"/>
  <c r="AE19" i="84"/>
  <c r="AE20" i="84"/>
  <c r="AE21" i="84"/>
  <c r="AE22" i="84"/>
  <c r="AE23" i="84"/>
  <c r="AE24" i="84"/>
  <c r="AE25" i="84"/>
  <c r="AE26" i="84"/>
  <c r="AE27" i="84"/>
  <c r="AE28" i="84"/>
  <c r="AE3" i="84"/>
  <c r="AA4" i="84"/>
  <c r="AA5" i="84"/>
  <c r="AA6" i="84"/>
  <c r="AA7" i="84"/>
  <c r="AA8" i="84"/>
  <c r="AA9" i="84"/>
  <c r="AA10" i="84"/>
  <c r="AA11" i="84"/>
  <c r="AA12" i="84"/>
  <c r="AA13" i="84"/>
  <c r="AA14" i="84"/>
  <c r="AA15" i="84"/>
  <c r="AA16" i="84"/>
  <c r="AA17" i="84"/>
  <c r="AA18" i="84"/>
  <c r="AA19" i="84"/>
  <c r="AA20" i="84"/>
  <c r="AA21" i="84"/>
  <c r="AA22" i="84"/>
  <c r="AA23" i="84"/>
  <c r="AA24" i="84"/>
  <c r="AA25" i="84"/>
  <c r="AA26" i="84"/>
  <c r="AA27" i="84"/>
  <c r="AA28" i="84"/>
  <c r="AA3" i="84"/>
  <c r="X4" i="84"/>
  <c r="X5" i="84"/>
  <c r="X6" i="84"/>
  <c r="X7" i="84"/>
  <c r="X8" i="84"/>
  <c r="X9" i="84"/>
  <c r="X10" i="84"/>
  <c r="X11" i="84"/>
  <c r="X12" i="84"/>
  <c r="X13" i="84"/>
  <c r="X14" i="84"/>
  <c r="X15" i="84"/>
  <c r="X16" i="84"/>
  <c r="X17" i="84"/>
  <c r="X18" i="84"/>
  <c r="X19" i="84"/>
  <c r="X20" i="84"/>
  <c r="X21" i="84"/>
  <c r="X22" i="84"/>
  <c r="X23" i="84"/>
  <c r="X24" i="84"/>
  <c r="X25" i="84"/>
  <c r="X26" i="84"/>
  <c r="X27" i="84"/>
  <c r="X28" i="84"/>
  <c r="X3" i="84"/>
  <c r="T4" i="84"/>
  <c r="T5" i="84"/>
  <c r="T6" i="84"/>
  <c r="T7" i="84"/>
  <c r="T8" i="84"/>
  <c r="T9" i="84"/>
  <c r="T10" i="84"/>
  <c r="T11" i="84"/>
  <c r="T12" i="84"/>
  <c r="T13" i="84"/>
  <c r="T14" i="84"/>
  <c r="T15" i="84"/>
  <c r="T16" i="84"/>
  <c r="T17" i="84"/>
  <c r="T18" i="84"/>
  <c r="T19" i="84"/>
  <c r="T20" i="84"/>
  <c r="T21" i="84"/>
  <c r="T22" i="84"/>
  <c r="T23" i="84"/>
  <c r="T24" i="84"/>
  <c r="T25" i="84"/>
  <c r="T26" i="84"/>
  <c r="T27" i="84"/>
  <c r="T28" i="84"/>
  <c r="T3" i="84"/>
  <c r="Q4" i="84" a="1"/>
  <c r="Q4" i="84" s="1"/>
  <c r="Q5" i="84" a="1"/>
  <c r="Q5" i="84" s="1"/>
  <c r="Q6" i="84" a="1"/>
  <c r="Q6" i="84" s="1"/>
  <c r="Q7" i="84" a="1"/>
  <c r="Q7" i="84" s="1"/>
  <c r="Q8" i="84" a="1"/>
  <c r="Q8" i="84" s="1"/>
  <c r="Q9" i="84" a="1"/>
  <c r="Q9" i="84" s="1"/>
  <c r="Q10" i="84" a="1"/>
  <c r="Q10" i="84" s="1"/>
  <c r="Q11" i="84" a="1"/>
  <c r="Q11" i="84" s="1"/>
  <c r="Q12" i="84" a="1"/>
  <c r="Q12" i="84" s="1"/>
  <c r="Q13" i="84" a="1"/>
  <c r="Q13" i="84" s="1"/>
  <c r="Q14" i="84" a="1"/>
  <c r="Q14" i="84"/>
  <c r="Q15" i="84" a="1"/>
  <c r="Q15" i="84" s="1"/>
  <c r="Q16" i="84" a="1"/>
  <c r="Q16" i="84" s="1"/>
  <c r="Q17" i="84" a="1"/>
  <c r="Q17" i="84" s="1"/>
  <c r="Q18" i="84" a="1"/>
  <c r="Q18" i="84" s="1"/>
  <c r="Q19" i="84" a="1"/>
  <c r="Q19" i="84" s="1"/>
  <c r="Q20" i="84" a="1"/>
  <c r="Q20" i="84" s="1"/>
  <c r="Q21" i="84" a="1"/>
  <c r="Q21" i="84" s="1"/>
  <c r="Q22" i="84" a="1"/>
  <c r="Q22" i="84" s="1"/>
  <c r="Q23" i="84" a="1"/>
  <c r="Q23" i="84" s="1"/>
  <c r="Q24" i="84" a="1"/>
  <c r="Q24" i="84" s="1"/>
  <c r="Q25" i="84" a="1"/>
  <c r="Q25" i="84" s="1"/>
  <c r="Q26" i="84" a="1"/>
  <c r="Q26" i="84" s="1"/>
  <c r="Q27" i="84" a="1"/>
  <c r="Q27" i="84" s="1"/>
  <c r="Q28" i="84" a="1"/>
  <c r="Q28" i="84" s="1"/>
  <c r="Q3" i="84" a="1"/>
  <c r="Q3" i="84" s="1"/>
  <c r="L4" i="84"/>
  <c r="L5" i="84"/>
  <c r="L6" i="84"/>
  <c r="L7" i="84"/>
  <c r="L8" i="84"/>
  <c r="L9" i="84"/>
  <c r="L10" i="84"/>
  <c r="L11" i="84"/>
  <c r="L12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3" i="84"/>
  <c r="H4" i="84"/>
  <c r="H5" i="84"/>
  <c r="H6" i="84"/>
  <c r="H7" i="84"/>
  <c r="H8" i="84"/>
  <c r="H9" i="84"/>
  <c r="H10" i="84"/>
  <c r="H11" i="84"/>
  <c r="H12" i="84"/>
  <c r="H13" i="84"/>
  <c r="H14" i="84"/>
  <c r="H15" i="84"/>
  <c r="H16" i="84"/>
  <c r="H17" i="84"/>
  <c r="H18" i="84"/>
  <c r="H19" i="84"/>
  <c r="H20" i="84"/>
  <c r="H21" i="84"/>
  <c r="H22" i="84"/>
  <c r="H23" i="84"/>
  <c r="H24" i="84"/>
  <c r="H25" i="84"/>
  <c r="H26" i="84"/>
  <c r="H27" i="84"/>
  <c r="H28" i="84"/>
  <c r="H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3" i="84"/>
  <c r="AD28" i="84"/>
  <c r="AD27" i="84"/>
  <c r="AD26" i="84"/>
  <c r="AD25" i="84"/>
  <c r="AD24" i="84"/>
  <c r="AD23" i="84"/>
  <c r="W28" i="84"/>
  <c r="W27" i="84"/>
  <c r="W26" i="84"/>
  <c r="W25" i="84"/>
  <c r="W24" i="84"/>
  <c r="W23" i="84"/>
  <c r="S23" i="84"/>
  <c r="S24" i="84"/>
  <c r="S25" i="84"/>
  <c r="S26" i="84"/>
  <c r="S27" i="84"/>
  <c r="S28" i="84"/>
  <c r="K23" i="84"/>
  <c r="K24" i="84"/>
  <c r="K25" i="84"/>
  <c r="K26" i="84"/>
  <c r="K27" i="84"/>
  <c r="K28" i="84"/>
  <c r="G23" i="84"/>
  <c r="G24" i="84"/>
  <c r="G25" i="84"/>
  <c r="G26" i="84"/>
  <c r="G27" i="84"/>
  <c r="G28" i="84"/>
  <c r="D28" i="84"/>
  <c r="D23" i="84"/>
  <c r="D24" i="84"/>
  <c r="D25" i="84"/>
  <c r="D26" i="84"/>
  <c r="D27" i="84"/>
  <c r="C116" i="85"/>
  <c r="C114" i="85"/>
  <c r="C118" i="85" s="1"/>
  <c r="C113" i="85"/>
  <c r="C117" i="85" s="1"/>
  <c r="AD22" i="84" l="1"/>
  <c r="W22" i="84"/>
  <c r="S22" i="84"/>
  <c r="K22" i="84"/>
  <c r="G22" i="84"/>
  <c r="D22" i="84"/>
  <c r="AD21" i="84"/>
  <c r="W21" i="84"/>
  <c r="S21" i="84"/>
  <c r="K21" i="84"/>
  <c r="G21" i="84"/>
  <c r="D21" i="84"/>
  <c r="AD20" i="84"/>
  <c r="W20" i="84"/>
  <c r="S20" i="84"/>
  <c r="K20" i="84"/>
  <c r="G20" i="84"/>
  <c r="D20" i="84"/>
  <c r="AD19" i="84"/>
  <c r="W19" i="84"/>
  <c r="S19" i="84"/>
  <c r="K19" i="84"/>
  <c r="G19" i="84"/>
  <c r="D19" i="84"/>
  <c r="AD18" i="84"/>
  <c r="W18" i="84"/>
  <c r="S18" i="84"/>
  <c r="K18" i="84"/>
  <c r="G18" i="84"/>
  <c r="D18" i="84"/>
  <c r="AD17" i="84"/>
  <c r="W17" i="84"/>
  <c r="S17" i="84"/>
  <c r="K17" i="84"/>
  <c r="G17" i="84"/>
  <c r="D17" i="84"/>
  <c r="AD16" i="84"/>
  <c r="W16" i="84"/>
  <c r="S16" i="84"/>
  <c r="K16" i="84"/>
  <c r="G16" i="84"/>
  <c r="D16" i="84"/>
  <c r="AD15" i="84"/>
  <c r="W15" i="84"/>
  <c r="S15" i="84"/>
  <c r="K15" i="84"/>
  <c r="G15" i="84"/>
  <c r="D15" i="84"/>
  <c r="AD14" i="84"/>
  <c r="W14" i="84"/>
  <c r="S14" i="84"/>
  <c r="K14" i="84"/>
  <c r="G14" i="84"/>
  <c r="D14" i="84"/>
  <c r="AD13" i="84"/>
  <c r="W13" i="84"/>
  <c r="S13" i="84"/>
  <c r="K13" i="84"/>
  <c r="G13" i="84"/>
  <c r="D13" i="84"/>
  <c r="AD12" i="84"/>
  <c r="W12" i="84"/>
  <c r="S12" i="84"/>
  <c r="K12" i="84"/>
  <c r="G12" i="84"/>
  <c r="D12" i="84"/>
  <c r="AD11" i="84"/>
  <c r="W11" i="84"/>
  <c r="S11" i="84"/>
  <c r="K11" i="84"/>
  <c r="G11" i="84"/>
  <c r="D11" i="84"/>
  <c r="AD10" i="84"/>
  <c r="W10" i="84"/>
  <c r="S10" i="84"/>
  <c r="K10" i="84"/>
  <c r="G10" i="84"/>
  <c r="D10" i="84"/>
  <c r="AD9" i="84"/>
  <c r="W9" i="84"/>
  <c r="S9" i="84"/>
  <c r="K9" i="84"/>
  <c r="G9" i="84"/>
  <c r="D9" i="84"/>
  <c r="AD8" i="84"/>
  <c r="W8" i="84"/>
  <c r="S8" i="84"/>
  <c r="K8" i="84"/>
  <c r="G8" i="84"/>
  <c r="D8" i="84"/>
  <c r="AD7" i="84"/>
  <c r="W7" i="84"/>
  <c r="S7" i="84"/>
  <c r="K7" i="84"/>
  <c r="G7" i="84"/>
  <c r="D7" i="84"/>
  <c r="AD6" i="84"/>
  <c r="W6" i="84"/>
  <c r="S6" i="84"/>
  <c r="K6" i="84"/>
  <c r="G6" i="84"/>
  <c r="D6" i="84"/>
  <c r="AD5" i="84"/>
  <c r="W5" i="84"/>
  <c r="S5" i="84"/>
  <c r="K5" i="84"/>
  <c r="G5" i="84"/>
  <c r="D5" i="84"/>
  <c r="AD4" i="84"/>
  <c r="W4" i="84"/>
  <c r="S4" i="84"/>
  <c r="K4" i="84"/>
  <c r="G4" i="84"/>
  <c r="D4" i="84"/>
  <c r="AD3" i="84"/>
  <c r="W3" i="84"/>
  <c r="S3" i="84"/>
  <c r="K3" i="84"/>
  <c r="G3" i="84"/>
  <c r="D3" i="84"/>
  <c r="BI6" i="83"/>
  <c r="BJ6" i="83"/>
  <c r="BK6" i="83"/>
  <c r="BL6" i="83"/>
  <c r="BM6" i="83"/>
  <c r="BN6" i="83"/>
  <c r="BO6" i="83"/>
  <c r="BP6" i="83"/>
  <c r="BQ6" i="83"/>
  <c r="BR6" i="83"/>
  <c r="BS6" i="83"/>
  <c r="BT6" i="83"/>
  <c r="BU6" i="83"/>
  <c r="BV6" i="83"/>
  <c r="BW6" i="83"/>
  <c r="BX6" i="83"/>
  <c r="BY6" i="83"/>
  <c r="BZ6" i="83"/>
  <c r="CA6" i="83"/>
  <c r="CB6" i="83"/>
  <c r="CC6" i="83"/>
  <c r="CD6" i="83"/>
  <c r="CE6" i="83"/>
  <c r="CF6" i="83"/>
  <c r="CG6" i="83"/>
  <c r="CH6" i="83"/>
  <c r="BI7" i="83"/>
  <c r="BJ7" i="83"/>
  <c r="BK7" i="83"/>
  <c r="BL7" i="83"/>
  <c r="BM7" i="83"/>
  <c r="BN7" i="83"/>
  <c r="BO7" i="83"/>
  <c r="BP7" i="83"/>
  <c r="BQ7" i="83"/>
  <c r="BR7" i="83"/>
  <c r="BS7" i="83"/>
  <c r="BT7" i="83"/>
  <c r="BU7" i="83"/>
  <c r="BV7" i="83"/>
  <c r="BW7" i="83"/>
  <c r="BX7" i="83"/>
  <c r="BY7" i="83"/>
  <c r="BZ7" i="83"/>
  <c r="CA7" i="83"/>
  <c r="CB7" i="83"/>
  <c r="CC7" i="83"/>
  <c r="CD7" i="83"/>
  <c r="CE7" i="83"/>
  <c r="CF7" i="83"/>
  <c r="CG7" i="83"/>
  <c r="CH7" i="83"/>
  <c r="BI8" i="83"/>
  <c r="BJ8" i="83"/>
  <c r="BK8" i="83"/>
  <c r="BL8" i="83"/>
  <c r="BM8" i="83"/>
  <c r="BN8" i="83"/>
  <c r="BO8" i="83"/>
  <c r="BP8" i="83"/>
  <c r="BQ8" i="83"/>
  <c r="BR8" i="83"/>
  <c r="BS8" i="83"/>
  <c r="BT8" i="83"/>
  <c r="BU8" i="83"/>
  <c r="BV8" i="83"/>
  <c r="BW8" i="83"/>
  <c r="BX8" i="83"/>
  <c r="BY8" i="83"/>
  <c r="BZ8" i="83"/>
  <c r="CA8" i="83"/>
  <c r="CB8" i="83"/>
  <c r="CC8" i="83"/>
  <c r="CD8" i="83"/>
  <c r="CE8" i="83"/>
  <c r="CF8" i="83"/>
  <c r="CG8" i="83"/>
  <c r="CH8" i="83"/>
  <c r="BI9" i="83"/>
  <c r="BJ9" i="83"/>
  <c r="BK9" i="83"/>
  <c r="BL9" i="83"/>
  <c r="BM9" i="83"/>
  <c r="BN9" i="83"/>
  <c r="BO9" i="83"/>
  <c r="BP9" i="83"/>
  <c r="BQ9" i="83"/>
  <c r="BR9" i="83"/>
  <c r="BS9" i="83"/>
  <c r="BT9" i="83"/>
  <c r="BU9" i="83"/>
  <c r="BV9" i="83"/>
  <c r="BW9" i="83"/>
  <c r="BX9" i="83"/>
  <c r="BY9" i="83"/>
  <c r="BZ9" i="83"/>
  <c r="CA9" i="83"/>
  <c r="CB9" i="83"/>
  <c r="CC9" i="83"/>
  <c r="CD9" i="83"/>
  <c r="CE9" i="83"/>
  <c r="CF9" i="83"/>
  <c r="CG9" i="83"/>
  <c r="CH9" i="83"/>
  <c r="BI10" i="83"/>
  <c r="BJ10" i="83"/>
  <c r="BK10" i="83"/>
  <c r="BL10" i="83"/>
  <c r="BM10" i="83"/>
  <c r="BN10" i="83"/>
  <c r="BO10" i="83"/>
  <c r="BP10" i="83"/>
  <c r="BQ10" i="83"/>
  <c r="BR10" i="83"/>
  <c r="BS10" i="83"/>
  <c r="BT10" i="83"/>
  <c r="BU10" i="83"/>
  <c r="BV10" i="83"/>
  <c r="BW10" i="83"/>
  <c r="BX10" i="83"/>
  <c r="BY10" i="83"/>
  <c r="BZ10" i="83"/>
  <c r="CA10" i="83"/>
  <c r="CB10" i="83"/>
  <c r="CC10" i="83"/>
  <c r="CD10" i="83"/>
  <c r="CE10" i="83"/>
  <c r="CF10" i="83"/>
  <c r="CG10" i="83"/>
  <c r="CH10" i="83"/>
  <c r="BI11" i="83"/>
  <c r="BJ11" i="83"/>
  <c r="BK11" i="83"/>
  <c r="BL11" i="83"/>
  <c r="BM11" i="83"/>
  <c r="BN11" i="83"/>
  <c r="BO11" i="83"/>
  <c r="BP11" i="83"/>
  <c r="BQ11" i="83"/>
  <c r="BR11" i="83"/>
  <c r="BS11" i="83"/>
  <c r="BT11" i="83"/>
  <c r="BU11" i="83"/>
  <c r="BV11" i="83"/>
  <c r="BW11" i="83"/>
  <c r="BX11" i="83"/>
  <c r="BY11" i="83"/>
  <c r="BZ11" i="83"/>
  <c r="CA11" i="83"/>
  <c r="CB11" i="83"/>
  <c r="CC11" i="83"/>
  <c r="CD11" i="83"/>
  <c r="CE11" i="83"/>
  <c r="CF11" i="83"/>
  <c r="CG11" i="83"/>
  <c r="CH11" i="83"/>
  <c r="BI12" i="83"/>
  <c r="BJ12" i="83"/>
  <c r="BK12" i="83"/>
  <c r="BL12" i="83"/>
  <c r="BM12" i="83"/>
  <c r="BN12" i="83"/>
  <c r="BO12" i="83"/>
  <c r="BP12" i="83"/>
  <c r="BQ12" i="83"/>
  <c r="BR12" i="83"/>
  <c r="BS12" i="83"/>
  <c r="BT12" i="83"/>
  <c r="BU12" i="83"/>
  <c r="BV12" i="83"/>
  <c r="BW12" i="83"/>
  <c r="BX12" i="83"/>
  <c r="BY12" i="83"/>
  <c r="BZ12" i="83"/>
  <c r="CA12" i="83"/>
  <c r="CB12" i="83"/>
  <c r="CC12" i="83"/>
  <c r="CD12" i="83"/>
  <c r="CE12" i="83"/>
  <c r="CF12" i="83"/>
  <c r="CG12" i="83"/>
  <c r="CH12" i="83"/>
  <c r="BI13" i="83"/>
  <c r="BJ13" i="83"/>
  <c r="BK13" i="83"/>
  <c r="BL13" i="83"/>
  <c r="BM13" i="83"/>
  <c r="BN13" i="83"/>
  <c r="BO13" i="83"/>
  <c r="BP13" i="83"/>
  <c r="BQ13" i="83"/>
  <c r="BR13" i="83"/>
  <c r="BS13" i="83"/>
  <c r="BT13" i="83"/>
  <c r="BU13" i="83"/>
  <c r="BV13" i="83"/>
  <c r="BW13" i="83"/>
  <c r="BX13" i="83"/>
  <c r="BY13" i="83"/>
  <c r="BZ13" i="83"/>
  <c r="CA13" i="83"/>
  <c r="CB13" i="83"/>
  <c r="CC13" i="83"/>
  <c r="CD13" i="83"/>
  <c r="CE13" i="83"/>
  <c r="CF13" i="83"/>
  <c r="CG13" i="83"/>
  <c r="CH13" i="83"/>
  <c r="BI14" i="83"/>
  <c r="BJ14" i="83"/>
  <c r="BK14" i="83"/>
  <c r="BL14" i="83"/>
  <c r="BM14" i="83"/>
  <c r="BN14" i="83"/>
  <c r="BO14" i="83"/>
  <c r="BP14" i="83"/>
  <c r="BQ14" i="83"/>
  <c r="BR14" i="83"/>
  <c r="BS14" i="83"/>
  <c r="BT14" i="83"/>
  <c r="BU14" i="83"/>
  <c r="BV14" i="83"/>
  <c r="BW14" i="83"/>
  <c r="BX14" i="83"/>
  <c r="BY14" i="83"/>
  <c r="BZ14" i="83"/>
  <c r="CA14" i="83"/>
  <c r="CB14" i="83"/>
  <c r="CC14" i="83"/>
  <c r="CD14" i="83"/>
  <c r="CE14" i="83"/>
  <c r="CF14" i="83"/>
  <c r="CG14" i="83"/>
  <c r="CH14" i="83"/>
  <c r="BI15" i="83"/>
  <c r="BJ15" i="83"/>
  <c r="BK15" i="83"/>
  <c r="BL15" i="83"/>
  <c r="BM15" i="83"/>
  <c r="BN15" i="83"/>
  <c r="BO15" i="83"/>
  <c r="BP15" i="83"/>
  <c r="BQ15" i="83"/>
  <c r="BR15" i="83"/>
  <c r="BS15" i="83"/>
  <c r="BT15" i="83"/>
  <c r="BU15" i="83"/>
  <c r="BV15" i="83"/>
  <c r="BW15" i="83"/>
  <c r="BX15" i="83"/>
  <c r="BY15" i="83"/>
  <c r="BZ15" i="83"/>
  <c r="CA15" i="83"/>
  <c r="CB15" i="83"/>
  <c r="CC15" i="83"/>
  <c r="CD15" i="83"/>
  <c r="CE15" i="83"/>
  <c r="CF15" i="83"/>
  <c r="CG15" i="83"/>
  <c r="CH15" i="83"/>
  <c r="BI16" i="83"/>
  <c r="BJ16" i="83"/>
  <c r="BK16" i="83"/>
  <c r="BL16" i="83"/>
  <c r="BM16" i="83"/>
  <c r="BN16" i="83"/>
  <c r="BO16" i="83"/>
  <c r="BP16" i="83"/>
  <c r="BQ16" i="83"/>
  <c r="BR16" i="83"/>
  <c r="BS16" i="83"/>
  <c r="BT16" i="83"/>
  <c r="BU16" i="83"/>
  <c r="BV16" i="83"/>
  <c r="BW16" i="83"/>
  <c r="BX16" i="83"/>
  <c r="BY16" i="83"/>
  <c r="BZ16" i="83"/>
  <c r="CA16" i="83"/>
  <c r="CB16" i="83"/>
  <c r="CC16" i="83"/>
  <c r="CD16" i="83"/>
  <c r="CE16" i="83"/>
  <c r="CF16" i="83"/>
  <c r="CG16" i="83"/>
  <c r="CH16" i="83"/>
  <c r="BI17" i="83"/>
  <c r="BJ17" i="83"/>
  <c r="BK17" i="83"/>
  <c r="BL17" i="83"/>
  <c r="BM17" i="83"/>
  <c r="BN17" i="83"/>
  <c r="BO17" i="83"/>
  <c r="BP17" i="83"/>
  <c r="BQ17" i="83"/>
  <c r="BR17" i="83"/>
  <c r="BS17" i="83"/>
  <c r="BT17" i="83"/>
  <c r="BU17" i="83"/>
  <c r="BV17" i="83"/>
  <c r="BW17" i="83"/>
  <c r="BX17" i="83"/>
  <c r="BY17" i="83"/>
  <c r="BZ17" i="83"/>
  <c r="CA17" i="83"/>
  <c r="CB17" i="83"/>
  <c r="CC17" i="83"/>
  <c r="CD17" i="83"/>
  <c r="CE17" i="83"/>
  <c r="CF17" i="83"/>
  <c r="CG17" i="83"/>
  <c r="CH17" i="83"/>
  <c r="BI18" i="83"/>
  <c r="BJ18" i="83"/>
  <c r="BK18" i="83"/>
  <c r="BL18" i="83"/>
  <c r="BM18" i="83"/>
  <c r="BN18" i="83"/>
  <c r="BO18" i="83"/>
  <c r="BP18" i="83"/>
  <c r="BQ18" i="83"/>
  <c r="BR18" i="83"/>
  <c r="BS18" i="83"/>
  <c r="BT18" i="83"/>
  <c r="BU18" i="83"/>
  <c r="BV18" i="83"/>
  <c r="BW18" i="83"/>
  <c r="BX18" i="83"/>
  <c r="BY18" i="83"/>
  <c r="BZ18" i="83"/>
  <c r="CA18" i="83"/>
  <c r="CB18" i="83"/>
  <c r="CC18" i="83"/>
  <c r="CD18" i="83"/>
  <c r="CE18" i="83"/>
  <c r="CF18" i="83"/>
  <c r="CG18" i="83"/>
  <c r="CH18" i="83"/>
  <c r="BI19" i="83"/>
  <c r="BJ19" i="83"/>
  <c r="BK19" i="83"/>
  <c r="BL19" i="83"/>
  <c r="BM19" i="83"/>
  <c r="BN19" i="83"/>
  <c r="BO19" i="83"/>
  <c r="BP19" i="83"/>
  <c r="BQ19" i="83"/>
  <c r="BR19" i="83"/>
  <c r="BS19" i="83"/>
  <c r="BT19" i="83"/>
  <c r="BU19" i="83"/>
  <c r="BV19" i="83"/>
  <c r="BW19" i="83"/>
  <c r="BX19" i="83"/>
  <c r="BY19" i="83"/>
  <c r="BZ19" i="83"/>
  <c r="CA19" i="83"/>
  <c r="CB19" i="83"/>
  <c r="CC19" i="83"/>
  <c r="CD19" i="83"/>
  <c r="CE19" i="83"/>
  <c r="CF19" i="83"/>
  <c r="CG19" i="83"/>
  <c r="CH19" i="83"/>
  <c r="BI20" i="83"/>
  <c r="BJ20" i="83"/>
  <c r="BK20" i="83"/>
  <c r="BL20" i="83"/>
  <c r="BM20" i="83"/>
  <c r="BN20" i="83"/>
  <c r="BO20" i="83"/>
  <c r="BP20" i="83"/>
  <c r="BQ20" i="83"/>
  <c r="BR20" i="83"/>
  <c r="BS20" i="83"/>
  <c r="BT20" i="83"/>
  <c r="BU20" i="83"/>
  <c r="BV20" i="83"/>
  <c r="BW20" i="83"/>
  <c r="BX20" i="83"/>
  <c r="BY20" i="83"/>
  <c r="BZ20" i="83"/>
  <c r="CA20" i="83"/>
  <c r="CB20" i="83"/>
  <c r="CC20" i="83"/>
  <c r="CD20" i="83"/>
  <c r="CE20" i="83"/>
  <c r="CF20" i="83"/>
  <c r="CG20" i="83"/>
  <c r="CH20" i="83"/>
  <c r="BI21" i="83"/>
  <c r="BJ21" i="83"/>
  <c r="BK21" i="83"/>
  <c r="BL21" i="83"/>
  <c r="BM21" i="83"/>
  <c r="BN21" i="83"/>
  <c r="BO21" i="83"/>
  <c r="BP21" i="83"/>
  <c r="BQ21" i="83"/>
  <c r="BR21" i="83"/>
  <c r="BS21" i="83"/>
  <c r="BT21" i="83"/>
  <c r="BU21" i="83"/>
  <c r="BV21" i="83"/>
  <c r="BW21" i="83"/>
  <c r="BX21" i="83"/>
  <c r="BY21" i="83"/>
  <c r="BZ21" i="83"/>
  <c r="CA21" i="83"/>
  <c r="CB21" i="83"/>
  <c r="CC21" i="83"/>
  <c r="CD21" i="83"/>
  <c r="CE21" i="83"/>
  <c r="CF21" i="83"/>
  <c r="CG21" i="83"/>
  <c r="CH21" i="83"/>
  <c r="BH7" i="83"/>
  <c r="BH8" i="83"/>
  <c r="BH9" i="83"/>
  <c r="BH10" i="83"/>
  <c r="BH11" i="83"/>
  <c r="BH12" i="83"/>
  <c r="BH13" i="83"/>
  <c r="BH14" i="83"/>
  <c r="BH15" i="83"/>
  <c r="BH16" i="83"/>
  <c r="BH17" i="83"/>
  <c r="BH18" i="83"/>
  <c r="BH19" i="83"/>
  <c r="BH20" i="83"/>
  <c r="BH21" i="83"/>
  <c r="BH6" i="83"/>
  <c r="H5" i="83"/>
  <c r="G2" i="83"/>
  <c r="H2" i="83"/>
  <c r="I2" i="83"/>
  <c r="J2" i="83"/>
  <c r="K2" i="83"/>
  <c r="L2" i="83"/>
  <c r="M2" i="83"/>
  <c r="N2" i="83"/>
  <c r="O2" i="83"/>
  <c r="P2" i="83"/>
  <c r="Q2" i="83"/>
  <c r="R2" i="83"/>
  <c r="S2" i="83"/>
  <c r="T2" i="83"/>
  <c r="U2" i="83"/>
  <c r="V2" i="83"/>
  <c r="W2" i="83"/>
  <c r="X2" i="83"/>
  <c r="Y2" i="83"/>
  <c r="Z2" i="83"/>
  <c r="AA2" i="83"/>
  <c r="AB2" i="83"/>
  <c r="AC2" i="83"/>
  <c r="AD2" i="83"/>
  <c r="AE2" i="83"/>
  <c r="AF2" i="83"/>
  <c r="AG2" i="83"/>
  <c r="AH2" i="83"/>
  <c r="AI2" i="83"/>
  <c r="AJ2" i="83"/>
  <c r="AK2" i="83"/>
  <c r="AL2" i="83"/>
  <c r="AM2" i="83"/>
  <c r="AN2" i="83"/>
  <c r="AO2" i="83"/>
  <c r="AP2" i="83"/>
  <c r="AQ2" i="83"/>
  <c r="AR2" i="83"/>
  <c r="AS2" i="83"/>
  <c r="AT2" i="83"/>
  <c r="AU2" i="83"/>
  <c r="AV2" i="83"/>
  <c r="AW2" i="83"/>
  <c r="G3" i="83"/>
  <c r="H3" i="83"/>
  <c r="I3" i="83"/>
  <c r="J3" i="83"/>
  <c r="K3" i="83"/>
  <c r="L3" i="83"/>
  <c r="M3" i="83"/>
  <c r="N3" i="83"/>
  <c r="O3" i="83"/>
  <c r="P3" i="83"/>
  <c r="Q3" i="83"/>
  <c r="R3" i="83"/>
  <c r="S3" i="83"/>
  <c r="T3" i="83"/>
  <c r="U3" i="83"/>
  <c r="V3" i="83"/>
  <c r="W3" i="83"/>
  <c r="X3" i="83"/>
  <c r="Y3" i="83"/>
  <c r="Z3" i="83"/>
  <c r="AA3" i="83"/>
  <c r="AB3" i="83"/>
  <c r="AC3" i="83"/>
  <c r="AD3" i="83"/>
  <c r="AE3" i="83"/>
  <c r="AF3" i="83"/>
  <c r="AG3" i="83"/>
  <c r="AH3" i="83"/>
  <c r="AI3" i="83"/>
  <c r="AJ3" i="83"/>
  <c r="AK3" i="83"/>
  <c r="AL3" i="83"/>
  <c r="AM3" i="83"/>
  <c r="AN3" i="83"/>
  <c r="AO3" i="83"/>
  <c r="AP3" i="83"/>
  <c r="AQ3" i="83"/>
  <c r="AR3" i="83"/>
  <c r="AS3" i="83"/>
  <c r="AT3" i="83"/>
  <c r="AU3" i="83"/>
  <c r="AV3" i="83"/>
  <c r="AW3" i="83"/>
  <c r="G4" i="83"/>
  <c r="H4" i="83"/>
  <c r="I4" i="83"/>
  <c r="J4" i="83"/>
  <c r="K4" i="83"/>
  <c r="L4" i="83"/>
  <c r="M4" i="83"/>
  <c r="N4" i="83"/>
  <c r="O4" i="83"/>
  <c r="P4" i="83"/>
  <c r="Q4" i="83"/>
  <c r="R4" i="83"/>
  <c r="S4" i="83"/>
  <c r="T4" i="83"/>
  <c r="U4" i="83"/>
  <c r="V4" i="83"/>
  <c r="W4" i="83"/>
  <c r="X4" i="83"/>
  <c r="Y4" i="83"/>
  <c r="Z4" i="83"/>
  <c r="AA4" i="83"/>
  <c r="AB4" i="83"/>
  <c r="AC4" i="83"/>
  <c r="AD4" i="83"/>
  <c r="AE4" i="83"/>
  <c r="AF4" i="83"/>
  <c r="AG4" i="83"/>
  <c r="AH4" i="83"/>
  <c r="AI4" i="83"/>
  <c r="AJ4" i="83"/>
  <c r="AK4" i="83"/>
  <c r="AL4" i="83"/>
  <c r="AM4" i="83"/>
  <c r="AN4" i="83"/>
  <c r="AO4" i="83"/>
  <c r="AP4" i="83"/>
  <c r="AQ4" i="83"/>
  <c r="AR4" i="83"/>
  <c r="AS4" i="83"/>
  <c r="AT4" i="83"/>
  <c r="AU4" i="83"/>
  <c r="AV4" i="83"/>
  <c r="AW4" i="83"/>
  <c r="G5" i="83"/>
  <c r="I5" i="83"/>
  <c r="J5" i="83"/>
  <c r="K5" i="83"/>
  <c r="L5" i="83"/>
  <c r="M5" i="83"/>
  <c r="N5" i="83"/>
  <c r="O5" i="83"/>
  <c r="P5" i="83"/>
  <c r="Q5" i="83"/>
  <c r="R5" i="83"/>
  <c r="S5" i="83"/>
  <c r="T5" i="83"/>
  <c r="U5" i="83"/>
  <c r="V5" i="83"/>
  <c r="W5" i="83"/>
  <c r="X5" i="83"/>
  <c r="Y5" i="83"/>
  <c r="Z5" i="83"/>
  <c r="AA5" i="83"/>
  <c r="AB5" i="83"/>
  <c r="AC5" i="83"/>
  <c r="AD5" i="83"/>
  <c r="AE5" i="83"/>
  <c r="AF5" i="83"/>
  <c r="AG5" i="83"/>
  <c r="AH5" i="83"/>
  <c r="AI5" i="83"/>
  <c r="AJ5" i="83"/>
  <c r="AK5" i="83"/>
  <c r="AL5" i="83"/>
  <c r="AM5" i="83"/>
  <c r="AN5" i="83"/>
  <c r="AO5" i="83"/>
  <c r="AP5" i="83"/>
  <c r="AQ5" i="83"/>
  <c r="AR5" i="83"/>
  <c r="AS5" i="83"/>
  <c r="AT5" i="83"/>
  <c r="AU5" i="83"/>
  <c r="AV5" i="83"/>
  <c r="AW5" i="83"/>
  <c r="G6" i="83"/>
  <c r="H6" i="83"/>
  <c r="I6" i="83"/>
  <c r="J6" i="83"/>
  <c r="K6" i="83"/>
  <c r="L6" i="83"/>
  <c r="M6" i="83"/>
  <c r="N6" i="83"/>
  <c r="O6" i="83"/>
  <c r="P6" i="83"/>
  <c r="Q6" i="83"/>
  <c r="R6" i="83"/>
  <c r="S6" i="83"/>
  <c r="T6" i="83"/>
  <c r="U6" i="83"/>
  <c r="V6" i="83"/>
  <c r="W6" i="83"/>
  <c r="X6" i="83"/>
  <c r="Y6" i="83"/>
  <c r="Z6" i="83"/>
  <c r="AA6" i="83"/>
  <c r="AB6" i="83"/>
  <c r="AC6" i="83"/>
  <c r="AD6" i="83"/>
  <c r="AE6" i="83"/>
  <c r="AF6" i="83"/>
  <c r="AG6" i="83"/>
  <c r="AH6" i="83"/>
  <c r="AI6" i="83"/>
  <c r="AJ6" i="83"/>
  <c r="AK6" i="83"/>
  <c r="AL6" i="83"/>
  <c r="AM6" i="83"/>
  <c r="AN6" i="83"/>
  <c r="AO6" i="83"/>
  <c r="AP6" i="83"/>
  <c r="AQ6" i="83"/>
  <c r="AR6" i="83"/>
  <c r="AS6" i="83"/>
  <c r="AT6" i="83"/>
  <c r="AU6" i="83"/>
  <c r="AV6" i="83"/>
  <c r="AW6" i="83"/>
  <c r="G7" i="83"/>
  <c r="H7" i="83"/>
  <c r="I7" i="83"/>
  <c r="J7" i="83"/>
  <c r="K7" i="83"/>
  <c r="L7" i="83"/>
  <c r="M7" i="83"/>
  <c r="N7" i="83"/>
  <c r="O7" i="83"/>
  <c r="P7" i="83"/>
  <c r="Q7" i="83"/>
  <c r="R7" i="83"/>
  <c r="S7" i="83"/>
  <c r="T7" i="83"/>
  <c r="U7" i="83"/>
  <c r="V7" i="83"/>
  <c r="W7" i="83"/>
  <c r="X7" i="83"/>
  <c r="Y7" i="83"/>
  <c r="Z7" i="83"/>
  <c r="AA7" i="83"/>
  <c r="AB7" i="83"/>
  <c r="AC7" i="83"/>
  <c r="AD7" i="83"/>
  <c r="AE7" i="83"/>
  <c r="AF7" i="83"/>
  <c r="AG7" i="83"/>
  <c r="AH7" i="83"/>
  <c r="AI7" i="83"/>
  <c r="AJ7" i="83"/>
  <c r="AK7" i="83"/>
  <c r="AL7" i="83"/>
  <c r="AM7" i="83"/>
  <c r="AN7" i="83"/>
  <c r="AO7" i="83"/>
  <c r="AP7" i="83"/>
  <c r="AQ7" i="83"/>
  <c r="AR7" i="83"/>
  <c r="AS7" i="83"/>
  <c r="AT7" i="83"/>
  <c r="AU7" i="83"/>
  <c r="AV7" i="83"/>
  <c r="AW7" i="83"/>
  <c r="G8" i="83"/>
  <c r="H8" i="83"/>
  <c r="I8" i="83"/>
  <c r="J8" i="83"/>
  <c r="K8" i="83"/>
  <c r="L8" i="83"/>
  <c r="M8" i="83"/>
  <c r="N8" i="83"/>
  <c r="O8" i="83"/>
  <c r="P8" i="83"/>
  <c r="Q8" i="83"/>
  <c r="R8" i="83"/>
  <c r="S8" i="83"/>
  <c r="T8" i="83"/>
  <c r="U8" i="83"/>
  <c r="V8" i="83"/>
  <c r="W8" i="83"/>
  <c r="X8" i="83"/>
  <c r="Y8" i="83"/>
  <c r="Z8" i="83"/>
  <c r="AA8" i="83"/>
  <c r="AB8" i="83"/>
  <c r="AC8" i="83"/>
  <c r="AD8" i="83"/>
  <c r="AE8" i="83"/>
  <c r="AF8" i="83"/>
  <c r="AG8" i="83"/>
  <c r="AH8" i="83"/>
  <c r="AI8" i="83"/>
  <c r="AJ8" i="83"/>
  <c r="AK8" i="83"/>
  <c r="AL8" i="83"/>
  <c r="AM8" i="83"/>
  <c r="AN8" i="83"/>
  <c r="AO8" i="83"/>
  <c r="AP8" i="83"/>
  <c r="AQ8" i="83"/>
  <c r="AR8" i="83"/>
  <c r="AS8" i="83"/>
  <c r="AT8" i="83"/>
  <c r="AU8" i="83"/>
  <c r="AV8" i="83"/>
  <c r="AW8" i="83"/>
  <c r="G9" i="83"/>
  <c r="H9" i="83"/>
  <c r="I9" i="83"/>
  <c r="J9" i="83"/>
  <c r="K9" i="83"/>
  <c r="L9" i="83"/>
  <c r="M9" i="83"/>
  <c r="N9" i="83"/>
  <c r="O9" i="83"/>
  <c r="P9" i="83"/>
  <c r="Q9" i="83"/>
  <c r="R9" i="83"/>
  <c r="S9" i="83"/>
  <c r="T9" i="83"/>
  <c r="U9" i="83"/>
  <c r="V9" i="83"/>
  <c r="W9" i="83"/>
  <c r="X9" i="83"/>
  <c r="Y9" i="83"/>
  <c r="Z9" i="83"/>
  <c r="AA9" i="83"/>
  <c r="AB9" i="83"/>
  <c r="AC9" i="83"/>
  <c r="AD9" i="83"/>
  <c r="AE9" i="83"/>
  <c r="AF9" i="83"/>
  <c r="AG9" i="83"/>
  <c r="AH9" i="83"/>
  <c r="AI9" i="83"/>
  <c r="AJ9" i="83"/>
  <c r="AK9" i="83"/>
  <c r="AL9" i="83"/>
  <c r="AM9" i="83"/>
  <c r="AN9" i="83"/>
  <c r="AO9" i="83"/>
  <c r="AP9" i="83"/>
  <c r="AQ9" i="83"/>
  <c r="AR9" i="83"/>
  <c r="AS9" i="83"/>
  <c r="AT9" i="83"/>
  <c r="AU9" i="83"/>
  <c r="AV9" i="83"/>
  <c r="AW9" i="83"/>
  <c r="G10" i="83"/>
  <c r="H10" i="83"/>
  <c r="I10" i="83"/>
  <c r="J10" i="83"/>
  <c r="K10" i="83"/>
  <c r="L10" i="83"/>
  <c r="M10" i="83"/>
  <c r="N10" i="83"/>
  <c r="O10" i="83"/>
  <c r="P10" i="83"/>
  <c r="Q10" i="83"/>
  <c r="R10" i="83"/>
  <c r="S10" i="83"/>
  <c r="T10" i="83"/>
  <c r="U10" i="83"/>
  <c r="V10" i="83"/>
  <c r="W10" i="83"/>
  <c r="X10" i="83"/>
  <c r="Y10" i="83"/>
  <c r="Z10" i="83"/>
  <c r="AA10" i="83"/>
  <c r="AB10" i="83"/>
  <c r="AC10" i="83"/>
  <c r="AD10" i="83"/>
  <c r="AE10" i="83"/>
  <c r="AF10" i="83"/>
  <c r="AG10" i="83"/>
  <c r="AH10" i="83"/>
  <c r="AI10" i="83"/>
  <c r="AJ10" i="83"/>
  <c r="AK10" i="83"/>
  <c r="AL10" i="83"/>
  <c r="AM10" i="83"/>
  <c r="AN10" i="83"/>
  <c r="AO10" i="83"/>
  <c r="AP10" i="83"/>
  <c r="AQ10" i="83"/>
  <c r="AR10" i="83"/>
  <c r="AS10" i="83"/>
  <c r="AT10" i="83"/>
  <c r="AU10" i="83"/>
  <c r="AV10" i="83"/>
  <c r="AW10" i="83"/>
  <c r="G11" i="83"/>
  <c r="H11" i="83"/>
  <c r="I11" i="83"/>
  <c r="J11" i="83"/>
  <c r="K11" i="83"/>
  <c r="L11" i="83"/>
  <c r="M11" i="83"/>
  <c r="N11" i="83"/>
  <c r="O11" i="83"/>
  <c r="P11" i="83"/>
  <c r="Q11" i="83"/>
  <c r="R11" i="83"/>
  <c r="S11" i="83"/>
  <c r="T11" i="83"/>
  <c r="U11" i="83"/>
  <c r="V11" i="83"/>
  <c r="W11" i="83"/>
  <c r="X11" i="83"/>
  <c r="Y11" i="83"/>
  <c r="Z11" i="83"/>
  <c r="AA11" i="83"/>
  <c r="AB11" i="83"/>
  <c r="AC11" i="83"/>
  <c r="AD11" i="83"/>
  <c r="AE11" i="83"/>
  <c r="AF11" i="83"/>
  <c r="AG11" i="83"/>
  <c r="AH11" i="83"/>
  <c r="AI11" i="83"/>
  <c r="AJ11" i="83"/>
  <c r="AK11" i="83"/>
  <c r="AL11" i="83"/>
  <c r="AM11" i="83"/>
  <c r="AN11" i="83"/>
  <c r="AO11" i="83"/>
  <c r="AP11" i="83"/>
  <c r="AQ11" i="83"/>
  <c r="AR11" i="83"/>
  <c r="AS11" i="83"/>
  <c r="AT11" i="83"/>
  <c r="AU11" i="83"/>
  <c r="AV11" i="83"/>
  <c r="AW11" i="83"/>
  <c r="G12" i="83"/>
  <c r="H12" i="83"/>
  <c r="I12" i="83"/>
  <c r="J12" i="83"/>
  <c r="K12" i="83"/>
  <c r="L12" i="83"/>
  <c r="M12" i="83"/>
  <c r="N12" i="83"/>
  <c r="O12" i="83"/>
  <c r="P12" i="83"/>
  <c r="Q12" i="83"/>
  <c r="R12" i="83"/>
  <c r="S12" i="83"/>
  <c r="T12" i="83"/>
  <c r="U12" i="83"/>
  <c r="V12" i="83"/>
  <c r="W12" i="83"/>
  <c r="X12" i="83"/>
  <c r="Y12" i="83"/>
  <c r="Z12" i="83"/>
  <c r="AA12" i="83"/>
  <c r="AB12" i="83"/>
  <c r="AC12" i="83"/>
  <c r="AD12" i="83"/>
  <c r="AE12" i="83"/>
  <c r="AF12" i="83"/>
  <c r="AG12" i="83"/>
  <c r="AH12" i="83"/>
  <c r="AI12" i="83"/>
  <c r="AJ12" i="83"/>
  <c r="AK12" i="83"/>
  <c r="AL12" i="83"/>
  <c r="AM12" i="83"/>
  <c r="AN12" i="83"/>
  <c r="AO12" i="83"/>
  <c r="AP12" i="83"/>
  <c r="AQ12" i="83"/>
  <c r="AR12" i="83"/>
  <c r="AS12" i="83"/>
  <c r="AT12" i="83"/>
  <c r="AU12" i="83"/>
  <c r="AV12" i="83"/>
  <c r="AW12" i="83"/>
  <c r="G13" i="83"/>
  <c r="H13" i="83"/>
  <c r="I13" i="83"/>
  <c r="J13" i="83"/>
  <c r="K13" i="83"/>
  <c r="L13" i="83"/>
  <c r="M13" i="83"/>
  <c r="N13" i="83"/>
  <c r="O13" i="83"/>
  <c r="P13" i="83"/>
  <c r="Q13" i="83"/>
  <c r="R13" i="83"/>
  <c r="S13" i="83"/>
  <c r="T13" i="83"/>
  <c r="U13" i="83"/>
  <c r="V13" i="83"/>
  <c r="W13" i="83"/>
  <c r="X13" i="83"/>
  <c r="Y13" i="83"/>
  <c r="Z13" i="83"/>
  <c r="AA13" i="83"/>
  <c r="AB13" i="83"/>
  <c r="AC13" i="83"/>
  <c r="AD13" i="83"/>
  <c r="AE13" i="83"/>
  <c r="AF13" i="83"/>
  <c r="AG13" i="83"/>
  <c r="AH13" i="83"/>
  <c r="AI13" i="83"/>
  <c r="AJ13" i="83"/>
  <c r="AK13" i="83"/>
  <c r="AL13" i="83"/>
  <c r="AM13" i="83"/>
  <c r="AN13" i="83"/>
  <c r="AO13" i="83"/>
  <c r="AP13" i="83"/>
  <c r="AQ13" i="83"/>
  <c r="AR13" i="83"/>
  <c r="AS13" i="83"/>
  <c r="AT13" i="83"/>
  <c r="AU13" i="83"/>
  <c r="AV13" i="83"/>
  <c r="AW13" i="83"/>
  <c r="G14" i="83"/>
  <c r="H14" i="83"/>
  <c r="I14" i="83"/>
  <c r="J14" i="83"/>
  <c r="K14" i="83"/>
  <c r="L14" i="83"/>
  <c r="M14" i="83"/>
  <c r="N14" i="83"/>
  <c r="O14" i="83"/>
  <c r="P14" i="83"/>
  <c r="Q14" i="83"/>
  <c r="R14" i="83"/>
  <c r="S14" i="83"/>
  <c r="T14" i="83"/>
  <c r="U14" i="83"/>
  <c r="V14" i="83"/>
  <c r="W14" i="83"/>
  <c r="X14" i="83"/>
  <c r="Y14" i="83"/>
  <c r="Z14" i="83"/>
  <c r="AA14" i="83"/>
  <c r="AB14" i="83"/>
  <c r="AC14" i="83"/>
  <c r="AD14" i="83"/>
  <c r="AE14" i="83"/>
  <c r="AF14" i="83"/>
  <c r="AG14" i="83"/>
  <c r="AH14" i="83"/>
  <c r="AI14" i="83"/>
  <c r="AJ14" i="83"/>
  <c r="AK14" i="83"/>
  <c r="AL14" i="83"/>
  <c r="AM14" i="83"/>
  <c r="AN14" i="83"/>
  <c r="AO14" i="83"/>
  <c r="AP14" i="83"/>
  <c r="AQ14" i="83"/>
  <c r="AR14" i="83"/>
  <c r="AS14" i="83"/>
  <c r="AT14" i="83"/>
  <c r="AU14" i="83"/>
  <c r="AV14" i="83"/>
  <c r="AW14" i="83"/>
  <c r="G15" i="83"/>
  <c r="H15" i="83"/>
  <c r="I15" i="83"/>
  <c r="J15" i="83"/>
  <c r="K15" i="83"/>
  <c r="L15" i="83"/>
  <c r="M15" i="83"/>
  <c r="N15" i="83"/>
  <c r="O15" i="83"/>
  <c r="P15" i="83"/>
  <c r="Q15" i="83"/>
  <c r="R15" i="83"/>
  <c r="S15" i="83"/>
  <c r="T15" i="83"/>
  <c r="U15" i="83"/>
  <c r="V15" i="83"/>
  <c r="W15" i="83"/>
  <c r="X15" i="83"/>
  <c r="Y15" i="83"/>
  <c r="Z15" i="83"/>
  <c r="AA15" i="83"/>
  <c r="AB15" i="83"/>
  <c r="AC15" i="83"/>
  <c r="AD15" i="83"/>
  <c r="AE15" i="83"/>
  <c r="AF15" i="83"/>
  <c r="AG15" i="83"/>
  <c r="AH15" i="83"/>
  <c r="AI15" i="83"/>
  <c r="AJ15" i="83"/>
  <c r="AK15" i="83"/>
  <c r="AL15" i="83"/>
  <c r="AM15" i="83"/>
  <c r="AN15" i="83"/>
  <c r="AO15" i="83"/>
  <c r="AP15" i="83"/>
  <c r="AQ15" i="83"/>
  <c r="AR15" i="83"/>
  <c r="AS15" i="83"/>
  <c r="AT15" i="83"/>
  <c r="AU15" i="83"/>
  <c r="AV15" i="83"/>
  <c r="AW15" i="83"/>
  <c r="G16" i="83"/>
  <c r="H16" i="83"/>
  <c r="I16" i="83"/>
  <c r="J16" i="83"/>
  <c r="K16" i="83"/>
  <c r="L16" i="83"/>
  <c r="M16" i="83"/>
  <c r="N16" i="83"/>
  <c r="O16" i="83"/>
  <c r="P16" i="83"/>
  <c r="Q16" i="83"/>
  <c r="R16" i="83"/>
  <c r="S16" i="83"/>
  <c r="T16" i="83"/>
  <c r="U16" i="83"/>
  <c r="V16" i="83"/>
  <c r="W16" i="83"/>
  <c r="X16" i="83"/>
  <c r="Y16" i="83"/>
  <c r="Z16" i="83"/>
  <c r="AA16" i="83"/>
  <c r="AB16" i="83"/>
  <c r="AC16" i="83"/>
  <c r="AD16" i="83"/>
  <c r="AE16" i="83"/>
  <c r="AF16" i="83"/>
  <c r="AG16" i="83"/>
  <c r="AH16" i="83"/>
  <c r="AI16" i="83"/>
  <c r="AJ16" i="83"/>
  <c r="AK16" i="83"/>
  <c r="AL16" i="83"/>
  <c r="AM16" i="83"/>
  <c r="AN16" i="83"/>
  <c r="AO16" i="83"/>
  <c r="AP16" i="83"/>
  <c r="AQ16" i="83"/>
  <c r="AR16" i="83"/>
  <c r="AS16" i="83"/>
  <c r="AT16" i="83"/>
  <c r="AU16" i="83"/>
  <c r="AV16" i="83"/>
  <c r="AW16" i="83"/>
  <c r="G17" i="83"/>
  <c r="H17" i="83"/>
  <c r="I17" i="83"/>
  <c r="J17" i="83"/>
  <c r="K17" i="83"/>
  <c r="L17" i="83"/>
  <c r="M17" i="83"/>
  <c r="N17" i="83"/>
  <c r="O17" i="83"/>
  <c r="P17" i="83"/>
  <c r="Q17" i="83"/>
  <c r="R17" i="83"/>
  <c r="S17" i="83"/>
  <c r="T17" i="83"/>
  <c r="U17" i="83"/>
  <c r="V17" i="83"/>
  <c r="W17" i="83"/>
  <c r="X17" i="83"/>
  <c r="Y17" i="83"/>
  <c r="Z17" i="83"/>
  <c r="AA17" i="83"/>
  <c r="AB17" i="83"/>
  <c r="AC17" i="83"/>
  <c r="AD17" i="83"/>
  <c r="AE17" i="83"/>
  <c r="AF17" i="83"/>
  <c r="AG17" i="83"/>
  <c r="AH17" i="83"/>
  <c r="AI17" i="83"/>
  <c r="AJ17" i="83"/>
  <c r="AK17" i="83"/>
  <c r="AL17" i="83"/>
  <c r="AM17" i="83"/>
  <c r="AN17" i="83"/>
  <c r="AO17" i="83"/>
  <c r="AP17" i="83"/>
  <c r="AQ17" i="83"/>
  <c r="AR17" i="83"/>
  <c r="AS17" i="83"/>
  <c r="AT17" i="83"/>
  <c r="AU17" i="83"/>
  <c r="AV17" i="83"/>
  <c r="AW17" i="83"/>
  <c r="G18" i="83"/>
  <c r="H18" i="83"/>
  <c r="I18" i="83"/>
  <c r="J18" i="83"/>
  <c r="K18" i="83"/>
  <c r="L18" i="83"/>
  <c r="M18" i="83"/>
  <c r="N18" i="83"/>
  <c r="O18" i="83"/>
  <c r="P18" i="83"/>
  <c r="Q18" i="83"/>
  <c r="R18" i="83"/>
  <c r="S18" i="83"/>
  <c r="T18" i="83"/>
  <c r="U18" i="83"/>
  <c r="V18" i="83"/>
  <c r="W18" i="83"/>
  <c r="X18" i="83"/>
  <c r="Y18" i="83"/>
  <c r="Z18" i="83"/>
  <c r="AA18" i="83"/>
  <c r="AB18" i="83"/>
  <c r="AC18" i="83"/>
  <c r="AD18" i="83"/>
  <c r="AE18" i="83"/>
  <c r="AF18" i="83"/>
  <c r="AG18" i="83"/>
  <c r="AH18" i="83"/>
  <c r="AI18" i="83"/>
  <c r="AJ18" i="83"/>
  <c r="AK18" i="83"/>
  <c r="AL18" i="83"/>
  <c r="AM18" i="83"/>
  <c r="AN18" i="83"/>
  <c r="AO18" i="83"/>
  <c r="AP18" i="83"/>
  <c r="AQ18" i="83"/>
  <c r="AR18" i="83"/>
  <c r="AS18" i="83"/>
  <c r="AT18" i="83"/>
  <c r="AU18" i="83"/>
  <c r="AV18" i="83"/>
  <c r="AW18" i="83"/>
  <c r="G19" i="83"/>
  <c r="H19" i="83"/>
  <c r="I19" i="83"/>
  <c r="J19" i="83"/>
  <c r="K19" i="83"/>
  <c r="L19" i="83"/>
  <c r="M19" i="83"/>
  <c r="N19" i="83"/>
  <c r="O19" i="83"/>
  <c r="P19" i="83"/>
  <c r="Q19" i="83"/>
  <c r="R19" i="83"/>
  <c r="S19" i="83"/>
  <c r="T19" i="83"/>
  <c r="U19" i="83"/>
  <c r="V19" i="83"/>
  <c r="W19" i="83"/>
  <c r="X19" i="83"/>
  <c r="Y19" i="83"/>
  <c r="Z19" i="83"/>
  <c r="AA19" i="83"/>
  <c r="AB19" i="83"/>
  <c r="AC19" i="83"/>
  <c r="AD19" i="83"/>
  <c r="AE19" i="83"/>
  <c r="AF19" i="83"/>
  <c r="AG19" i="83"/>
  <c r="AH19" i="83"/>
  <c r="AI19" i="83"/>
  <c r="AJ19" i="83"/>
  <c r="AK19" i="83"/>
  <c r="AL19" i="83"/>
  <c r="AM19" i="83"/>
  <c r="AN19" i="83"/>
  <c r="AO19" i="83"/>
  <c r="AP19" i="83"/>
  <c r="AQ19" i="83"/>
  <c r="AR19" i="83"/>
  <c r="AS19" i="83"/>
  <c r="AT19" i="83"/>
  <c r="AU19" i="83"/>
  <c r="AV19" i="83"/>
  <c r="AW19" i="83"/>
  <c r="G20" i="83"/>
  <c r="H20" i="83"/>
  <c r="I20" i="83"/>
  <c r="J20" i="83"/>
  <c r="K20" i="83"/>
  <c r="L20" i="83"/>
  <c r="M20" i="83"/>
  <c r="N20" i="83"/>
  <c r="O20" i="83"/>
  <c r="P20" i="83"/>
  <c r="Q20" i="83"/>
  <c r="R20" i="83"/>
  <c r="S20" i="83"/>
  <c r="T20" i="83"/>
  <c r="U20" i="83"/>
  <c r="V20" i="83"/>
  <c r="W20" i="83"/>
  <c r="X20" i="83"/>
  <c r="Y20" i="83"/>
  <c r="Z20" i="83"/>
  <c r="AA20" i="83"/>
  <c r="AB20" i="83"/>
  <c r="AC20" i="83"/>
  <c r="AD20" i="83"/>
  <c r="AE20" i="83"/>
  <c r="AF20" i="83"/>
  <c r="AG20" i="83"/>
  <c r="AH20" i="83"/>
  <c r="AI20" i="83"/>
  <c r="AJ20" i="83"/>
  <c r="AK20" i="83"/>
  <c r="AL20" i="83"/>
  <c r="AM20" i="83"/>
  <c r="AN20" i="83"/>
  <c r="AO20" i="83"/>
  <c r="AP20" i="83"/>
  <c r="AQ20" i="83"/>
  <c r="AR20" i="83"/>
  <c r="AS20" i="83"/>
  <c r="AT20" i="83"/>
  <c r="AU20" i="83"/>
  <c r="AV20" i="83"/>
  <c r="AW20" i="83"/>
  <c r="G21" i="83"/>
  <c r="H21" i="83"/>
  <c r="I21" i="83"/>
  <c r="J21" i="83"/>
  <c r="K21" i="83"/>
  <c r="L21" i="83"/>
  <c r="M21" i="83"/>
  <c r="N21" i="83"/>
  <c r="O21" i="83"/>
  <c r="P21" i="83"/>
  <c r="Q21" i="83"/>
  <c r="R21" i="83"/>
  <c r="S21" i="83"/>
  <c r="T21" i="83"/>
  <c r="U21" i="83"/>
  <c r="V21" i="83"/>
  <c r="W21" i="83"/>
  <c r="X21" i="83"/>
  <c r="Y21" i="83"/>
  <c r="Z21" i="83"/>
  <c r="AA21" i="83"/>
  <c r="AB21" i="83"/>
  <c r="AC21" i="83"/>
  <c r="AD21" i="83"/>
  <c r="AE21" i="83"/>
  <c r="AF21" i="83"/>
  <c r="AG21" i="83"/>
  <c r="AH21" i="83"/>
  <c r="AI21" i="83"/>
  <c r="AJ21" i="83"/>
  <c r="AK21" i="83"/>
  <c r="AL21" i="83"/>
  <c r="AM21" i="83"/>
  <c r="AN21" i="83"/>
  <c r="AO21" i="83"/>
  <c r="AP21" i="83"/>
  <c r="AQ21" i="83"/>
  <c r="AR21" i="83"/>
  <c r="AS21" i="83"/>
  <c r="AT21" i="83"/>
  <c r="AU21" i="83"/>
  <c r="AV21" i="83"/>
  <c r="AW21" i="83"/>
  <c r="G22" i="83"/>
  <c r="H22" i="83"/>
  <c r="I22" i="83"/>
  <c r="J22" i="83"/>
  <c r="K22" i="83"/>
  <c r="L22" i="83"/>
  <c r="M22" i="83"/>
  <c r="N22" i="83"/>
  <c r="O22" i="83"/>
  <c r="P22" i="83"/>
  <c r="Q22" i="83"/>
  <c r="R22" i="83"/>
  <c r="S22" i="83"/>
  <c r="T22" i="83"/>
  <c r="U22" i="83"/>
  <c r="V22" i="83"/>
  <c r="W22" i="83"/>
  <c r="X22" i="83"/>
  <c r="Y22" i="83"/>
  <c r="Z22" i="83"/>
  <c r="AA22" i="83"/>
  <c r="AB22" i="83"/>
  <c r="AC22" i="83"/>
  <c r="AD22" i="83"/>
  <c r="AE22" i="83"/>
  <c r="AF22" i="83"/>
  <c r="AG22" i="83"/>
  <c r="AH22" i="83"/>
  <c r="AI22" i="83"/>
  <c r="AJ22" i="83"/>
  <c r="AK22" i="83"/>
  <c r="AL22" i="83"/>
  <c r="AM22" i="83"/>
  <c r="AN22" i="83"/>
  <c r="AO22" i="83"/>
  <c r="AP22" i="83"/>
  <c r="AQ22" i="83"/>
  <c r="AR22" i="83"/>
  <c r="AS22" i="83"/>
  <c r="AT22" i="83"/>
  <c r="AU22" i="83"/>
  <c r="AV22" i="83"/>
  <c r="AW22" i="83"/>
  <c r="G23" i="83"/>
  <c r="H23" i="83"/>
  <c r="I23" i="83"/>
  <c r="J23" i="83"/>
  <c r="K23" i="83"/>
  <c r="L23" i="83"/>
  <c r="M23" i="83"/>
  <c r="N23" i="83"/>
  <c r="O23" i="83"/>
  <c r="P23" i="83"/>
  <c r="Q23" i="83"/>
  <c r="R23" i="83"/>
  <c r="S23" i="83"/>
  <c r="T23" i="83"/>
  <c r="U23" i="83"/>
  <c r="V23" i="83"/>
  <c r="W23" i="83"/>
  <c r="X23" i="83"/>
  <c r="Y23" i="83"/>
  <c r="Z23" i="83"/>
  <c r="AA23" i="83"/>
  <c r="AB23" i="83"/>
  <c r="AC23" i="83"/>
  <c r="AD23" i="83"/>
  <c r="AE23" i="83"/>
  <c r="AF23" i="83"/>
  <c r="AG23" i="83"/>
  <c r="AH23" i="83"/>
  <c r="AI23" i="83"/>
  <c r="AJ23" i="83"/>
  <c r="AK23" i="83"/>
  <c r="AL23" i="83"/>
  <c r="AM23" i="83"/>
  <c r="AN23" i="83"/>
  <c r="AO23" i="83"/>
  <c r="AP23" i="83"/>
  <c r="AQ23" i="83"/>
  <c r="AR23" i="83"/>
  <c r="AS23" i="83"/>
  <c r="AT23" i="83"/>
  <c r="AU23" i="83"/>
  <c r="AV23" i="83"/>
  <c r="AW23" i="83"/>
  <c r="G24" i="83"/>
  <c r="H24" i="83"/>
  <c r="I24" i="83"/>
  <c r="J24" i="83"/>
  <c r="K24" i="83"/>
  <c r="L24" i="83"/>
  <c r="M24" i="83"/>
  <c r="N24" i="83"/>
  <c r="O24" i="83"/>
  <c r="P24" i="83"/>
  <c r="Q24" i="83"/>
  <c r="R24" i="83"/>
  <c r="S24" i="83"/>
  <c r="T24" i="83"/>
  <c r="U24" i="83"/>
  <c r="V24" i="83"/>
  <c r="W24" i="83"/>
  <c r="X24" i="83"/>
  <c r="Y24" i="83"/>
  <c r="Z24" i="83"/>
  <c r="AA24" i="83"/>
  <c r="AB24" i="83"/>
  <c r="AC24" i="83"/>
  <c r="AD24" i="83"/>
  <c r="AE24" i="83"/>
  <c r="AF24" i="83"/>
  <c r="AG24" i="83"/>
  <c r="AH24" i="83"/>
  <c r="AI24" i="83"/>
  <c r="AJ24" i="83"/>
  <c r="AK24" i="83"/>
  <c r="AL24" i="83"/>
  <c r="AM24" i="83"/>
  <c r="AN24" i="83"/>
  <c r="AO24" i="83"/>
  <c r="AP24" i="83"/>
  <c r="AQ24" i="83"/>
  <c r="AR24" i="83"/>
  <c r="AS24" i="83"/>
  <c r="AT24" i="83"/>
  <c r="AU24" i="83"/>
  <c r="AV24" i="83"/>
  <c r="AW24" i="83"/>
  <c r="G25" i="83"/>
  <c r="H25" i="83"/>
  <c r="I25" i="83"/>
  <c r="J25" i="83"/>
  <c r="K25" i="83"/>
  <c r="L25" i="83"/>
  <c r="M25" i="83"/>
  <c r="N25" i="83"/>
  <c r="O25" i="83"/>
  <c r="P25" i="83"/>
  <c r="Q25" i="83"/>
  <c r="R25" i="83"/>
  <c r="S25" i="83"/>
  <c r="T25" i="83"/>
  <c r="U25" i="83"/>
  <c r="V25" i="83"/>
  <c r="W25" i="83"/>
  <c r="X25" i="83"/>
  <c r="Y25" i="83"/>
  <c r="Z25" i="83"/>
  <c r="AA25" i="83"/>
  <c r="AB25" i="83"/>
  <c r="AC25" i="83"/>
  <c r="AD25" i="83"/>
  <c r="AE25" i="83"/>
  <c r="AF25" i="83"/>
  <c r="AG25" i="83"/>
  <c r="AH25" i="83"/>
  <c r="AI25" i="83"/>
  <c r="AJ25" i="83"/>
  <c r="AK25" i="83"/>
  <c r="AL25" i="83"/>
  <c r="AM25" i="83"/>
  <c r="AN25" i="83"/>
  <c r="AO25" i="83"/>
  <c r="AP25" i="83"/>
  <c r="AQ25" i="83"/>
  <c r="AR25" i="83"/>
  <c r="AS25" i="83"/>
  <c r="AT25" i="83"/>
  <c r="AU25" i="83"/>
  <c r="AV25" i="83"/>
  <c r="AW25" i="83"/>
  <c r="G26" i="83"/>
  <c r="H26" i="83"/>
  <c r="I26" i="83"/>
  <c r="J26" i="83"/>
  <c r="K26" i="83"/>
  <c r="L26" i="83"/>
  <c r="M26" i="83"/>
  <c r="N26" i="83"/>
  <c r="O26" i="83"/>
  <c r="P26" i="83"/>
  <c r="Q26" i="83"/>
  <c r="R26" i="83"/>
  <c r="S26" i="83"/>
  <c r="T26" i="83"/>
  <c r="U26" i="83"/>
  <c r="V26" i="83"/>
  <c r="W26" i="83"/>
  <c r="X26" i="83"/>
  <c r="Y26" i="83"/>
  <c r="Z26" i="83"/>
  <c r="AA26" i="83"/>
  <c r="AB26" i="83"/>
  <c r="AC26" i="83"/>
  <c r="AD26" i="83"/>
  <c r="AE26" i="83"/>
  <c r="AF26" i="83"/>
  <c r="AG26" i="83"/>
  <c r="AH26" i="83"/>
  <c r="AI26" i="83"/>
  <c r="AJ26" i="83"/>
  <c r="AK26" i="83"/>
  <c r="AL26" i="83"/>
  <c r="AM26" i="83"/>
  <c r="AN26" i="83"/>
  <c r="AO26" i="83"/>
  <c r="AP26" i="83"/>
  <c r="AQ26" i="83"/>
  <c r="AR26" i="83"/>
  <c r="AS26" i="83"/>
  <c r="AT26" i="83"/>
  <c r="AU26" i="83"/>
  <c r="AV26" i="83"/>
  <c r="AW26" i="83"/>
  <c r="G27" i="83"/>
  <c r="H27" i="83"/>
  <c r="I27" i="83"/>
  <c r="J27" i="83"/>
  <c r="K27" i="83"/>
  <c r="L27" i="83"/>
  <c r="M27" i="83"/>
  <c r="N27" i="83"/>
  <c r="O27" i="83"/>
  <c r="P27" i="83"/>
  <c r="Q27" i="83"/>
  <c r="R27" i="83"/>
  <c r="S27" i="83"/>
  <c r="T27" i="83"/>
  <c r="U27" i="83"/>
  <c r="V27" i="83"/>
  <c r="W27" i="83"/>
  <c r="X27" i="83"/>
  <c r="Y27" i="83"/>
  <c r="Z27" i="83"/>
  <c r="AA27" i="83"/>
  <c r="AB27" i="83"/>
  <c r="AC27" i="83"/>
  <c r="AD27" i="83"/>
  <c r="AE27" i="83"/>
  <c r="AF27" i="83"/>
  <c r="AG27" i="83"/>
  <c r="AH27" i="83"/>
  <c r="AI27" i="83"/>
  <c r="AJ27" i="83"/>
  <c r="AK27" i="83"/>
  <c r="AL27" i="83"/>
  <c r="AM27" i="83"/>
  <c r="AN27" i="83"/>
  <c r="AO27" i="83"/>
  <c r="AP27" i="83"/>
  <c r="AQ27" i="83"/>
  <c r="AR27" i="83"/>
  <c r="AS27" i="83"/>
  <c r="AT27" i="83"/>
  <c r="AU27" i="83"/>
  <c r="AV27" i="83"/>
  <c r="AW27" i="83"/>
  <c r="G28" i="83"/>
  <c r="H28" i="83"/>
  <c r="I28" i="83"/>
  <c r="J28" i="83"/>
  <c r="K28" i="83"/>
  <c r="L28" i="83"/>
  <c r="M28" i="83"/>
  <c r="N28" i="83"/>
  <c r="O28" i="83"/>
  <c r="P28" i="83"/>
  <c r="Q28" i="83"/>
  <c r="R28" i="83"/>
  <c r="S28" i="83"/>
  <c r="T28" i="83"/>
  <c r="U28" i="83"/>
  <c r="V28" i="83"/>
  <c r="W28" i="83"/>
  <c r="X28" i="83"/>
  <c r="Y28" i="83"/>
  <c r="Z28" i="83"/>
  <c r="AA28" i="83"/>
  <c r="AB28" i="83"/>
  <c r="AC28" i="83"/>
  <c r="AD28" i="83"/>
  <c r="AE28" i="83"/>
  <c r="AF28" i="83"/>
  <c r="AG28" i="83"/>
  <c r="AH28" i="83"/>
  <c r="AI28" i="83"/>
  <c r="AJ28" i="83"/>
  <c r="AK28" i="83"/>
  <c r="AL28" i="83"/>
  <c r="AM28" i="83"/>
  <c r="AN28" i="83"/>
  <c r="AO28" i="83"/>
  <c r="AP28" i="83"/>
  <c r="AQ28" i="83"/>
  <c r="AR28" i="83"/>
  <c r="AS28" i="83"/>
  <c r="AT28" i="83"/>
  <c r="AU28" i="83"/>
  <c r="AV28" i="83"/>
  <c r="AW28" i="83"/>
  <c r="G29" i="83"/>
  <c r="H29" i="83"/>
  <c r="I29" i="83"/>
  <c r="J29" i="83"/>
  <c r="K29" i="83"/>
  <c r="L29" i="83"/>
  <c r="M29" i="83"/>
  <c r="N29" i="83"/>
  <c r="O29" i="83"/>
  <c r="P29" i="83"/>
  <c r="Q29" i="83"/>
  <c r="R29" i="83"/>
  <c r="S29" i="83"/>
  <c r="T29" i="83"/>
  <c r="U29" i="83"/>
  <c r="V29" i="83"/>
  <c r="W29" i="83"/>
  <c r="X29" i="83"/>
  <c r="Y29" i="83"/>
  <c r="Z29" i="83"/>
  <c r="AA29" i="83"/>
  <c r="AB29" i="83"/>
  <c r="AC29" i="83"/>
  <c r="AD29" i="83"/>
  <c r="AE29" i="83"/>
  <c r="AF29" i="83"/>
  <c r="AG29" i="83"/>
  <c r="AH29" i="83"/>
  <c r="AI29" i="83"/>
  <c r="AJ29" i="83"/>
  <c r="AK29" i="83"/>
  <c r="AL29" i="83"/>
  <c r="AM29" i="83"/>
  <c r="AN29" i="83"/>
  <c r="AO29" i="83"/>
  <c r="AP29" i="83"/>
  <c r="AQ29" i="83"/>
  <c r="AR29" i="83"/>
  <c r="AS29" i="83"/>
  <c r="AT29" i="83"/>
  <c r="AU29" i="83"/>
  <c r="AV29" i="83"/>
  <c r="AW29" i="83"/>
  <c r="G30" i="83"/>
  <c r="H30" i="83"/>
  <c r="I30" i="83"/>
  <c r="J30" i="83"/>
  <c r="K30" i="83"/>
  <c r="L30" i="83"/>
  <c r="M30" i="83"/>
  <c r="N30" i="83"/>
  <c r="O30" i="83"/>
  <c r="P30" i="83"/>
  <c r="Q30" i="83"/>
  <c r="R30" i="83"/>
  <c r="S30" i="83"/>
  <c r="T30" i="83"/>
  <c r="U30" i="83"/>
  <c r="V30" i="83"/>
  <c r="W30" i="83"/>
  <c r="X30" i="83"/>
  <c r="Y30" i="83"/>
  <c r="Z30" i="83"/>
  <c r="AA30" i="83"/>
  <c r="AB30" i="83"/>
  <c r="AC30" i="83"/>
  <c r="AD30" i="83"/>
  <c r="AE30" i="83"/>
  <c r="AF30" i="83"/>
  <c r="AG30" i="83"/>
  <c r="AH30" i="83"/>
  <c r="AI30" i="83"/>
  <c r="AJ30" i="83"/>
  <c r="AK30" i="83"/>
  <c r="AL30" i="83"/>
  <c r="AM30" i="83"/>
  <c r="AN30" i="83"/>
  <c r="AO30" i="83"/>
  <c r="AP30" i="83"/>
  <c r="AQ30" i="83"/>
  <c r="AR30" i="83"/>
  <c r="AS30" i="83"/>
  <c r="AT30" i="83"/>
  <c r="AU30" i="83"/>
  <c r="AV30" i="83"/>
  <c r="AW30" i="83"/>
  <c r="G31" i="83"/>
  <c r="H31" i="83"/>
  <c r="I31" i="83"/>
  <c r="J31" i="83"/>
  <c r="K31" i="83"/>
  <c r="L31" i="83"/>
  <c r="M31" i="83"/>
  <c r="N31" i="83"/>
  <c r="O31" i="83"/>
  <c r="P31" i="83"/>
  <c r="Q31" i="83"/>
  <c r="R31" i="83"/>
  <c r="S31" i="83"/>
  <c r="T31" i="83"/>
  <c r="U31" i="83"/>
  <c r="V31" i="83"/>
  <c r="W31" i="83"/>
  <c r="X31" i="83"/>
  <c r="Y31" i="83"/>
  <c r="Z31" i="83"/>
  <c r="AA31" i="83"/>
  <c r="AB31" i="83"/>
  <c r="AC31" i="83"/>
  <c r="AD31" i="83"/>
  <c r="AE31" i="83"/>
  <c r="AF31" i="83"/>
  <c r="AG31" i="83"/>
  <c r="AH31" i="83"/>
  <c r="AI31" i="83"/>
  <c r="AJ31" i="83"/>
  <c r="AK31" i="83"/>
  <c r="AL31" i="83"/>
  <c r="AM31" i="83"/>
  <c r="AN31" i="83"/>
  <c r="AO31" i="83"/>
  <c r="AP31" i="83"/>
  <c r="AQ31" i="83"/>
  <c r="AR31" i="83"/>
  <c r="AS31" i="83"/>
  <c r="AT31" i="83"/>
  <c r="AU31" i="83"/>
  <c r="AV31" i="83"/>
  <c r="AW31" i="83"/>
  <c r="G32" i="83"/>
  <c r="H32" i="83"/>
  <c r="I32" i="83"/>
  <c r="J32" i="83"/>
  <c r="K32" i="83"/>
  <c r="L32" i="83"/>
  <c r="M32" i="83"/>
  <c r="N32" i="83"/>
  <c r="O32" i="83"/>
  <c r="P32" i="83"/>
  <c r="Q32" i="83"/>
  <c r="R32" i="83"/>
  <c r="S32" i="83"/>
  <c r="T32" i="83"/>
  <c r="U32" i="83"/>
  <c r="V32" i="83"/>
  <c r="W32" i="83"/>
  <c r="X32" i="83"/>
  <c r="Y32" i="83"/>
  <c r="Z32" i="83"/>
  <c r="AA32" i="83"/>
  <c r="AB32" i="83"/>
  <c r="AC32" i="83"/>
  <c r="AD32" i="83"/>
  <c r="AE32" i="83"/>
  <c r="AF32" i="83"/>
  <c r="AG32" i="83"/>
  <c r="AH32" i="83"/>
  <c r="AI32" i="83"/>
  <c r="AJ32" i="83"/>
  <c r="AK32" i="83"/>
  <c r="AL32" i="83"/>
  <c r="AM32" i="83"/>
  <c r="AN32" i="83"/>
  <c r="AO32" i="83"/>
  <c r="AP32" i="83"/>
  <c r="AQ32" i="83"/>
  <c r="AR32" i="83"/>
  <c r="AS32" i="83"/>
  <c r="AT32" i="83"/>
  <c r="AU32" i="83"/>
  <c r="AV32" i="83"/>
  <c r="AW32" i="83"/>
  <c r="G33" i="83"/>
  <c r="H33" i="83"/>
  <c r="I33" i="83"/>
  <c r="J33" i="83"/>
  <c r="K33" i="83"/>
  <c r="L33" i="83"/>
  <c r="M33" i="83"/>
  <c r="N33" i="83"/>
  <c r="O33" i="83"/>
  <c r="P33" i="83"/>
  <c r="Q33" i="83"/>
  <c r="R33" i="83"/>
  <c r="S33" i="83"/>
  <c r="T33" i="83"/>
  <c r="U33" i="83"/>
  <c r="V33" i="83"/>
  <c r="W33" i="83"/>
  <c r="X33" i="83"/>
  <c r="Y33" i="83"/>
  <c r="Z33" i="83"/>
  <c r="AA33" i="83"/>
  <c r="AB33" i="83"/>
  <c r="AC33" i="83"/>
  <c r="AD33" i="83"/>
  <c r="AE33" i="83"/>
  <c r="AF33" i="83"/>
  <c r="AG33" i="83"/>
  <c r="AH33" i="83"/>
  <c r="AI33" i="83"/>
  <c r="AJ33" i="83"/>
  <c r="AK33" i="83"/>
  <c r="AL33" i="83"/>
  <c r="AM33" i="83"/>
  <c r="AN33" i="83"/>
  <c r="AO33" i="83"/>
  <c r="AP33" i="83"/>
  <c r="AQ33" i="83"/>
  <c r="AR33" i="83"/>
  <c r="AS33" i="83"/>
  <c r="AT33" i="83"/>
  <c r="AU33" i="83"/>
  <c r="AV33" i="83"/>
  <c r="AW33" i="83"/>
  <c r="G34" i="83"/>
  <c r="H34" i="83"/>
  <c r="I34" i="83"/>
  <c r="J34" i="83"/>
  <c r="K34" i="83"/>
  <c r="L34" i="83"/>
  <c r="M34" i="83"/>
  <c r="N34" i="83"/>
  <c r="O34" i="83"/>
  <c r="P34" i="83"/>
  <c r="Q34" i="83"/>
  <c r="R34" i="83"/>
  <c r="S34" i="83"/>
  <c r="T34" i="83"/>
  <c r="U34" i="83"/>
  <c r="V34" i="83"/>
  <c r="W34" i="83"/>
  <c r="X34" i="83"/>
  <c r="Y34" i="83"/>
  <c r="Z34" i="83"/>
  <c r="AA34" i="83"/>
  <c r="AB34" i="83"/>
  <c r="AC34" i="83"/>
  <c r="AD34" i="83"/>
  <c r="AE34" i="83"/>
  <c r="AF34" i="83"/>
  <c r="AG34" i="83"/>
  <c r="AH34" i="83"/>
  <c r="AI34" i="83"/>
  <c r="AJ34" i="83"/>
  <c r="AK34" i="83"/>
  <c r="AL34" i="83"/>
  <c r="AM34" i="83"/>
  <c r="AN34" i="83"/>
  <c r="AO34" i="83"/>
  <c r="AP34" i="83"/>
  <c r="AQ34" i="83"/>
  <c r="AR34" i="83"/>
  <c r="AS34" i="83"/>
  <c r="AT34" i="83"/>
  <c r="AU34" i="83"/>
  <c r="AV34" i="83"/>
  <c r="AW34" i="83"/>
  <c r="G35" i="83"/>
  <c r="H35" i="83"/>
  <c r="I35" i="83"/>
  <c r="J35" i="83"/>
  <c r="K35" i="83"/>
  <c r="L35" i="83"/>
  <c r="M35" i="83"/>
  <c r="N35" i="83"/>
  <c r="O35" i="83"/>
  <c r="P35" i="83"/>
  <c r="Q35" i="83"/>
  <c r="R35" i="83"/>
  <c r="S35" i="83"/>
  <c r="T35" i="83"/>
  <c r="U35" i="83"/>
  <c r="V35" i="83"/>
  <c r="W35" i="83"/>
  <c r="X35" i="83"/>
  <c r="Y35" i="83"/>
  <c r="Z35" i="83"/>
  <c r="AA35" i="83"/>
  <c r="AB35" i="83"/>
  <c r="AC35" i="83"/>
  <c r="AD35" i="83"/>
  <c r="AE35" i="83"/>
  <c r="AF35" i="83"/>
  <c r="AG35" i="83"/>
  <c r="AH35" i="83"/>
  <c r="AI35" i="83"/>
  <c r="AJ35" i="83"/>
  <c r="AK35" i="83"/>
  <c r="AL35" i="83"/>
  <c r="AM35" i="83"/>
  <c r="AN35" i="83"/>
  <c r="AO35" i="83"/>
  <c r="AP35" i="83"/>
  <c r="AQ35" i="83"/>
  <c r="AR35" i="83"/>
  <c r="AS35" i="83"/>
  <c r="AT35" i="83"/>
  <c r="AU35" i="83"/>
  <c r="AV35" i="83"/>
  <c r="AW35" i="83"/>
  <c r="G36" i="83"/>
  <c r="H36" i="83"/>
  <c r="I36" i="83"/>
  <c r="J36" i="83"/>
  <c r="K36" i="83"/>
  <c r="L36" i="83"/>
  <c r="M36" i="83"/>
  <c r="N36" i="83"/>
  <c r="O36" i="83"/>
  <c r="P36" i="83"/>
  <c r="Q36" i="83"/>
  <c r="R36" i="83"/>
  <c r="S36" i="83"/>
  <c r="T36" i="83"/>
  <c r="U36" i="83"/>
  <c r="V36" i="83"/>
  <c r="W36" i="83"/>
  <c r="X36" i="83"/>
  <c r="Y36" i="83"/>
  <c r="Z36" i="83"/>
  <c r="AA36" i="83"/>
  <c r="AB36" i="83"/>
  <c r="AC36" i="83"/>
  <c r="AD36" i="83"/>
  <c r="AE36" i="83"/>
  <c r="AF36" i="83"/>
  <c r="AG36" i="83"/>
  <c r="AH36" i="83"/>
  <c r="AI36" i="83"/>
  <c r="AJ36" i="83"/>
  <c r="AK36" i="83"/>
  <c r="AL36" i="83"/>
  <c r="AM36" i="83"/>
  <c r="AN36" i="83"/>
  <c r="AO36" i="83"/>
  <c r="AP36" i="83"/>
  <c r="AQ36" i="83"/>
  <c r="AR36" i="83"/>
  <c r="AS36" i="83"/>
  <c r="AT36" i="83"/>
  <c r="AU36" i="83"/>
  <c r="AV36" i="83"/>
  <c r="AW36" i="83"/>
  <c r="G37" i="83"/>
  <c r="H37" i="83"/>
  <c r="I37" i="83"/>
  <c r="J37" i="83"/>
  <c r="K37" i="83"/>
  <c r="L37" i="83"/>
  <c r="M37" i="83"/>
  <c r="N37" i="83"/>
  <c r="O37" i="83"/>
  <c r="P37" i="83"/>
  <c r="Q37" i="83"/>
  <c r="R37" i="83"/>
  <c r="S37" i="83"/>
  <c r="T37" i="83"/>
  <c r="U37" i="83"/>
  <c r="V37" i="83"/>
  <c r="W37" i="83"/>
  <c r="X37" i="83"/>
  <c r="Y37" i="83"/>
  <c r="Z37" i="83"/>
  <c r="AA37" i="83"/>
  <c r="AB37" i="83"/>
  <c r="AC37" i="83"/>
  <c r="AD37" i="83"/>
  <c r="AE37" i="83"/>
  <c r="AF37" i="83"/>
  <c r="AG37" i="83"/>
  <c r="AH37" i="83"/>
  <c r="AI37" i="83"/>
  <c r="AJ37" i="83"/>
  <c r="AK37" i="83"/>
  <c r="AL37" i="83"/>
  <c r="AM37" i="83"/>
  <c r="AN37" i="83"/>
  <c r="AO37" i="83"/>
  <c r="AP37" i="83"/>
  <c r="AQ37" i="83"/>
  <c r="AR37" i="83"/>
  <c r="AS37" i="83"/>
  <c r="AT37" i="83"/>
  <c r="AU37" i="83"/>
  <c r="AV37" i="83"/>
  <c r="AW37" i="83"/>
  <c r="G38" i="83"/>
  <c r="H38" i="83"/>
  <c r="I38" i="83"/>
  <c r="J38" i="83"/>
  <c r="K38" i="83"/>
  <c r="L38" i="83"/>
  <c r="M38" i="83"/>
  <c r="N38" i="83"/>
  <c r="O38" i="83"/>
  <c r="P38" i="83"/>
  <c r="Q38" i="83"/>
  <c r="R38" i="83"/>
  <c r="S38" i="83"/>
  <c r="T38" i="83"/>
  <c r="U38" i="83"/>
  <c r="V38" i="83"/>
  <c r="W38" i="83"/>
  <c r="X38" i="83"/>
  <c r="Y38" i="83"/>
  <c r="Z38" i="83"/>
  <c r="AA38" i="83"/>
  <c r="AB38" i="83"/>
  <c r="AC38" i="83"/>
  <c r="AD38" i="83"/>
  <c r="AE38" i="83"/>
  <c r="AF38" i="83"/>
  <c r="AG38" i="83"/>
  <c r="AH38" i="83"/>
  <c r="AI38" i="83"/>
  <c r="AJ38" i="83"/>
  <c r="AK38" i="83"/>
  <c r="AL38" i="83"/>
  <c r="AM38" i="83"/>
  <c r="AN38" i="83"/>
  <c r="AO38" i="83"/>
  <c r="AP38" i="83"/>
  <c r="AQ38" i="83"/>
  <c r="AR38" i="83"/>
  <c r="AS38" i="83"/>
  <c r="AT38" i="83"/>
  <c r="AU38" i="83"/>
  <c r="AV38" i="83"/>
  <c r="AW38" i="83"/>
  <c r="G39" i="83"/>
  <c r="H39" i="83"/>
  <c r="I39" i="83"/>
  <c r="J39" i="83"/>
  <c r="K39" i="83"/>
  <c r="L39" i="83"/>
  <c r="M39" i="83"/>
  <c r="N39" i="83"/>
  <c r="O39" i="83"/>
  <c r="P39" i="83"/>
  <c r="Q39" i="83"/>
  <c r="R39" i="83"/>
  <c r="S39" i="83"/>
  <c r="T39" i="83"/>
  <c r="U39" i="83"/>
  <c r="V39" i="83"/>
  <c r="W39" i="83"/>
  <c r="X39" i="83"/>
  <c r="Y39" i="83"/>
  <c r="Z39" i="83"/>
  <c r="AA39" i="83"/>
  <c r="AB39" i="83"/>
  <c r="AC39" i="83"/>
  <c r="AD39" i="83"/>
  <c r="AE39" i="83"/>
  <c r="AF39" i="83"/>
  <c r="AG39" i="83"/>
  <c r="AH39" i="83"/>
  <c r="AI39" i="83"/>
  <c r="AJ39" i="83"/>
  <c r="AK39" i="83"/>
  <c r="AL39" i="83"/>
  <c r="AM39" i="83"/>
  <c r="AN39" i="83"/>
  <c r="AO39" i="83"/>
  <c r="AP39" i="83"/>
  <c r="AQ39" i="83"/>
  <c r="AR39" i="83"/>
  <c r="AS39" i="83"/>
  <c r="AT39" i="83"/>
  <c r="AU39" i="83"/>
  <c r="AV39" i="83"/>
  <c r="AW39" i="83"/>
  <c r="G40" i="83"/>
  <c r="H40" i="83"/>
  <c r="I40" i="83"/>
  <c r="J40" i="83"/>
  <c r="K40" i="83"/>
  <c r="L40" i="83"/>
  <c r="M40" i="83"/>
  <c r="N40" i="83"/>
  <c r="O40" i="83"/>
  <c r="P40" i="83"/>
  <c r="Q40" i="83"/>
  <c r="R40" i="83"/>
  <c r="S40" i="83"/>
  <c r="T40" i="83"/>
  <c r="U40" i="83"/>
  <c r="V40" i="83"/>
  <c r="W40" i="83"/>
  <c r="X40" i="83"/>
  <c r="Y40" i="83"/>
  <c r="Z40" i="83"/>
  <c r="AA40" i="83"/>
  <c r="AB40" i="83"/>
  <c r="AC40" i="83"/>
  <c r="AD40" i="83"/>
  <c r="AE40" i="83"/>
  <c r="AF40" i="83"/>
  <c r="AG40" i="83"/>
  <c r="AH40" i="83"/>
  <c r="AI40" i="83"/>
  <c r="AJ40" i="83"/>
  <c r="AK40" i="83"/>
  <c r="AL40" i="83"/>
  <c r="AM40" i="83"/>
  <c r="AN40" i="83"/>
  <c r="AO40" i="83"/>
  <c r="AP40" i="83"/>
  <c r="AQ40" i="83"/>
  <c r="AR40" i="83"/>
  <c r="AS40" i="83"/>
  <c r="AT40" i="83"/>
  <c r="AU40" i="83"/>
  <c r="AV40" i="83"/>
  <c r="AW40" i="83"/>
  <c r="G41" i="83"/>
  <c r="H41" i="83"/>
  <c r="I41" i="83"/>
  <c r="J41" i="83"/>
  <c r="K41" i="83"/>
  <c r="L41" i="83"/>
  <c r="M41" i="83"/>
  <c r="N41" i="83"/>
  <c r="O41" i="83"/>
  <c r="P41" i="83"/>
  <c r="Q41" i="83"/>
  <c r="R41" i="83"/>
  <c r="S41" i="83"/>
  <c r="T41" i="83"/>
  <c r="U41" i="83"/>
  <c r="V41" i="83"/>
  <c r="W41" i="83"/>
  <c r="X41" i="83"/>
  <c r="Y41" i="83"/>
  <c r="Z41" i="83"/>
  <c r="AA41" i="83"/>
  <c r="AB41" i="83"/>
  <c r="AC41" i="83"/>
  <c r="AD41" i="83"/>
  <c r="AE41" i="83"/>
  <c r="AF41" i="83"/>
  <c r="AG41" i="83"/>
  <c r="AH41" i="83"/>
  <c r="AI41" i="83"/>
  <c r="AJ41" i="83"/>
  <c r="AK41" i="83"/>
  <c r="AL41" i="83"/>
  <c r="AM41" i="83"/>
  <c r="AN41" i="83"/>
  <c r="AO41" i="83"/>
  <c r="AP41" i="83"/>
  <c r="AQ41" i="83"/>
  <c r="AR41" i="83"/>
  <c r="AS41" i="83"/>
  <c r="AT41" i="83"/>
  <c r="AU41" i="83"/>
  <c r="AV41" i="83"/>
  <c r="AW41" i="83"/>
  <c r="G42" i="83"/>
  <c r="H42" i="83"/>
  <c r="I42" i="83"/>
  <c r="J42" i="83"/>
  <c r="K42" i="83"/>
  <c r="L42" i="83"/>
  <c r="M42" i="83"/>
  <c r="N42" i="83"/>
  <c r="O42" i="83"/>
  <c r="P42" i="83"/>
  <c r="Q42" i="83"/>
  <c r="R42" i="83"/>
  <c r="S42" i="83"/>
  <c r="T42" i="83"/>
  <c r="U42" i="83"/>
  <c r="V42" i="83"/>
  <c r="W42" i="83"/>
  <c r="X42" i="83"/>
  <c r="Y42" i="83"/>
  <c r="Z42" i="83"/>
  <c r="AA42" i="83"/>
  <c r="AB42" i="83"/>
  <c r="AC42" i="83"/>
  <c r="AD42" i="83"/>
  <c r="AE42" i="83"/>
  <c r="AF42" i="83"/>
  <c r="AG42" i="83"/>
  <c r="AH42" i="83"/>
  <c r="AI42" i="83"/>
  <c r="AJ42" i="83"/>
  <c r="AK42" i="83"/>
  <c r="AL42" i="83"/>
  <c r="AM42" i="83"/>
  <c r="AN42" i="83"/>
  <c r="AO42" i="83"/>
  <c r="AP42" i="83"/>
  <c r="AQ42" i="83"/>
  <c r="AR42" i="83"/>
  <c r="AS42" i="83"/>
  <c r="AT42" i="83"/>
  <c r="AU42" i="83"/>
  <c r="AV42" i="83"/>
  <c r="AW42" i="83"/>
  <c r="G43" i="83"/>
  <c r="H43" i="83"/>
  <c r="I43" i="83"/>
  <c r="J43" i="83"/>
  <c r="K43" i="83"/>
  <c r="L43" i="83"/>
  <c r="M43" i="83"/>
  <c r="N43" i="83"/>
  <c r="O43" i="83"/>
  <c r="P43" i="83"/>
  <c r="Q43" i="83"/>
  <c r="R43" i="83"/>
  <c r="S43" i="83"/>
  <c r="T43" i="83"/>
  <c r="U43" i="83"/>
  <c r="V43" i="83"/>
  <c r="W43" i="83"/>
  <c r="X43" i="83"/>
  <c r="Y43" i="83"/>
  <c r="Z43" i="83"/>
  <c r="AA43" i="83"/>
  <c r="AB43" i="83"/>
  <c r="AC43" i="83"/>
  <c r="AD43" i="83"/>
  <c r="AE43" i="83"/>
  <c r="AF43" i="83"/>
  <c r="AG43" i="83"/>
  <c r="AH43" i="83"/>
  <c r="AI43" i="83"/>
  <c r="AJ43" i="83"/>
  <c r="AK43" i="83"/>
  <c r="AL43" i="83"/>
  <c r="AM43" i="83"/>
  <c r="AN43" i="83"/>
  <c r="AO43" i="83"/>
  <c r="AP43" i="83"/>
  <c r="AQ43" i="83"/>
  <c r="AR43" i="83"/>
  <c r="AS43" i="83"/>
  <c r="AT43" i="83"/>
  <c r="AU43" i="83"/>
  <c r="AV43" i="83"/>
  <c r="AW43" i="83"/>
  <c r="G44" i="83"/>
  <c r="H44" i="83"/>
  <c r="I44" i="83"/>
  <c r="J44" i="83"/>
  <c r="K44" i="83"/>
  <c r="L44" i="83"/>
  <c r="M44" i="83"/>
  <c r="N44" i="83"/>
  <c r="O44" i="83"/>
  <c r="P44" i="83"/>
  <c r="Q44" i="83"/>
  <c r="R44" i="83"/>
  <c r="S44" i="83"/>
  <c r="T44" i="83"/>
  <c r="U44" i="83"/>
  <c r="V44" i="83"/>
  <c r="W44" i="83"/>
  <c r="X44" i="83"/>
  <c r="Y44" i="83"/>
  <c r="Z44" i="83"/>
  <c r="AA44" i="83"/>
  <c r="AB44" i="83"/>
  <c r="AC44" i="83"/>
  <c r="AD44" i="83"/>
  <c r="AE44" i="83"/>
  <c r="AF44" i="83"/>
  <c r="AG44" i="83"/>
  <c r="AH44" i="83"/>
  <c r="AI44" i="83"/>
  <c r="AJ44" i="83"/>
  <c r="AK44" i="83"/>
  <c r="AL44" i="83"/>
  <c r="AM44" i="83"/>
  <c r="AN44" i="83"/>
  <c r="AO44" i="83"/>
  <c r="AP44" i="83"/>
  <c r="AQ44" i="83"/>
  <c r="AR44" i="83"/>
  <c r="AS44" i="83"/>
  <c r="AT44" i="83"/>
  <c r="AU44" i="83"/>
  <c r="AV44" i="83"/>
  <c r="AW44" i="83"/>
  <c r="G45" i="83"/>
  <c r="H45" i="83"/>
  <c r="I45" i="83"/>
  <c r="J45" i="83"/>
  <c r="K45" i="83"/>
  <c r="L45" i="83"/>
  <c r="M45" i="83"/>
  <c r="N45" i="83"/>
  <c r="O45" i="83"/>
  <c r="P45" i="83"/>
  <c r="Q45" i="83"/>
  <c r="R45" i="83"/>
  <c r="S45" i="83"/>
  <c r="T45" i="83"/>
  <c r="U45" i="83"/>
  <c r="V45" i="83"/>
  <c r="W45" i="83"/>
  <c r="X45" i="83"/>
  <c r="Y45" i="83"/>
  <c r="Z45" i="83"/>
  <c r="AA45" i="83"/>
  <c r="AB45" i="83"/>
  <c r="AC45" i="83"/>
  <c r="AD45" i="83"/>
  <c r="AE45" i="83"/>
  <c r="AF45" i="83"/>
  <c r="AG45" i="83"/>
  <c r="AH45" i="83"/>
  <c r="AI45" i="83"/>
  <c r="AJ45" i="83"/>
  <c r="AK45" i="83"/>
  <c r="AL45" i="83"/>
  <c r="AM45" i="83"/>
  <c r="AN45" i="83"/>
  <c r="AO45" i="83"/>
  <c r="AP45" i="83"/>
  <c r="AQ45" i="83"/>
  <c r="AR45" i="83"/>
  <c r="AS45" i="83"/>
  <c r="AT45" i="83"/>
  <c r="AU45" i="83"/>
  <c r="AV45" i="83"/>
  <c r="AW45" i="83"/>
  <c r="F3" i="83"/>
  <c r="F4" i="83"/>
  <c r="F5" i="83"/>
  <c r="F6" i="83"/>
  <c r="F7" i="83"/>
  <c r="F8" i="83"/>
  <c r="F9" i="83"/>
  <c r="F10" i="83"/>
  <c r="F11" i="83"/>
  <c r="F12" i="83"/>
  <c r="F13" i="83"/>
  <c r="F14" i="83"/>
  <c r="F15" i="83"/>
  <c r="F16" i="83"/>
  <c r="F17" i="83"/>
  <c r="F18" i="83"/>
  <c r="F19" i="83"/>
  <c r="F20" i="83"/>
  <c r="F21" i="83"/>
  <c r="F22" i="83"/>
  <c r="F23" i="83"/>
  <c r="F24" i="83"/>
  <c r="F25" i="83"/>
  <c r="F26" i="83"/>
  <c r="F27" i="83"/>
  <c r="F28" i="83"/>
  <c r="F29" i="83"/>
  <c r="F30" i="83"/>
  <c r="F31" i="83"/>
  <c r="F32" i="83"/>
  <c r="F33" i="83"/>
  <c r="F34" i="83"/>
  <c r="F35" i="83"/>
  <c r="F36" i="83"/>
  <c r="F37" i="83"/>
  <c r="F38" i="83"/>
  <c r="F39" i="83"/>
  <c r="F40" i="83"/>
  <c r="F41" i="83"/>
  <c r="F42" i="83"/>
  <c r="F43" i="83"/>
  <c r="F44" i="83"/>
  <c r="F45" i="83"/>
  <c r="F2" i="83"/>
  <c r="BH5" i="83"/>
  <c r="BJ5" i="83" l="1"/>
  <c r="BK5" i="83"/>
  <c r="BL5" i="83"/>
  <c r="BM5" i="83"/>
  <c r="BN5" i="83"/>
  <c r="BO5" i="83"/>
  <c r="BP5" i="83"/>
  <c r="BQ5" i="83"/>
  <c r="BR5" i="83"/>
  <c r="BS5" i="83"/>
  <c r="BT5" i="83"/>
  <c r="BU5" i="83"/>
  <c r="BV5" i="83"/>
  <c r="BW5" i="83"/>
  <c r="BX5" i="83"/>
  <c r="BY5" i="83"/>
  <c r="BZ5" i="83"/>
  <c r="CA5" i="83"/>
  <c r="CB5" i="83"/>
  <c r="CC5" i="83"/>
  <c r="CD5" i="83"/>
  <c r="CE5" i="83"/>
  <c r="CF5" i="83"/>
  <c r="CG5" i="83"/>
  <c r="CH5" i="83"/>
  <c r="BI5" i="83"/>
  <c r="C4" i="82"/>
  <c r="D4" i="82"/>
  <c r="E4" i="82"/>
  <c r="F4" i="82"/>
  <c r="G4" i="82"/>
  <c r="H4" i="82"/>
  <c r="I4" i="82"/>
  <c r="J4" i="82"/>
  <c r="K4" i="82"/>
  <c r="L4" i="82"/>
  <c r="M4" i="82"/>
  <c r="N4" i="82"/>
  <c r="O4" i="82"/>
  <c r="P4" i="82"/>
  <c r="Q4" i="82"/>
  <c r="R4" i="82"/>
  <c r="S4" i="82"/>
  <c r="T4" i="82"/>
  <c r="U4" i="82"/>
  <c r="V4" i="82"/>
  <c r="W4" i="82"/>
  <c r="X4" i="82"/>
  <c r="Y4" i="82"/>
  <c r="Z4" i="82"/>
  <c r="AA4" i="82"/>
  <c r="AB4" i="82"/>
  <c r="AC4" i="82"/>
  <c r="AD4" i="82"/>
  <c r="AE4" i="82"/>
  <c r="AF4" i="82"/>
  <c r="AG4" i="82"/>
  <c r="AH4" i="82"/>
  <c r="AI4" i="82"/>
  <c r="AJ4" i="82"/>
  <c r="AK4" i="82"/>
  <c r="AL4" i="82"/>
  <c r="AM4" i="82"/>
  <c r="AN4" i="82"/>
  <c r="AO4" i="82"/>
  <c r="AP4" i="82"/>
  <c r="AQ4" i="82"/>
  <c r="AR4" i="82"/>
  <c r="AS4" i="82"/>
  <c r="C5" i="82"/>
  <c r="D5" i="82"/>
  <c r="E5" i="82"/>
  <c r="F5" i="82"/>
  <c r="G5" i="82"/>
  <c r="H5" i="82"/>
  <c r="I5" i="82"/>
  <c r="J5" i="82"/>
  <c r="K5" i="82"/>
  <c r="L5" i="82"/>
  <c r="M5" i="82"/>
  <c r="N5" i="82"/>
  <c r="O5" i="82"/>
  <c r="P5" i="82"/>
  <c r="Q5" i="82"/>
  <c r="R5" i="82"/>
  <c r="S5" i="82"/>
  <c r="T5" i="82"/>
  <c r="U5" i="82"/>
  <c r="V5" i="82"/>
  <c r="W5" i="82"/>
  <c r="X5" i="82"/>
  <c r="Y5" i="82"/>
  <c r="Z5" i="82"/>
  <c r="AA5" i="82"/>
  <c r="AB5" i="82"/>
  <c r="AC5" i="82"/>
  <c r="AD5" i="82"/>
  <c r="AE5" i="82"/>
  <c r="AF5" i="82"/>
  <c r="AG5" i="82"/>
  <c r="AH5" i="82"/>
  <c r="AI5" i="82"/>
  <c r="AJ5" i="82"/>
  <c r="AK5" i="82"/>
  <c r="AL5" i="82"/>
  <c r="AM5" i="82"/>
  <c r="AN5" i="82"/>
  <c r="AO5" i="82"/>
  <c r="AP5" i="82"/>
  <c r="AQ5" i="82"/>
  <c r="AR5" i="82"/>
  <c r="AS5" i="82"/>
  <c r="C6" i="82"/>
  <c r="D6" i="82"/>
  <c r="E6" i="82"/>
  <c r="F6" i="82"/>
  <c r="G6" i="82"/>
  <c r="H6" i="82"/>
  <c r="I6" i="82"/>
  <c r="J6" i="82"/>
  <c r="K6" i="82"/>
  <c r="L6" i="82"/>
  <c r="M6" i="82"/>
  <c r="N6" i="82"/>
  <c r="O6" i="82"/>
  <c r="P6" i="82"/>
  <c r="Q6" i="82"/>
  <c r="R6" i="82"/>
  <c r="S6" i="82"/>
  <c r="T6" i="82"/>
  <c r="U6" i="82"/>
  <c r="V6" i="82"/>
  <c r="W6" i="82"/>
  <c r="X6" i="82"/>
  <c r="Y6" i="82"/>
  <c r="Z6" i="82"/>
  <c r="AA6" i="82"/>
  <c r="AB6" i="82"/>
  <c r="AC6" i="82"/>
  <c r="AD6" i="82"/>
  <c r="AE6" i="82"/>
  <c r="AF6" i="82"/>
  <c r="AG6" i="82"/>
  <c r="AH6" i="82"/>
  <c r="AI6" i="82"/>
  <c r="AJ6" i="82"/>
  <c r="AK6" i="82"/>
  <c r="AL6" i="82"/>
  <c r="AM6" i="82"/>
  <c r="AN6" i="82"/>
  <c r="AO6" i="82"/>
  <c r="AP6" i="82"/>
  <c r="AQ6" i="82"/>
  <c r="AR6" i="82"/>
  <c r="AS6" i="82"/>
  <c r="C7" i="82"/>
  <c r="D7" i="82"/>
  <c r="E7" i="82"/>
  <c r="F7" i="82"/>
  <c r="G7" i="82"/>
  <c r="H7" i="82"/>
  <c r="I7" i="82"/>
  <c r="J7" i="82"/>
  <c r="K7" i="82"/>
  <c r="L7" i="82"/>
  <c r="M7" i="82"/>
  <c r="N7" i="82"/>
  <c r="O7" i="82"/>
  <c r="P7" i="82"/>
  <c r="Q7" i="82"/>
  <c r="R7" i="82"/>
  <c r="S7" i="82"/>
  <c r="T7" i="82"/>
  <c r="U7" i="82"/>
  <c r="V7" i="82"/>
  <c r="W7" i="82"/>
  <c r="X7" i="82"/>
  <c r="Y7" i="82"/>
  <c r="Z7" i="82"/>
  <c r="AA7" i="82"/>
  <c r="AB7" i="82"/>
  <c r="AC7" i="82"/>
  <c r="AD7" i="82"/>
  <c r="AE7" i="82"/>
  <c r="AF7" i="82"/>
  <c r="AG7" i="82"/>
  <c r="AH7" i="82"/>
  <c r="AI7" i="82"/>
  <c r="AJ7" i="82"/>
  <c r="AK7" i="82"/>
  <c r="AL7" i="82"/>
  <c r="AM7" i="82"/>
  <c r="AN7" i="82"/>
  <c r="AO7" i="82"/>
  <c r="AP7" i="82"/>
  <c r="AQ7" i="82"/>
  <c r="AR7" i="82"/>
  <c r="AS7" i="82"/>
  <c r="C8" i="82"/>
  <c r="D8" i="82"/>
  <c r="E8" i="82"/>
  <c r="F8" i="82"/>
  <c r="G8" i="82"/>
  <c r="H8" i="82"/>
  <c r="I8" i="82"/>
  <c r="J8" i="82"/>
  <c r="K8" i="82"/>
  <c r="L8" i="82"/>
  <c r="M8" i="82"/>
  <c r="N8" i="82"/>
  <c r="O8" i="82"/>
  <c r="P8" i="82"/>
  <c r="Q8" i="82"/>
  <c r="R8" i="82"/>
  <c r="S8" i="82"/>
  <c r="T8" i="82"/>
  <c r="U8" i="82"/>
  <c r="V8" i="82"/>
  <c r="W8" i="82"/>
  <c r="X8" i="82"/>
  <c r="Y8" i="82"/>
  <c r="Z8" i="82"/>
  <c r="AA8" i="82"/>
  <c r="AB8" i="82"/>
  <c r="AC8" i="82"/>
  <c r="AD8" i="82"/>
  <c r="AE8" i="82"/>
  <c r="AF8" i="82"/>
  <c r="AG8" i="82"/>
  <c r="AH8" i="82"/>
  <c r="AI8" i="82"/>
  <c r="AJ8" i="82"/>
  <c r="AK8" i="82"/>
  <c r="AL8" i="82"/>
  <c r="AM8" i="82"/>
  <c r="AN8" i="82"/>
  <c r="AO8" i="82"/>
  <c r="AP8" i="82"/>
  <c r="AQ8" i="82"/>
  <c r="AR8" i="82"/>
  <c r="AS8" i="82"/>
  <c r="C9" i="82"/>
  <c r="D9" i="82"/>
  <c r="E9" i="82"/>
  <c r="F9" i="82"/>
  <c r="G9" i="82"/>
  <c r="H9" i="82"/>
  <c r="I9" i="82"/>
  <c r="J9" i="82"/>
  <c r="K9" i="82"/>
  <c r="L9" i="82"/>
  <c r="M9" i="82"/>
  <c r="N9" i="82"/>
  <c r="O9" i="82"/>
  <c r="P9" i="82"/>
  <c r="Q9" i="82"/>
  <c r="R9" i="82"/>
  <c r="S9" i="82"/>
  <c r="T9" i="82"/>
  <c r="U9" i="82"/>
  <c r="V9" i="82"/>
  <c r="W9" i="82"/>
  <c r="X9" i="82"/>
  <c r="Y9" i="82"/>
  <c r="Z9" i="82"/>
  <c r="AA9" i="82"/>
  <c r="AB9" i="82"/>
  <c r="AC9" i="82"/>
  <c r="AD9" i="82"/>
  <c r="AE9" i="82"/>
  <c r="AF9" i="82"/>
  <c r="AG9" i="82"/>
  <c r="AH9" i="82"/>
  <c r="AI9" i="82"/>
  <c r="AJ9" i="82"/>
  <c r="AK9" i="82"/>
  <c r="AL9" i="82"/>
  <c r="AM9" i="82"/>
  <c r="AN9" i="82"/>
  <c r="AO9" i="82"/>
  <c r="AP9" i="82"/>
  <c r="AQ9" i="82"/>
  <c r="AR9" i="82"/>
  <c r="AS9" i="82"/>
  <c r="C10" i="82"/>
  <c r="D10" i="82"/>
  <c r="E10" i="82"/>
  <c r="F10" i="82"/>
  <c r="G10" i="82"/>
  <c r="H10" i="82"/>
  <c r="I10" i="82"/>
  <c r="J10" i="82"/>
  <c r="K10" i="82"/>
  <c r="L10" i="82"/>
  <c r="M10" i="82"/>
  <c r="N10" i="82"/>
  <c r="O10" i="82"/>
  <c r="P10" i="82"/>
  <c r="Q10" i="82"/>
  <c r="R10" i="82"/>
  <c r="S10" i="82"/>
  <c r="T10" i="82"/>
  <c r="U10" i="82"/>
  <c r="V10" i="82"/>
  <c r="W10" i="82"/>
  <c r="X10" i="82"/>
  <c r="Y10" i="82"/>
  <c r="Z10" i="82"/>
  <c r="AA10" i="82"/>
  <c r="AB10" i="82"/>
  <c r="AC10" i="82"/>
  <c r="AD10" i="82"/>
  <c r="AE10" i="82"/>
  <c r="AF10" i="82"/>
  <c r="AG10" i="82"/>
  <c r="AH10" i="82"/>
  <c r="AI10" i="82"/>
  <c r="AJ10" i="82"/>
  <c r="AK10" i="82"/>
  <c r="AL10" i="82"/>
  <c r="AM10" i="82"/>
  <c r="AN10" i="82"/>
  <c r="AO10" i="82"/>
  <c r="AP10" i="82"/>
  <c r="AQ10" i="82"/>
  <c r="AR10" i="82"/>
  <c r="AS10" i="82"/>
  <c r="C11" i="82"/>
  <c r="D11" i="82"/>
  <c r="E11" i="82"/>
  <c r="F11" i="82"/>
  <c r="G11" i="82"/>
  <c r="H11" i="82"/>
  <c r="I11" i="82"/>
  <c r="J11" i="82"/>
  <c r="K11" i="82"/>
  <c r="L11" i="82"/>
  <c r="M11" i="82"/>
  <c r="N11" i="82"/>
  <c r="O11" i="82"/>
  <c r="P11" i="82"/>
  <c r="Q11" i="82"/>
  <c r="R11" i="82"/>
  <c r="S11" i="82"/>
  <c r="T11" i="82"/>
  <c r="U11" i="82"/>
  <c r="V11" i="82"/>
  <c r="W11" i="82"/>
  <c r="X11" i="82"/>
  <c r="Y11" i="82"/>
  <c r="Z11" i="82"/>
  <c r="AA11" i="82"/>
  <c r="AB11" i="82"/>
  <c r="AC11" i="82"/>
  <c r="AD11" i="82"/>
  <c r="AE11" i="82"/>
  <c r="AF11" i="82"/>
  <c r="AG11" i="82"/>
  <c r="AH11" i="82"/>
  <c r="AI11" i="82"/>
  <c r="AJ11" i="82"/>
  <c r="AK11" i="82"/>
  <c r="AL11" i="82"/>
  <c r="AM11" i="82"/>
  <c r="AN11" i="82"/>
  <c r="AO11" i="82"/>
  <c r="AP11" i="82"/>
  <c r="AQ11" i="82"/>
  <c r="AR11" i="82"/>
  <c r="AS11" i="82"/>
  <c r="C12" i="82"/>
  <c r="D12" i="82"/>
  <c r="E12" i="82"/>
  <c r="F12" i="82"/>
  <c r="G12" i="82"/>
  <c r="H12" i="82"/>
  <c r="I12" i="82"/>
  <c r="J12" i="82"/>
  <c r="K12" i="82"/>
  <c r="L12" i="82"/>
  <c r="M12" i="82"/>
  <c r="N12" i="82"/>
  <c r="O12" i="82"/>
  <c r="P12" i="82"/>
  <c r="Q12" i="82"/>
  <c r="R12" i="82"/>
  <c r="S12" i="82"/>
  <c r="T12" i="82"/>
  <c r="U12" i="82"/>
  <c r="V12" i="82"/>
  <c r="W12" i="82"/>
  <c r="X12" i="82"/>
  <c r="Y12" i="82"/>
  <c r="Z12" i="82"/>
  <c r="AA12" i="82"/>
  <c r="AB12" i="82"/>
  <c r="AC12" i="82"/>
  <c r="AD12" i="82"/>
  <c r="AE12" i="82"/>
  <c r="AF12" i="82"/>
  <c r="AG12" i="82"/>
  <c r="AH12" i="82"/>
  <c r="AI12" i="82"/>
  <c r="AJ12" i="82"/>
  <c r="AK12" i="82"/>
  <c r="AL12" i="82"/>
  <c r="AM12" i="82"/>
  <c r="AN12" i="82"/>
  <c r="AO12" i="82"/>
  <c r="AP12" i="82"/>
  <c r="AQ12" i="82"/>
  <c r="AR12" i="82"/>
  <c r="AS12" i="82"/>
  <c r="C13" i="82"/>
  <c r="D13" i="82"/>
  <c r="E13" i="82"/>
  <c r="F13" i="82"/>
  <c r="G13" i="82"/>
  <c r="H13" i="82"/>
  <c r="I13" i="82"/>
  <c r="J13" i="82"/>
  <c r="K13" i="82"/>
  <c r="L13" i="82"/>
  <c r="M13" i="82"/>
  <c r="N13" i="82"/>
  <c r="O13" i="82"/>
  <c r="P13" i="82"/>
  <c r="Q13" i="82"/>
  <c r="R13" i="82"/>
  <c r="S13" i="82"/>
  <c r="T13" i="82"/>
  <c r="U13" i="82"/>
  <c r="V13" i="82"/>
  <c r="W13" i="82"/>
  <c r="X13" i="82"/>
  <c r="Y13" i="82"/>
  <c r="Z13" i="82"/>
  <c r="AA13" i="82"/>
  <c r="AB13" i="82"/>
  <c r="AC13" i="82"/>
  <c r="AD13" i="82"/>
  <c r="AE13" i="82"/>
  <c r="AF13" i="82"/>
  <c r="AG13" i="82"/>
  <c r="AH13" i="82"/>
  <c r="AI13" i="82"/>
  <c r="AJ13" i="82"/>
  <c r="AK13" i="82"/>
  <c r="AL13" i="82"/>
  <c r="AM13" i="82"/>
  <c r="AN13" i="82"/>
  <c r="AO13" i="82"/>
  <c r="AP13" i="82"/>
  <c r="AQ13" i="82"/>
  <c r="AR13" i="82"/>
  <c r="AS13" i="82"/>
  <c r="C14" i="82"/>
  <c r="D14" i="82"/>
  <c r="E14" i="82"/>
  <c r="F14" i="82"/>
  <c r="G14" i="82"/>
  <c r="H14" i="82"/>
  <c r="I14" i="82"/>
  <c r="J14" i="82"/>
  <c r="K14" i="82"/>
  <c r="L14" i="82"/>
  <c r="M14" i="82"/>
  <c r="N14" i="82"/>
  <c r="O14" i="82"/>
  <c r="P14" i="82"/>
  <c r="Q14" i="82"/>
  <c r="R14" i="82"/>
  <c r="S14" i="82"/>
  <c r="T14" i="82"/>
  <c r="U14" i="82"/>
  <c r="V14" i="82"/>
  <c r="W14" i="82"/>
  <c r="X14" i="82"/>
  <c r="Y14" i="82"/>
  <c r="Z14" i="82"/>
  <c r="AA14" i="82"/>
  <c r="AB14" i="82"/>
  <c r="AC14" i="82"/>
  <c r="AD14" i="82"/>
  <c r="AE14" i="82"/>
  <c r="AF14" i="82"/>
  <c r="AG14" i="82"/>
  <c r="AH14" i="82"/>
  <c r="AI14" i="82"/>
  <c r="AJ14" i="82"/>
  <c r="AK14" i="82"/>
  <c r="AL14" i="82"/>
  <c r="AM14" i="82"/>
  <c r="AN14" i="82"/>
  <c r="AO14" i="82"/>
  <c r="AP14" i="82"/>
  <c r="AQ14" i="82"/>
  <c r="AR14" i="82"/>
  <c r="AS14" i="82"/>
  <c r="C15" i="82"/>
  <c r="D15" i="82"/>
  <c r="E15" i="82"/>
  <c r="F15" i="82"/>
  <c r="G15" i="82"/>
  <c r="H15" i="82"/>
  <c r="I15" i="82"/>
  <c r="J15" i="82"/>
  <c r="K15" i="82"/>
  <c r="L15" i="82"/>
  <c r="M15" i="82"/>
  <c r="N15" i="82"/>
  <c r="O15" i="82"/>
  <c r="P15" i="82"/>
  <c r="Q15" i="82"/>
  <c r="R15" i="82"/>
  <c r="S15" i="82"/>
  <c r="T15" i="82"/>
  <c r="U15" i="82"/>
  <c r="V15" i="82"/>
  <c r="W15" i="82"/>
  <c r="X15" i="82"/>
  <c r="Y15" i="82"/>
  <c r="Z15" i="82"/>
  <c r="AA15" i="82"/>
  <c r="AB15" i="82"/>
  <c r="AC15" i="82"/>
  <c r="AD15" i="82"/>
  <c r="AE15" i="82"/>
  <c r="AF15" i="82"/>
  <c r="AG15" i="82"/>
  <c r="AH15" i="82"/>
  <c r="AI15" i="82"/>
  <c r="AJ15" i="82"/>
  <c r="AK15" i="82"/>
  <c r="AL15" i="82"/>
  <c r="AM15" i="82"/>
  <c r="AN15" i="82"/>
  <c r="AO15" i="82"/>
  <c r="AP15" i="82"/>
  <c r="AQ15" i="82"/>
  <c r="AR15" i="82"/>
  <c r="AS15" i="82"/>
  <c r="C16" i="82"/>
  <c r="D16" i="82"/>
  <c r="E16" i="82"/>
  <c r="F16" i="82"/>
  <c r="G16" i="82"/>
  <c r="H16" i="82"/>
  <c r="I16" i="82"/>
  <c r="J16" i="82"/>
  <c r="K16" i="82"/>
  <c r="L16" i="82"/>
  <c r="M16" i="82"/>
  <c r="N16" i="82"/>
  <c r="O16" i="82"/>
  <c r="P16" i="82"/>
  <c r="Q16" i="82"/>
  <c r="R16" i="82"/>
  <c r="S16" i="82"/>
  <c r="T16" i="82"/>
  <c r="U16" i="82"/>
  <c r="V16" i="82"/>
  <c r="W16" i="82"/>
  <c r="X16" i="82"/>
  <c r="Y16" i="82"/>
  <c r="Z16" i="82"/>
  <c r="AA16" i="82"/>
  <c r="AB16" i="82"/>
  <c r="AC16" i="82"/>
  <c r="AD16" i="82"/>
  <c r="AE16" i="82"/>
  <c r="AF16" i="82"/>
  <c r="AG16" i="82"/>
  <c r="AH16" i="82"/>
  <c r="AI16" i="82"/>
  <c r="AJ16" i="82"/>
  <c r="AK16" i="82"/>
  <c r="AL16" i="82"/>
  <c r="AM16" i="82"/>
  <c r="AN16" i="82"/>
  <c r="AO16" i="82"/>
  <c r="AP16" i="82"/>
  <c r="AQ16" i="82"/>
  <c r="AR16" i="82"/>
  <c r="AS16" i="82"/>
  <c r="C17" i="82"/>
  <c r="D17" i="82"/>
  <c r="E17" i="82"/>
  <c r="F17" i="82"/>
  <c r="G17" i="82"/>
  <c r="H17" i="82"/>
  <c r="I17" i="82"/>
  <c r="J17" i="82"/>
  <c r="K17" i="82"/>
  <c r="L17" i="82"/>
  <c r="M17" i="82"/>
  <c r="N17" i="82"/>
  <c r="O17" i="82"/>
  <c r="P17" i="82"/>
  <c r="Q17" i="82"/>
  <c r="R17" i="82"/>
  <c r="S17" i="82"/>
  <c r="T17" i="82"/>
  <c r="U17" i="82"/>
  <c r="V17" i="82"/>
  <c r="W17" i="82"/>
  <c r="X17" i="82"/>
  <c r="Y17" i="82"/>
  <c r="Z17" i="82"/>
  <c r="AA17" i="82"/>
  <c r="AB17" i="82"/>
  <c r="AC17" i="82"/>
  <c r="AD17" i="82"/>
  <c r="AE17" i="82"/>
  <c r="AF17" i="82"/>
  <c r="AG17" i="82"/>
  <c r="AH17" i="82"/>
  <c r="AI17" i="82"/>
  <c r="AJ17" i="82"/>
  <c r="AK17" i="82"/>
  <c r="AL17" i="82"/>
  <c r="AM17" i="82"/>
  <c r="AN17" i="82"/>
  <c r="AO17" i="82"/>
  <c r="AP17" i="82"/>
  <c r="AQ17" i="82"/>
  <c r="AR17" i="82"/>
  <c r="AS17" i="82"/>
  <c r="C18" i="82"/>
  <c r="D18" i="82"/>
  <c r="E18" i="82"/>
  <c r="F18" i="82"/>
  <c r="G18" i="82"/>
  <c r="H18" i="82"/>
  <c r="I18" i="82"/>
  <c r="J18" i="82"/>
  <c r="K18" i="82"/>
  <c r="L18" i="82"/>
  <c r="M18" i="82"/>
  <c r="N18" i="82"/>
  <c r="O18" i="82"/>
  <c r="P18" i="82"/>
  <c r="Q18" i="82"/>
  <c r="R18" i="82"/>
  <c r="S18" i="82"/>
  <c r="T18" i="82"/>
  <c r="U18" i="82"/>
  <c r="V18" i="82"/>
  <c r="W18" i="82"/>
  <c r="X18" i="82"/>
  <c r="Y18" i="82"/>
  <c r="Z18" i="82"/>
  <c r="AA18" i="82"/>
  <c r="AB18" i="82"/>
  <c r="AC18" i="82"/>
  <c r="AD18" i="82"/>
  <c r="AE18" i="82"/>
  <c r="AF18" i="82"/>
  <c r="AG18" i="82"/>
  <c r="AH18" i="82"/>
  <c r="AI18" i="82"/>
  <c r="AJ18" i="82"/>
  <c r="AK18" i="82"/>
  <c r="AL18" i="82"/>
  <c r="AM18" i="82"/>
  <c r="AN18" i="82"/>
  <c r="AO18" i="82"/>
  <c r="AP18" i="82"/>
  <c r="AQ18" i="82"/>
  <c r="AR18" i="82"/>
  <c r="AS18" i="82"/>
  <c r="C19" i="82"/>
  <c r="D19" i="82"/>
  <c r="E19" i="82"/>
  <c r="F19" i="82"/>
  <c r="G19" i="82"/>
  <c r="H19" i="82"/>
  <c r="I19" i="82"/>
  <c r="J19" i="82"/>
  <c r="K19" i="82"/>
  <c r="L19" i="82"/>
  <c r="M19" i="82"/>
  <c r="N19" i="82"/>
  <c r="O19" i="82"/>
  <c r="P19" i="82"/>
  <c r="Q19" i="82"/>
  <c r="R19" i="82"/>
  <c r="S19" i="82"/>
  <c r="T19" i="82"/>
  <c r="U19" i="82"/>
  <c r="V19" i="82"/>
  <c r="W19" i="82"/>
  <c r="X19" i="82"/>
  <c r="Y19" i="82"/>
  <c r="Z19" i="82"/>
  <c r="AA19" i="82"/>
  <c r="AB19" i="82"/>
  <c r="AC19" i="82"/>
  <c r="AD19" i="82"/>
  <c r="AE19" i="82"/>
  <c r="AF19" i="82"/>
  <c r="AG19" i="82"/>
  <c r="AH19" i="82"/>
  <c r="AI19" i="82"/>
  <c r="AJ19" i="82"/>
  <c r="AK19" i="82"/>
  <c r="AL19" i="82"/>
  <c r="AM19" i="82"/>
  <c r="AN19" i="82"/>
  <c r="AO19" i="82"/>
  <c r="AP19" i="82"/>
  <c r="AQ19" i="82"/>
  <c r="AR19" i="82"/>
  <c r="AS19" i="82"/>
  <c r="C20" i="82"/>
  <c r="D20" i="82"/>
  <c r="E20" i="82"/>
  <c r="F20" i="82"/>
  <c r="G20" i="82"/>
  <c r="H20" i="82"/>
  <c r="I20" i="82"/>
  <c r="J20" i="82"/>
  <c r="K20" i="82"/>
  <c r="L20" i="82"/>
  <c r="M20" i="82"/>
  <c r="N20" i="82"/>
  <c r="O20" i="82"/>
  <c r="P20" i="82"/>
  <c r="Q20" i="82"/>
  <c r="R20" i="82"/>
  <c r="S20" i="82"/>
  <c r="T20" i="82"/>
  <c r="U20" i="82"/>
  <c r="V20" i="82"/>
  <c r="W20" i="82"/>
  <c r="X20" i="82"/>
  <c r="Y20" i="82"/>
  <c r="Z20" i="82"/>
  <c r="AA20" i="82"/>
  <c r="AB20" i="82"/>
  <c r="AC20" i="82"/>
  <c r="AD20" i="82"/>
  <c r="AE20" i="82"/>
  <c r="AF20" i="82"/>
  <c r="AG20" i="82"/>
  <c r="AH20" i="82"/>
  <c r="AI20" i="82"/>
  <c r="AJ20" i="82"/>
  <c r="AK20" i="82"/>
  <c r="AL20" i="82"/>
  <c r="AM20" i="82"/>
  <c r="AN20" i="82"/>
  <c r="AO20" i="82"/>
  <c r="AP20" i="82"/>
  <c r="AQ20" i="82"/>
  <c r="AR20" i="82"/>
  <c r="AS20" i="82"/>
  <c r="C21" i="82"/>
  <c r="D21" i="82"/>
  <c r="E21" i="82"/>
  <c r="F21" i="82"/>
  <c r="G21" i="82"/>
  <c r="H21" i="82"/>
  <c r="I21" i="82"/>
  <c r="J21" i="82"/>
  <c r="K21" i="82"/>
  <c r="L21" i="82"/>
  <c r="M21" i="82"/>
  <c r="N21" i="82"/>
  <c r="O21" i="82"/>
  <c r="P21" i="82"/>
  <c r="Q21" i="82"/>
  <c r="R21" i="82"/>
  <c r="S21" i="82"/>
  <c r="T21" i="82"/>
  <c r="U21" i="82"/>
  <c r="V21" i="82"/>
  <c r="W21" i="82"/>
  <c r="X21" i="82"/>
  <c r="Y21" i="82"/>
  <c r="Z21" i="82"/>
  <c r="AA21" i="82"/>
  <c r="AB21" i="82"/>
  <c r="AC21" i="82"/>
  <c r="AD21" i="82"/>
  <c r="AE21" i="82"/>
  <c r="AF21" i="82"/>
  <c r="AG21" i="82"/>
  <c r="AH21" i="82"/>
  <c r="AI21" i="82"/>
  <c r="AJ21" i="82"/>
  <c r="AK21" i="82"/>
  <c r="AL21" i="82"/>
  <c r="AM21" i="82"/>
  <c r="AN21" i="82"/>
  <c r="AO21" i="82"/>
  <c r="AP21" i="82"/>
  <c r="AQ21" i="82"/>
  <c r="AR21" i="82"/>
  <c r="AS21" i="82"/>
  <c r="C22" i="82"/>
  <c r="D22" i="82"/>
  <c r="E22" i="82"/>
  <c r="F22" i="82"/>
  <c r="G22" i="82"/>
  <c r="H22" i="82"/>
  <c r="I22" i="82"/>
  <c r="J22" i="82"/>
  <c r="K22" i="82"/>
  <c r="L22" i="82"/>
  <c r="M22" i="82"/>
  <c r="N22" i="82"/>
  <c r="O22" i="82"/>
  <c r="P22" i="82"/>
  <c r="Q22" i="82"/>
  <c r="R22" i="82"/>
  <c r="S22" i="82"/>
  <c r="T22" i="82"/>
  <c r="U22" i="82"/>
  <c r="V22" i="82"/>
  <c r="W22" i="82"/>
  <c r="X22" i="82"/>
  <c r="Y22" i="82"/>
  <c r="Z22" i="82"/>
  <c r="AA22" i="82"/>
  <c r="AB22" i="82"/>
  <c r="AC22" i="82"/>
  <c r="AD22" i="82"/>
  <c r="AE22" i="82"/>
  <c r="AF22" i="82"/>
  <c r="AG22" i="82"/>
  <c r="AH22" i="82"/>
  <c r="AI22" i="82"/>
  <c r="AJ22" i="82"/>
  <c r="AK22" i="82"/>
  <c r="AL22" i="82"/>
  <c r="AM22" i="82"/>
  <c r="AN22" i="82"/>
  <c r="AO22" i="82"/>
  <c r="AP22" i="82"/>
  <c r="AQ22" i="82"/>
  <c r="AR22" i="82"/>
  <c r="AS22" i="82"/>
  <c r="C23" i="82"/>
  <c r="D23" i="82"/>
  <c r="E23" i="82"/>
  <c r="F23" i="82"/>
  <c r="G23" i="82"/>
  <c r="H23" i="82"/>
  <c r="I23" i="82"/>
  <c r="J23" i="82"/>
  <c r="K23" i="82"/>
  <c r="L23" i="82"/>
  <c r="M23" i="82"/>
  <c r="N23" i="82"/>
  <c r="O23" i="82"/>
  <c r="P23" i="82"/>
  <c r="Q23" i="82"/>
  <c r="R23" i="82"/>
  <c r="S23" i="82"/>
  <c r="T23" i="82"/>
  <c r="U23" i="82"/>
  <c r="V23" i="82"/>
  <c r="W23" i="82"/>
  <c r="X23" i="82"/>
  <c r="Y23" i="82"/>
  <c r="Z23" i="82"/>
  <c r="AA23" i="82"/>
  <c r="AB23" i="82"/>
  <c r="AC23" i="82"/>
  <c r="AD23" i="82"/>
  <c r="AE23" i="82"/>
  <c r="AF23" i="82"/>
  <c r="AG23" i="82"/>
  <c r="AH23" i="82"/>
  <c r="AI23" i="82"/>
  <c r="AJ23" i="82"/>
  <c r="AK23" i="82"/>
  <c r="AL23" i="82"/>
  <c r="AM23" i="82"/>
  <c r="AN23" i="82"/>
  <c r="AO23" i="82"/>
  <c r="AP23" i="82"/>
  <c r="AQ23" i="82"/>
  <c r="AR23" i="82"/>
  <c r="AS23" i="82"/>
  <c r="C24" i="82"/>
  <c r="D24" i="82"/>
  <c r="E24" i="82"/>
  <c r="F24" i="82"/>
  <c r="G24" i="82"/>
  <c r="H24" i="82"/>
  <c r="I24" i="82"/>
  <c r="J24" i="82"/>
  <c r="K24" i="82"/>
  <c r="L24" i="82"/>
  <c r="M24" i="82"/>
  <c r="N24" i="82"/>
  <c r="O24" i="82"/>
  <c r="P24" i="82"/>
  <c r="Q24" i="82"/>
  <c r="R24" i="82"/>
  <c r="S24" i="82"/>
  <c r="T24" i="82"/>
  <c r="U24" i="82"/>
  <c r="V24" i="82"/>
  <c r="W24" i="82"/>
  <c r="X24" i="82"/>
  <c r="Y24" i="82"/>
  <c r="Z24" i="82"/>
  <c r="AA24" i="82"/>
  <c r="AB24" i="82"/>
  <c r="AC24" i="82"/>
  <c r="AD24" i="82"/>
  <c r="AE24" i="82"/>
  <c r="AF24" i="82"/>
  <c r="AG24" i="82"/>
  <c r="AH24" i="82"/>
  <c r="AI24" i="82"/>
  <c r="AJ24" i="82"/>
  <c r="AK24" i="82"/>
  <c r="AL24" i="82"/>
  <c r="AM24" i="82"/>
  <c r="AN24" i="82"/>
  <c r="AO24" i="82"/>
  <c r="AP24" i="82"/>
  <c r="AQ24" i="82"/>
  <c r="AR24" i="82"/>
  <c r="AS24" i="82"/>
  <c r="C25" i="82"/>
  <c r="D25" i="82"/>
  <c r="E25" i="82"/>
  <c r="F25" i="82"/>
  <c r="G25" i="82"/>
  <c r="H25" i="82"/>
  <c r="I25" i="82"/>
  <c r="J25" i="82"/>
  <c r="K25" i="82"/>
  <c r="L25" i="82"/>
  <c r="M25" i="82"/>
  <c r="N25" i="82"/>
  <c r="O25" i="82"/>
  <c r="P25" i="82"/>
  <c r="Q25" i="82"/>
  <c r="R25" i="82"/>
  <c r="S25" i="82"/>
  <c r="T25" i="82"/>
  <c r="U25" i="82"/>
  <c r="V25" i="82"/>
  <c r="W25" i="82"/>
  <c r="X25" i="82"/>
  <c r="Y25" i="82"/>
  <c r="Z25" i="82"/>
  <c r="AA25" i="82"/>
  <c r="AB25" i="82"/>
  <c r="AC25" i="82"/>
  <c r="AD25" i="82"/>
  <c r="AE25" i="82"/>
  <c r="AF25" i="82"/>
  <c r="AG25" i="82"/>
  <c r="AH25" i="82"/>
  <c r="AI25" i="82"/>
  <c r="AJ25" i="82"/>
  <c r="AK25" i="82"/>
  <c r="AL25" i="82"/>
  <c r="AM25" i="82"/>
  <c r="AN25" i="82"/>
  <c r="AO25" i="82"/>
  <c r="AP25" i="82"/>
  <c r="AQ25" i="82"/>
  <c r="AR25" i="82"/>
  <c r="AS25" i="82"/>
  <c r="C26" i="82"/>
  <c r="D26" i="82"/>
  <c r="E26" i="82"/>
  <c r="F26" i="82"/>
  <c r="G26" i="82"/>
  <c r="H26" i="82"/>
  <c r="I26" i="82"/>
  <c r="J26" i="82"/>
  <c r="K26" i="82"/>
  <c r="L26" i="82"/>
  <c r="M26" i="82"/>
  <c r="N26" i="82"/>
  <c r="O26" i="82"/>
  <c r="P26" i="82"/>
  <c r="Q26" i="82"/>
  <c r="R26" i="82"/>
  <c r="S26" i="82"/>
  <c r="T26" i="82"/>
  <c r="U26" i="82"/>
  <c r="V26" i="82"/>
  <c r="W26" i="82"/>
  <c r="X26" i="82"/>
  <c r="Y26" i="82"/>
  <c r="Z26" i="82"/>
  <c r="AA26" i="82"/>
  <c r="AB26" i="82"/>
  <c r="AC26" i="82"/>
  <c r="AD26" i="82"/>
  <c r="AE26" i="82"/>
  <c r="AF26" i="82"/>
  <c r="AG26" i="82"/>
  <c r="AH26" i="82"/>
  <c r="AI26" i="82"/>
  <c r="AJ26" i="82"/>
  <c r="AK26" i="82"/>
  <c r="AL26" i="82"/>
  <c r="AM26" i="82"/>
  <c r="AN26" i="82"/>
  <c r="AO26" i="82"/>
  <c r="AP26" i="82"/>
  <c r="AQ26" i="82"/>
  <c r="AR26" i="82"/>
  <c r="AS26" i="82"/>
  <c r="C27" i="82"/>
  <c r="D27" i="82"/>
  <c r="E27" i="82"/>
  <c r="F27" i="82"/>
  <c r="G27" i="82"/>
  <c r="H27" i="82"/>
  <c r="I27" i="82"/>
  <c r="J27" i="82"/>
  <c r="K27" i="82"/>
  <c r="L27" i="82"/>
  <c r="M27" i="82"/>
  <c r="N27" i="82"/>
  <c r="O27" i="82"/>
  <c r="P27" i="82"/>
  <c r="Q27" i="82"/>
  <c r="R27" i="82"/>
  <c r="S27" i="82"/>
  <c r="T27" i="82"/>
  <c r="U27" i="82"/>
  <c r="V27" i="82"/>
  <c r="W27" i="82"/>
  <c r="X27" i="82"/>
  <c r="Y27" i="82"/>
  <c r="Z27" i="82"/>
  <c r="AA27" i="82"/>
  <c r="AB27" i="82"/>
  <c r="AC27" i="82"/>
  <c r="AD27" i="82"/>
  <c r="AE27" i="82"/>
  <c r="AF27" i="82"/>
  <c r="AG27" i="82"/>
  <c r="AH27" i="82"/>
  <c r="AI27" i="82"/>
  <c r="AJ27" i="82"/>
  <c r="AK27" i="82"/>
  <c r="AL27" i="82"/>
  <c r="AM27" i="82"/>
  <c r="AN27" i="82"/>
  <c r="AO27" i="82"/>
  <c r="AP27" i="82"/>
  <c r="AQ27" i="82"/>
  <c r="AR27" i="82"/>
  <c r="AS27" i="82"/>
  <c r="C28" i="82"/>
  <c r="D28" i="82"/>
  <c r="E28" i="82"/>
  <c r="F28" i="82"/>
  <c r="G28" i="82"/>
  <c r="H28" i="82"/>
  <c r="I28" i="82"/>
  <c r="J28" i="82"/>
  <c r="K28" i="82"/>
  <c r="L28" i="82"/>
  <c r="M28" i="82"/>
  <c r="N28" i="82"/>
  <c r="O28" i="82"/>
  <c r="P28" i="82"/>
  <c r="Q28" i="82"/>
  <c r="R28" i="82"/>
  <c r="S28" i="82"/>
  <c r="T28" i="82"/>
  <c r="U28" i="82"/>
  <c r="V28" i="82"/>
  <c r="W28" i="82"/>
  <c r="X28" i="82"/>
  <c r="Y28" i="82"/>
  <c r="Z28" i="82"/>
  <c r="AA28" i="82"/>
  <c r="AB28" i="82"/>
  <c r="AC28" i="82"/>
  <c r="AD28" i="82"/>
  <c r="AE28" i="82"/>
  <c r="AF28" i="82"/>
  <c r="AG28" i="82"/>
  <c r="AH28" i="82"/>
  <c r="AI28" i="82"/>
  <c r="AJ28" i="82"/>
  <c r="AK28" i="82"/>
  <c r="AL28" i="82"/>
  <c r="AM28" i="82"/>
  <c r="AN28" i="82"/>
  <c r="AO28" i="82"/>
  <c r="AP28" i="82"/>
  <c r="AQ28" i="82"/>
  <c r="AR28" i="82"/>
  <c r="AS28" i="82"/>
  <c r="C29" i="82"/>
  <c r="D29" i="82"/>
  <c r="E29" i="82"/>
  <c r="F29" i="82"/>
  <c r="G29" i="82"/>
  <c r="H29" i="82"/>
  <c r="I29" i="82"/>
  <c r="J29" i="82"/>
  <c r="K29" i="82"/>
  <c r="L29" i="82"/>
  <c r="M29" i="82"/>
  <c r="N29" i="82"/>
  <c r="O29" i="82"/>
  <c r="P29" i="82"/>
  <c r="Q29" i="82"/>
  <c r="R29" i="82"/>
  <c r="S29" i="82"/>
  <c r="T29" i="82"/>
  <c r="U29" i="82"/>
  <c r="V29" i="82"/>
  <c r="W29" i="82"/>
  <c r="X29" i="82"/>
  <c r="Y29" i="82"/>
  <c r="Z29" i="82"/>
  <c r="AA29" i="82"/>
  <c r="AB29" i="82"/>
  <c r="AC29" i="82"/>
  <c r="AD29" i="82"/>
  <c r="AE29" i="82"/>
  <c r="AF29" i="82"/>
  <c r="AG29" i="82"/>
  <c r="AH29" i="82"/>
  <c r="AI29" i="82"/>
  <c r="AJ29" i="82"/>
  <c r="AK29" i="82"/>
  <c r="AL29" i="82"/>
  <c r="AM29" i="82"/>
  <c r="AN29" i="82"/>
  <c r="AO29" i="82"/>
  <c r="AP29" i="82"/>
  <c r="AQ29" i="82"/>
  <c r="AR29" i="82"/>
  <c r="AS29" i="82"/>
  <c r="C30" i="82"/>
  <c r="D30" i="82"/>
  <c r="E30" i="82"/>
  <c r="F30" i="82"/>
  <c r="G30" i="82"/>
  <c r="H30" i="82"/>
  <c r="I30" i="82"/>
  <c r="J30" i="82"/>
  <c r="K30" i="82"/>
  <c r="L30" i="82"/>
  <c r="M30" i="82"/>
  <c r="N30" i="82"/>
  <c r="O30" i="82"/>
  <c r="P30" i="82"/>
  <c r="Q30" i="82"/>
  <c r="R30" i="82"/>
  <c r="S30" i="82"/>
  <c r="T30" i="82"/>
  <c r="U30" i="82"/>
  <c r="V30" i="82"/>
  <c r="W30" i="82"/>
  <c r="X30" i="82"/>
  <c r="Y30" i="82"/>
  <c r="Z30" i="82"/>
  <c r="AA30" i="82"/>
  <c r="AB30" i="82"/>
  <c r="AC30" i="82"/>
  <c r="AD30" i="82"/>
  <c r="AE30" i="82"/>
  <c r="AF30" i="82"/>
  <c r="AG30" i="82"/>
  <c r="AH30" i="82"/>
  <c r="AI30" i="82"/>
  <c r="AJ30" i="82"/>
  <c r="AK30" i="82"/>
  <c r="AL30" i="82"/>
  <c r="AM30" i="82"/>
  <c r="AN30" i="82"/>
  <c r="AO30" i="82"/>
  <c r="AP30" i="82"/>
  <c r="AQ30" i="82"/>
  <c r="AR30" i="82"/>
  <c r="AS30" i="82"/>
  <c r="C31" i="82"/>
  <c r="D31" i="82"/>
  <c r="E31" i="82"/>
  <c r="F31" i="82"/>
  <c r="G31" i="82"/>
  <c r="H31" i="82"/>
  <c r="I31" i="82"/>
  <c r="J31" i="82"/>
  <c r="K31" i="82"/>
  <c r="L31" i="82"/>
  <c r="M31" i="82"/>
  <c r="N31" i="82"/>
  <c r="O31" i="82"/>
  <c r="P31" i="82"/>
  <c r="Q31" i="82"/>
  <c r="R31" i="82"/>
  <c r="S31" i="82"/>
  <c r="T31" i="82"/>
  <c r="U31" i="82"/>
  <c r="V31" i="82"/>
  <c r="W31" i="82"/>
  <c r="X31" i="82"/>
  <c r="Y31" i="82"/>
  <c r="Z31" i="82"/>
  <c r="AA31" i="82"/>
  <c r="AB31" i="82"/>
  <c r="AC31" i="82"/>
  <c r="AD31" i="82"/>
  <c r="AE31" i="82"/>
  <c r="AF31" i="82"/>
  <c r="AG31" i="82"/>
  <c r="AH31" i="82"/>
  <c r="AI31" i="82"/>
  <c r="AJ31" i="82"/>
  <c r="AK31" i="82"/>
  <c r="AL31" i="82"/>
  <c r="AM31" i="82"/>
  <c r="AN31" i="82"/>
  <c r="AO31" i="82"/>
  <c r="AP31" i="82"/>
  <c r="AQ31" i="82"/>
  <c r="AR31" i="82"/>
  <c r="AS31" i="82"/>
  <c r="C32" i="82"/>
  <c r="D32" i="82"/>
  <c r="E32" i="82"/>
  <c r="F32" i="82"/>
  <c r="G32" i="82"/>
  <c r="H32" i="82"/>
  <c r="I32" i="82"/>
  <c r="J32" i="82"/>
  <c r="K32" i="82"/>
  <c r="L32" i="82"/>
  <c r="M32" i="82"/>
  <c r="N32" i="82"/>
  <c r="O32" i="82"/>
  <c r="P32" i="82"/>
  <c r="Q32" i="82"/>
  <c r="R32" i="82"/>
  <c r="S32" i="82"/>
  <c r="T32" i="82"/>
  <c r="U32" i="82"/>
  <c r="V32" i="82"/>
  <c r="W32" i="82"/>
  <c r="X32" i="82"/>
  <c r="Y32" i="82"/>
  <c r="Z32" i="82"/>
  <c r="AA32" i="82"/>
  <c r="AB32" i="82"/>
  <c r="AC32" i="82"/>
  <c r="AD32" i="82"/>
  <c r="AE32" i="82"/>
  <c r="AF32" i="82"/>
  <c r="AG32" i="82"/>
  <c r="AH32" i="82"/>
  <c r="AI32" i="82"/>
  <c r="AJ32" i="82"/>
  <c r="AK32" i="82"/>
  <c r="AL32" i="82"/>
  <c r="AM32" i="82"/>
  <c r="AN32" i="82"/>
  <c r="AO32" i="82"/>
  <c r="AP32" i="82"/>
  <c r="AQ32" i="82"/>
  <c r="AR32" i="82"/>
  <c r="AS32" i="82"/>
  <c r="C33" i="82"/>
  <c r="D33" i="82"/>
  <c r="E33" i="82"/>
  <c r="F33" i="82"/>
  <c r="G33" i="82"/>
  <c r="H33" i="82"/>
  <c r="I33" i="82"/>
  <c r="J33" i="82"/>
  <c r="K33" i="82"/>
  <c r="L33" i="82"/>
  <c r="M33" i="82"/>
  <c r="N33" i="82"/>
  <c r="O33" i="82"/>
  <c r="P33" i="82"/>
  <c r="Q33" i="82"/>
  <c r="R33" i="82"/>
  <c r="S33" i="82"/>
  <c r="T33" i="82"/>
  <c r="U33" i="82"/>
  <c r="V33" i="82"/>
  <c r="W33" i="82"/>
  <c r="X33" i="82"/>
  <c r="Y33" i="82"/>
  <c r="Z33" i="82"/>
  <c r="AA33" i="82"/>
  <c r="AB33" i="82"/>
  <c r="AC33" i="82"/>
  <c r="AD33" i="82"/>
  <c r="AE33" i="82"/>
  <c r="AF33" i="82"/>
  <c r="AG33" i="82"/>
  <c r="AH33" i="82"/>
  <c r="AI33" i="82"/>
  <c r="AJ33" i="82"/>
  <c r="AK33" i="82"/>
  <c r="AL33" i="82"/>
  <c r="AM33" i="82"/>
  <c r="AN33" i="82"/>
  <c r="AO33" i="82"/>
  <c r="AP33" i="82"/>
  <c r="AQ33" i="82"/>
  <c r="AR33" i="82"/>
  <c r="AS33" i="82"/>
  <c r="C34" i="82"/>
  <c r="D34" i="82"/>
  <c r="E34" i="82"/>
  <c r="F34" i="82"/>
  <c r="G34" i="82"/>
  <c r="H34" i="82"/>
  <c r="I34" i="82"/>
  <c r="J34" i="82"/>
  <c r="K34" i="82"/>
  <c r="L34" i="82"/>
  <c r="M34" i="82"/>
  <c r="N34" i="82"/>
  <c r="O34" i="82"/>
  <c r="P34" i="82"/>
  <c r="Q34" i="82"/>
  <c r="R34" i="82"/>
  <c r="S34" i="82"/>
  <c r="T34" i="82"/>
  <c r="U34" i="82"/>
  <c r="V34" i="82"/>
  <c r="W34" i="82"/>
  <c r="X34" i="82"/>
  <c r="Y34" i="82"/>
  <c r="Z34" i="82"/>
  <c r="AA34" i="82"/>
  <c r="AB34" i="82"/>
  <c r="AC34" i="82"/>
  <c r="AD34" i="82"/>
  <c r="AE34" i="82"/>
  <c r="AF34" i="82"/>
  <c r="AG34" i="82"/>
  <c r="AH34" i="82"/>
  <c r="AI34" i="82"/>
  <c r="AJ34" i="82"/>
  <c r="AK34" i="82"/>
  <c r="AL34" i="82"/>
  <c r="AM34" i="82"/>
  <c r="AN34" i="82"/>
  <c r="AO34" i="82"/>
  <c r="AP34" i="82"/>
  <c r="AQ34" i="82"/>
  <c r="AR34" i="82"/>
  <c r="AS34" i="82"/>
  <c r="C35" i="82"/>
  <c r="D35" i="82"/>
  <c r="E35" i="82"/>
  <c r="F35" i="82"/>
  <c r="G35" i="82"/>
  <c r="H35" i="82"/>
  <c r="I35" i="82"/>
  <c r="J35" i="82"/>
  <c r="K35" i="82"/>
  <c r="L35" i="82"/>
  <c r="M35" i="82"/>
  <c r="N35" i="82"/>
  <c r="O35" i="82"/>
  <c r="P35" i="82"/>
  <c r="Q35" i="82"/>
  <c r="R35" i="82"/>
  <c r="S35" i="82"/>
  <c r="T35" i="82"/>
  <c r="U35" i="82"/>
  <c r="V35" i="82"/>
  <c r="W35" i="82"/>
  <c r="X35" i="82"/>
  <c r="Y35" i="82"/>
  <c r="Z35" i="82"/>
  <c r="AA35" i="82"/>
  <c r="AB35" i="82"/>
  <c r="AC35" i="82"/>
  <c r="AD35" i="82"/>
  <c r="AE35" i="82"/>
  <c r="AF35" i="82"/>
  <c r="AG35" i="82"/>
  <c r="AH35" i="82"/>
  <c r="AI35" i="82"/>
  <c r="AJ35" i="82"/>
  <c r="AK35" i="82"/>
  <c r="AL35" i="82"/>
  <c r="AM35" i="82"/>
  <c r="AN35" i="82"/>
  <c r="AO35" i="82"/>
  <c r="AP35" i="82"/>
  <c r="AQ35" i="82"/>
  <c r="AR35" i="82"/>
  <c r="AS35" i="82"/>
  <c r="C36" i="82"/>
  <c r="D36" i="82"/>
  <c r="E36" i="82"/>
  <c r="F36" i="82"/>
  <c r="G36" i="82"/>
  <c r="H36" i="82"/>
  <c r="I36" i="82"/>
  <c r="J36" i="82"/>
  <c r="K36" i="82"/>
  <c r="L36" i="82"/>
  <c r="M36" i="82"/>
  <c r="N36" i="82"/>
  <c r="O36" i="82"/>
  <c r="P36" i="82"/>
  <c r="Q36" i="82"/>
  <c r="R36" i="82"/>
  <c r="S36" i="82"/>
  <c r="T36" i="82"/>
  <c r="U36" i="82"/>
  <c r="V36" i="82"/>
  <c r="W36" i="82"/>
  <c r="X36" i="82"/>
  <c r="Y36" i="82"/>
  <c r="Z36" i="82"/>
  <c r="AA36" i="82"/>
  <c r="AB36" i="82"/>
  <c r="AC36" i="82"/>
  <c r="AD36" i="82"/>
  <c r="AE36" i="82"/>
  <c r="AF36" i="82"/>
  <c r="AG36" i="82"/>
  <c r="AH36" i="82"/>
  <c r="AI36" i="82"/>
  <c r="AJ36" i="82"/>
  <c r="AK36" i="82"/>
  <c r="AL36" i="82"/>
  <c r="AM36" i="82"/>
  <c r="AN36" i="82"/>
  <c r="AO36" i="82"/>
  <c r="AP36" i="82"/>
  <c r="AQ36" i="82"/>
  <c r="AR36" i="82"/>
  <c r="AS36" i="82"/>
  <c r="C37" i="82"/>
  <c r="D37" i="82"/>
  <c r="E37" i="82"/>
  <c r="F37" i="82"/>
  <c r="G37" i="82"/>
  <c r="H37" i="82"/>
  <c r="I37" i="82"/>
  <c r="J37" i="82"/>
  <c r="K37" i="82"/>
  <c r="L37" i="82"/>
  <c r="M37" i="82"/>
  <c r="N37" i="82"/>
  <c r="O37" i="82"/>
  <c r="P37" i="82"/>
  <c r="Q37" i="82"/>
  <c r="R37" i="82"/>
  <c r="S37" i="82"/>
  <c r="T37" i="82"/>
  <c r="U37" i="82"/>
  <c r="V37" i="82"/>
  <c r="W37" i="82"/>
  <c r="X37" i="82"/>
  <c r="Y37" i="82"/>
  <c r="Z37" i="82"/>
  <c r="AA37" i="82"/>
  <c r="AB37" i="82"/>
  <c r="AC37" i="82"/>
  <c r="AD37" i="82"/>
  <c r="AE37" i="82"/>
  <c r="AF37" i="82"/>
  <c r="AG37" i="82"/>
  <c r="AH37" i="82"/>
  <c r="AI37" i="82"/>
  <c r="AJ37" i="82"/>
  <c r="AK37" i="82"/>
  <c r="AL37" i="82"/>
  <c r="AM37" i="82"/>
  <c r="AN37" i="82"/>
  <c r="AO37" i="82"/>
  <c r="AP37" i="82"/>
  <c r="AQ37" i="82"/>
  <c r="AR37" i="82"/>
  <c r="AS37" i="82"/>
  <c r="C38" i="82"/>
  <c r="D38" i="82"/>
  <c r="E38" i="82"/>
  <c r="F38" i="82"/>
  <c r="G38" i="82"/>
  <c r="H38" i="82"/>
  <c r="I38" i="82"/>
  <c r="J38" i="82"/>
  <c r="K38" i="82"/>
  <c r="L38" i="82"/>
  <c r="M38" i="82"/>
  <c r="N38" i="82"/>
  <c r="O38" i="82"/>
  <c r="P38" i="82"/>
  <c r="Q38" i="82"/>
  <c r="R38" i="82"/>
  <c r="S38" i="82"/>
  <c r="T38" i="82"/>
  <c r="U38" i="82"/>
  <c r="V38" i="82"/>
  <c r="W38" i="82"/>
  <c r="X38" i="82"/>
  <c r="Y38" i="82"/>
  <c r="Z38" i="82"/>
  <c r="AA38" i="82"/>
  <c r="AB38" i="82"/>
  <c r="AC38" i="82"/>
  <c r="AD38" i="82"/>
  <c r="AE38" i="82"/>
  <c r="AF38" i="82"/>
  <c r="AG38" i="82"/>
  <c r="AH38" i="82"/>
  <c r="AI38" i="82"/>
  <c r="AJ38" i="82"/>
  <c r="AK38" i="82"/>
  <c r="AL38" i="82"/>
  <c r="AM38" i="82"/>
  <c r="AN38" i="82"/>
  <c r="AO38" i="82"/>
  <c r="AP38" i="82"/>
  <c r="AQ38" i="82"/>
  <c r="AR38" i="82"/>
  <c r="AS38" i="82"/>
  <c r="C39" i="82"/>
  <c r="D39" i="82"/>
  <c r="E39" i="82"/>
  <c r="F39" i="82"/>
  <c r="G39" i="82"/>
  <c r="H39" i="82"/>
  <c r="I39" i="82"/>
  <c r="J39" i="82"/>
  <c r="K39" i="82"/>
  <c r="L39" i="82"/>
  <c r="M39" i="82"/>
  <c r="N39" i="82"/>
  <c r="O39" i="82"/>
  <c r="P39" i="82"/>
  <c r="Q39" i="82"/>
  <c r="R39" i="82"/>
  <c r="S39" i="82"/>
  <c r="T39" i="82"/>
  <c r="U39" i="82"/>
  <c r="V39" i="82"/>
  <c r="W39" i="82"/>
  <c r="X39" i="82"/>
  <c r="Y39" i="82"/>
  <c r="Z39" i="82"/>
  <c r="AA39" i="82"/>
  <c r="AB39" i="82"/>
  <c r="AC39" i="82"/>
  <c r="AD39" i="82"/>
  <c r="AE39" i="82"/>
  <c r="AF39" i="82"/>
  <c r="AG39" i="82"/>
  <c r="AH39" i="82"/>
  <c r="AI39" i="82"/>
  <c r="AJ39" i="82"/>
  <c r="AK39" i="82"/>
  <c r="AL39" i="82"/>
  <c r="AM39" i="82"/>
  <c r="AN39" i="82"/>
  <c r="AO39" i="82"/>
  <c r="AP39" i="82"/>
  <c r="AQ39" i="82"/>
  <c r="AR39" i="82"/>
  <c r="AS39" i="82"/>
  <c r="C40" i="82"/>
  <c r="D40" i="82"/>
  <c r="E40" i="82"/>
  <c r="F40" i="82"/>
  <c r="G40" i="82"/>
  <c r="H40" i="82"/>
  <c r="I40" i="82"/>
  <c r="J40" i="82"/>
  <c r="K40" i="82"/>
  <c r="L40" i="82"/>
  <c r="M40" i="82"/>
  <c r="N40" i="82"/>
  <c r="O40" i="82"/>
  <c r="P40" i="82"/>
  <c r="Q40" i="82"/>
  <c r="R40" i="82"/>
  <c r="S40" i="82"/>
  <c r="T40" i="82"/>
  <c r="U40" i="82"/>
  <c r="V40" i="82"/>
  <c r="W40" i="82"/>
  <c r="X40" i="82"/>
  <c r="Y40" i="82"/>
  <c r="Z40" i="82"/>
  <c r="AA40" i="82"/>
  <c r="AB40" i="82"/>
  <c r="AC40" i="82"/>
  <c r="AD40" i="82"/>
  <c r="AE40" i="82"/>
  <c r="AF40" i="82"/>
  <c r="AG40" i="82"/>
  <c r="AH40" i="82"/>
  <c r="AI40" i="82"/>
  <c r="AJ40" i="82"/>
  <c r="AK40" i="82"/>
  <c r="AL40" i="82"/>
  <c r="AM40" i="82"/>
  <c r="AN40" i="82"/>
  <c r="AO40" i="82"/>
  <c r="AP40" i="82"/>
  <c r="AQ40" i="82"/>
  <c r="AR40" i="82"/>
  <c r="AS40" i="82"/>
  <c r="C41" i="82"/>
  <c r="D41" i="82"/>
  <c r="E41" i="82"/>
  <c r="F41" i="82"/>
  <c r="G41" i="82"/>
  <c r="H41" i="82"/>
  <c r="I41" i="82"/>
  <c r="J41" i="82"/>
  <c r="K41" i="82"/>
  <c r="L41" i="82"/>
  <c r="M41" i="82"/>
  <c r="N41" i="82"/>
  <c r="O41" i="82"/>
  <c r="P41" i="82"/>
  <c r="Q41" i="82"/>
  <c r="R41" i="82"/>
  <c r="S41" i="82"/>
  <c r="T41" i="82"/>
  <c r="U41" i="82"/>
  <c r="V41" i="82"/>
  <c r="W41" i="82"/>
  <c r="X41" i="82"/>
  <c r="Y41" i="82"/>
  <c r="Z41" i="82"/>
  <c r="AA41" i="82"/>
  <c r="AB41" i="82"/>
  <c r="AC41" i="82"/>
  <c r="AD41" i="82"/>
  <c r="AE41" i="82"/>
  <c r="AF41" i="82"/>
  <c r="AG41" i="82"/>
  <c r="AH41" i="82"/>
  <c r="AI41" i="82"/>
  <c r="AJ41" i="82"/>
  <c r="AK41" i="82"/>
  <c r="AL41" i="82"/>
  <c r="AM41" i="82"/>
  <c r="AN41" i="82"/>
  <c r="AO41" i="82"/>
  <c r="AP41" i="82"/>
  <c r="AQ41" i="82"/>
  <c r="AR41" i="82"/>
  <c r="AS41" i="82"/>
  <c r="C42" i="82"/>
  <c r="D42" i="82"/>
  <c r="E42" i="82"/>
  <c r="F42" i="82"/>
  <c r="G42" i="82"/>
  <c r="H42" i="82"/>
  <c r="I42" i="82"/>
  <c r="J42" i="82"/>
  <c r="K42" i="82"/>
  <c r="L42" i="82"/>
  <c r="M42" i="82"/>
  <c r="N42" i="82"/>
  <c r="O42" i="82"/>
  <c r="P42" i="82"/>
  <c r="Q42" i="82"/>
  <c r="R42" i="82"/>
  <c r="S42" i="82"/>
  <c r="T42" i="82"/>
  <c r="U42" i="82"/>
  <c r="V42" i="82"/>
  <c r="W42" i="82"/>
  <c r="X42" i="82"/>
  <c r="Y42" i="82"/>
  <c r="Z42" i="82"/>
  <c r="AA42" i="82"/>
  <c r="AB42" i="82"/>
  <c r="AC42" i="82"/>
  <c r="AD42" i="82"/>
  <c r="AE42" i="82"/>
  <c r="AF42" i="82"/>
  <c r="AG42" i="82"/>
  <c r="AH42" i="82"/>
  <c r="AI42" i="82"/>
  <c r="AJ42" i="82"/>
  <c r="AK42" i="82"/>
  <c r="AL42" i="82"/>
  <c r="AM42" i="82"/>
  <c r="AN42" i="82"/>
  <c r="AO42" i="82"/>
  <c r="AP42" i="82"/>
  <c r="AQ42" i="82"/>
  <c r="AR42" i="82"/>
  <c r="AS42" i="82"/>
  <c r="C43" i="82"/>
  <c r="D43" i="82"/>
  <c r="E43" i="82"/>
  <c r="F43" i="82"/>
  <c r="G43" i="82"/>
  <c r="H43" i="82"/>
  <c r="I43" i="82"/>
  <c r="J43" i="82"/>
  <c r="K43" i="82"/>
  <c r="L43" i="82"/>
  <c r="M43" i="82"/>
  <c r="N43" i="82"/>
  <c r="O43" i="82"/>
  <c r="P43" i="82"/>
  <c r="Q43" i="82"/>
  <c r="R43" i="82"/>
  <c r="S43" i="82"/>
  <c r="T43" i="82"/>
  <c r="U43" i="82"/>
  <c r="V43" i="82"/>
  <c r="W43" i="82"/>
  <c r="X43" i="82"/>
  <c r="Y43" i="82"/>
  <c r="Z43" i="82"/>
  <c r="AA43" i="82"/>
  <c r="AB43" i="82"/>
  <c r="AC43" i="82"/>
  <c r="AD43" i="82"/>
  <c r="AE43" i="82"/>
  <c r="AF43" i="82"/>
  <c r="AG43" i="82"/>
  <c r="AH43" i="82"/>
  <c r="AI43" i="82"/>
  <c r="AJ43" i="82"/>
  <c r="AK43" i="82"/>
  <c r="AL43" i="82"/>
  <c r="AM43" i="82"/>
  <c r="AN43" i="82"/>
  <c r="AO43" i="82"/>
  <c r="AP43" i="82"/>
  <c r="AQ43" i="82"/>
  <c r="AR43" i="82"/>
  <c r="AS43" i="82"/>
  <c r="C44" i="82"/>
  <c r="D44" i="82"/>
  <c r="E44" i="82"/>
  <c r="F44" i="82"/>
  <c r="G44" i="82"/>
  <c r="H44" i="82"/>
  <c r="I44" i="82"/>
  <c r="J44" i="82"/>
  <c r="K44" i="82"/>
  <c r="L44" i="82"/>
  <c r="M44" i="82"/>
  <c r="N44" i="82"/>
  <c r="O44" i="82"/>
  <c r="P44" i="82"/>
  <c r="Q44" i="82"/>
  <c r="R44" i="82"/>
  <c r="S44" i="82"/>
  <c r="T44" i="82"/>
  <c r="U44" i="82"/>
  <c r="V44" i="82"/>
  <c r="W44" i="82"/>
  <c r="X44" i="82"/>
  <c r="Y44" i="82"/>
  <c r="Z44" i="82"/>
  <c r="AA44" i="82"/>
  <c r="AB44" i="82"/>
  <c r="AC44" i="82"/>
  <c r="AD44" i="82"/>
  <c r="AE44" i="82"/>
  <c r="AF44" i="82"/>
  <c r="AG44" i="82"/>
  <c r="AH44" i="82"/>
  <c r="AI44" i="82"/>
  <c r="AJ44" i="82"/>
  <c r="AK44" i="82"/>
  <c r="AL44" i="82"/>
  <c r="AM44" i="82"/>
  <c r="AN44" i="82"/>
  <c r="AO44" i="82"/>
  <c r="AP44" i="82"/>
  <c r="AQ44" i="82"/>
  <c r="AR44" i="82"/>
  <c r="AS44" i="82"/>
  <c r="C45" i="82"/>
  <c r="D45" i="82"/>
  <c r="E45" i="82"/>
  <c r="F45" i="82"/>
  <c r="G45" i="82"/>
  <c r="H45" i="82"/>
  <c r="I45" i="82"/>
  <c r="J45" i="82"/>
  <c r="K45" i="82"/>
  <c r="L45" i="82"/>
  <c r="M45" i="82"/>
  <c r="N45" i="82"/>
  <c r="O45" i="82"/>
  <c r="P45" i="82"/>
  <c r="Q45" i="82"/>
  <c r="R45" i="82"/>
  <c r="S45" i="82"/>
  <c r="T45" i="82"/>
  <c r="U45" i="82"/>
  <c r="V45" i="82"/>
  <c r="W45" i="82"/>
  <c r="X45" i="82"/>
  <c r="Y45" i="82"/>
  <c r="Z45" i="82"/>
  <c r="AA45" i="82"/>
  <c r="AB45" i="82"/>
  <c r="AC45" i="82"/>
  <c r="AD45" i="82"/>
  <c r="AE45" i="82"/>
  <c r="AF45" i="82"/>
  <c r="AG45" i="82"/>
  <c r="AH45" i="82"/>
  <c r="AI45" i="82"/>
  <c r="AJ45" i="82"/>
  <c r="AK45" i="82"/>
  <c r="AL45" i="82"/>
  <c r="AM45" i="82"/>
  <c r="AN45" i="82"/>
  <c r="AO45" i="82"/>
  <c r="AP45" i="82"/>
  <c r="AQ45" i="82"/>
  <c r="AR45" i="82"/>
  <c r="AS45" i="82"/>
  <c r="C46" i="82"/>
  <c r="D46" i="82"/>
  <c r="E46" i="82"/>
  <c r="F46" i="82"/>
  <c r="G46" i="82"/>
  <c r="H46" i="82"/>
  <c r="I46" i="82"/>
  <c r="J46" i="82"/>
  <c r="K46" i="82"/>
  <c r="L46" i="82"/>
  <c r="M46" i="82"/>
  <c r="N46" i="82"/>
  <c r="O46" i="82"/>
  <c r="P46" i="82"/>
  <c r="Q46" i="82"/>
  <c r="R46" i="82"/>
  <c r="S46" i="82"/>
  <c r="T46" i="82"/>
  <c r="U46" i="82"/>
  <c r="V46" i="82"/>
  <c r="W46" i="82"/>
  <c r="X46" i="82"/>
  <c r="Y46" i="82"/>
  <c r="Z46" i="82"/>
  <c r="AA46" i="82"/>
  <c r="AB46" i="82"/>
  <c r="AC46" i="82"/>
  <c r="AD46" i="82"/>
  <c r="AE46" i="82"/>
  <c r="AF46" i="82"/>
  <c r="AG46" i="82"/>
  <c r="AH46" i="82"/>
  <c r="AI46" i="82"/>
  <c r="AJ46" i="82"/>
  <c r="AK46" i="82"/>
  <c r="AL46" i="82"/>
  <c r="AM46" i="82"/>
  <c r="AN46" i="82"/>
  <c r="AO46" i="82"/>
  <c r="AP46" i="82"/>
  <c r="AQ46" i="82"/>
  <c r="AR46" i="82"/>
  <c r="AS46" i="82"/>
  <c r="C47" i="82"/>
  <c r="D47" i="82"/>
  <c r="E47" i="82"/>
  <c r="F47" i="82"/>
  <c r="G47" i="82"/>
  <c r="H47" i="82"/>
  <c r="I47" i="82"/>
  <c r="J47" i="82"/>
  <c r="K47" i="82"/>
  <c r="L47" i="82"/>
  <c r="M47" i="82"/>
  <c r="N47" i="82"/>
  <c r="O47" i="82"/>
  <c r="P47" i="82"/>
  <c r="Q47" i="82"/>
  <c r="R47" i="82"/>
  <c r="S47" i="82"/>
  <c r="T47" i="82"/>
  <c r="U47" i="82"/>
  <c r="V47" i="82"/>
  <c r="W47" i="82"/>
  <c r="X47" i="82"/>
  <c r="Y47" i="82"/>
  <c r="Z47" i="82"/>
  <c r="AA47" i="82"/>
  <c r="AB47" i="82"/>
  <c r="AC47" i="82"/>
  <c r="AD47" i="82"/>
  <c r="AE47" i="82"/>
  <c r="AF47" i="82"/>
  <c r="AG47" i="82"/>
  <c r="AH47" i="82"/>
  <c r="AI47" i="82"/>
  <c r="AJ47" i="82"/>
  <c r="AK47" i="82"/>
  <c r="AL47" i="82"/>
  <c r="AM47" i="82"/>
  <c r="AN47" i="82"/>
  <c r="AO47" i="82"/>
  <c r="AP47" i="82"/>
  <c r="AQ47" i="82"/>
  <c r="AR47" i="82"/>
  <c r="AS47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" i="82"/>
  <c r="C4" i="80"/>
  <c r="D4" i="80"/>
  <c r="E4" i="80"/>
  <c r="F4" i="80"/>
  <c r="G4" i="80"/>
  <c r="H4" i="80"/>
  <c r="I4" i="80"/>
  <c r="J4" i="80"/>
  <c r="K4" i="80"/>
  <c r="L4" i="80"/>
  <c r="M4" i="80"/>
  <c r="N4" i="80"/>
  <c r="O4" i="80"/>
  <c r="P4" i="80"/>
  <c r="Q4" i="80"/>
  <c r="R4" i="80"/>
  <c r="S4" i="80"/>
  <c r="T4" i="80"/>
  <c r="U4" i="80"/>
  <c r="V4" i="80"/>
  <c r="W4" i="80"/>
  <c r="X4" i="80"/>
  <c r="Y4" i="80"/>
  <c r="Z4" i="80"/>
  <c r="AA4" i="80"/>
  <c r="AB4" i="80"/>
  <c r="AC4" i="80"/>
  <c r="AD4" i="80"/>
  <c r="AE4" i="80"/>
  <c r="AF4" i="80"/>
  <c r="AG4" i="80"/>
  <c r="AH4" i="80"/>
  <c r="AI4" i="80"/>
  <c r="AJ4" i="80"/>
  <c r="AK4" i="80"/>
  <c r="AL4" i="80"/>
  <c r="AM4" i="80"/>
  <c r="AN4" i="80"/>
  <c r="AO4" i="80"/>
  <c r="AP4" i="80"/>
  <c r="AQ4" i="80"/>
  <c r="AR4" i="80"/>
  <c r="AS4" i="80"/>
  <c r="C5" i="80"/>
  <c r="D5" i="80"/>
  <c r="E5" i="80"/>
  <c r="F5" i="80"/>
  <c r="G5" i="80"/>
  <c r="H5" i="80"/>
  <c r="I5" i="80"/>
  <c r="J5" i="80"/>
  <c r="K5" i="80"/>
  <c r="L5" i="80"/>
  <c r="M5" i="80"/>
  <c r="N5" i="80"/>
  <c r="O5" i="80"/>
  <c r="P5" i="80"/>
  <c r="Q5" i="80"/>
  <c r="R5" i="80"/>
  <c r="S5" i="80"/>
  <c r="T5" i="80"/>
  <c r="U5" i="80"/>
  <c r="V5" i="80"/>
  <c r="W5" i="80"/>
  <c r="X5" i="80"/>
  <c r="Y5" i="80"/>
  <c r="Z5" i="80"/>
  <c r="AA5" i="80"/>
  <c r="AB5" i="80"/>
  <c r="AC5" i="80"/>
  <c r="AD5" i="80"/>
  <c r="AE5" i="80"/>
  <c r="AF5" i="80"/>
  <c r="AG5" i="80"/>
  <c r="AH5" i="80"/>
  <c r="AI5" i="80"/>
  <c r="AJ5" i="80"/>
  <c r="AK5" i="80"/>
  <c r="AL5" i="80"/>
  <c r="AM5" i="80"/>
  <c r="AN5" i="80"/>
  <c r="AO5" i="80"/>
  <c r="AP5" i="80"/>
  <c r="AQ5" i="80"/>
  <c r="AR5" i="80"/>
  <c r="AS5" i="80"/>
  <c r="C6" i="80"/>
  <c r="D6" i="80"/>
  <c r="E6" i="80"/>
  <c r="F6" i="80"/>
  <c r="G6" i="80"/>
  <c r="H6" i="80"/>
  <c r="I6" i="80"/>
  <c r="J6" i="80"/>
  <c r="K6" i="80"/>
  <c r="L6" i="80"/>
  <c r="M6" i="80"/>
  <c r="N6" i="80"/>
  <c r="O6" i="80"/>
  <c r="P6" i="80"/>
  <c r="Q6" i="80"/>
  <c r="R6" i="80"/>
  <c r="S6" i="80"/>
  <c r="T6" i="80"/>
  <c r="U6" i="80"/>
  <c r="V6" i="80"/>
  <c r="W6" i="80"/>
  <c r="X6" i="80"/>
  <c r="Y6" i="80"/>
  <c r="Z6" i="80"/>
  <c r="AA6" i="80"/>
  <c r="AB6" i="80"/>
  <c r="AC6" i="80"/>
  <c r="AD6" i="80"/>
  <c r="AE6" i="80"/>
  <c r="AF6" i="80"/>
  <c r="AG6" i="80"/>
  <c r="AH6" i="80"/>
  <c r="AI6" i="80"/>
  <c r="AJ6" i="80"/>
  <c r="AK6" i="80"/>
  <c r="AL6" i="80"/>
  <c r="AM6" i="80"/>
  <c r="AN6" i="80"/>
  <c r="AO6" i="80"/>
  <c r="AP6" i="80"/>
  <c r="AQ6" i="80"/>
  <c r="AR6" i="80"/>
  <c r="AS6" i="80"/>
  <c r="C7" i="80"/>
  <c r="D7" i="80"/>
  <c r="E7" i="80"/>
  <c r="F7" i="80"/>
  <c r="G7" i="80"/>
  <c r="H7" i="80"/>
  <c r="I7" i="80"/>
  <c r="J7" i="80"/>
  <c r="K7" i="80"/>
  <c r="L7" i="80"/>
  <c r="M7" i="80"/>
  <c r="N7" i="80"/>
  <c r="O7" i="80"/>
  <c r="P7" i="80"/>
  <c r="Q7" i="80"/>
  <c r="R7" i="80"/>
  <c r="S7" i="80"/>
  <c r="T7" i="80"/>
  <c r="U7" i="80"/>
  <c r="V7" i="80"/>
  <c r="W7" i="80"/>
  <c r="X7" i="80"/>
  <c r="Y7" i="80"/>
  <c r="Z7" i="80"/>
  <c r="AA7" i="80"/>
  <c r="AB7" i="80"/>
  <c r="AC7" i="80"/>
  <c r="AD7" i="80"/>
  <c r="AE7" i="80"/>
  <c r="AF7" i="80"/>
  <c r="AG7" i="80"/>
  <c r="AH7" i="80"/>
  <c r="AI7" i="80"/>
  <c r="AJ7" i="80"/>
  <c r="AK7" i="80"/>
  <c r="AL7" i="80"/>
  <c r="AM7" i="80"/>
  <c r="AN7" i="80"/>
  <c r="AO7" i="80"/>
  <c r="AP7" i="80"/>
  <c r="AQ7" i="80"/>
  <c r="AR7" i="80"/>
  <c r="AS7" i="80"/>
  <c r="C8" i="80"/>
  <c r="D8" i="80"/>
  <c r="E8" i="80"/>
  <c r="F8" i="80"/>
  <c r="G8" i="80"/>
  <c r="H8" i="80"/>
  <c r="I8" i="80"/>
  <c r="J8" i="80"/>
  <c r="K8" i="80"/>
  <c r="L8" i="80"/>
  <c r="M8" i="80"/>
  <c r="N8" i="80"/>
  <c r="O8" i="80"/>
  <c r="P8" i="80"/>
  <c r="Q8" i="80"/>
  <c r="R8" i="80"/>
  <c r="S8" i="80"/>
  <c r="T8" i="80"/>
  <c r="U8" i="80"/>
  <c r="V8" i="80"/>
  <c r="W8" i="80"/>
  <c r="X8" i="80"/>
  <c r="Y8" i="80"/>
  <c r="Z8" i="80"/>
  <c r="AA8" i="80"/>
  <c r="AB8" i="80"/>
  <c r="AC8" i="80"/>
  <c r="AD8" i="80"/>
  <c r="AE8" i="80"/>
  <c r="AF8" i="80"/>
  <c r="AG8" i="80"/>
  <c r="AH8" i="80"/>
  <c r="AI8" i="80"/>
  <c r="AJ8" i="80"/>
  <c r="AK8" i="80"/>
  <c r="AL8" i="80"/>
  <c r="AM8" i="80"/>
  <c r="AN8" i="80"/>
  <c r="AO8" i="80"/>
  <c r="AP8" i="80"/>
  <c r="AQ8" i="80"/>
  <c r="AR8" i="80"/>
  <c r="AS8" i="80"/>
  <c r="C9" i="80"/>
  <c r="D9" i="80"/>
  <c r="E9" i="80"/>
  <c r="F9" i="80"/>
  <c r="G9" i="80"/>
  <c r="H9" i="80"/>
  <c r="I9" i="80"/>
  <c r="J9" i="80"/>
  <c r="K9" i="80"/>
  <c r="L9" i="80"/>
  <c r="M9" i="80"/>
  <c r="N9" i="80"/>
  <c r="O9" i="80"/>
  <c r="P9" i="80"/>
  <c r="Q9" i="80"/>
  <c r="R9" i="80"/>
  <c r="S9" i="80"/>
  <c r="T9" i="80"/>
  <c r="U9" i="80"/>
  <c r="V9" i="80"/>
  <c r="W9" i="80"/>
  <c r="X9" i="80"/>
  <c r="Y9" i="80"/>
  <c r="Z9" i="80"/>
  <c r="AA9" i="80"/>
  <c r="AB9" i="80"/>
  <c r="AC9" i="80"/>
  <c r="AD9" i="80"/>
  <c r="AE9" i="80"/>
  <c r="AF9" i="80"/>
  <c r="AG9" i="80"/>
  <c r="AH9" i="80"/>
  <c r="AI9" i="80"/>
  <c r="AJ9" i="80"/>
  <c r="AK9" i="80"/>
  <c r="AL9" i="80"/>
  <c r="AM9" i="80"/>
  <c r="AN9" i="80"/>
  <c r="AO9" i="80"/>
  <c r="AP9" i="80"/>
  <c r="AQ9" i="80"/>
  <c r="AR9" i="80"/>
  <c r="AS9" i="80"/>
  <c r="C10" i="80"/>
  <c r="D10" i="80"/>
  <c r="E10" i="80"/>
  <c r="F10" i="80"/>
  <c r="G10" i="80"/>
  <c r="H10" i="80"/>
  <c r="I10" i="80"/>
  <c r="J10" i="80"/>
  <c r="K10" i="80"/>
  <c r="L10" i="80"/>
  <c r="M10" i="80"/>
  <c r="N10" i="80"/>
  <c r="O10" i="80"/>
  <c r="P10" i="80"/>
  <c r="Q10" i="80"/>
  <c r="R10" i="80"/>
  <c r="S10" i="80"/>
  <c r="T10" i="80"/>
  <c r="U10" i="80"/>
  <c r="V10" i="80"/>
  <c r="W10" i="80"/>
  <c r="X10" i="80"/>
  <c r="Y10" i="80"/>
  <c r="Z10" i="80"/>
  <c r="AA10" i="80"/>
  <c r="AB10" i="80"/>
  <c r="AC10" i="80"/>
  <c r="AD10" i="80"/>
  <c r="AE10" i="80"/>
  <c r="AF10" i="80"/>
  <c r="AG10" i="80"/>
  <c r="AH10" i="80"/>
  <c r="AI10" i="80"/>
  <c r="AJ10" i="80"/>
  <c r="AK10" i="80"/>
  <c r="AL10" i="80"/>
  <c r="AM10" i="80"/>
  <c r="AN10" i="80"/>
  <c r="AO10" i="80"/>
  <c r="AP10" i="80"/>
  <c r="AQ10" i="80"/>
  <c r="AR10" i="80"/>
  <c r="AS10" i="80"/>
  <c r="C11" i="80"/>
  <c r="D11" i="80"/>
  <c r="E11" i="80"/>
  <c r="F11" i="80"/>
  <c r="G11" i="80"/>
  <c r="H11" i="80"/>
  <c r="I11" i="80"/>
  <c r="J11" i="80"/>
  <c r="K11" i="80"/>
  <c r="L11" i="80"/>
  <c r="M11" i="80"/>
  <c r="N11" i="80"/>
  <c r="O11" i="80"/>
  <c r="P11" i="80"/>
  <c r="Q11" i="80"/>
  <c r="R11" i="80"/>
  <c r="S11" i="80"/>
  <c r="T11" i="80"/>
  <c r="U11" i="80"/>
  <c r="V11" i="80"/>
  <c r="W11" i="80"/>
  <c r="X11" i="80"/>
  <c r="Y11" i="80"/>
  <c r="Z11" i="80"/>
  <c r="AA11" i="80"/>
  <c r="AB11" i="80"/>
  <c r="AC11" i="80"/>
  <c r="AD11" i="80"/>
  <c r="AE11" i="80"/>
  <c r="AF11" i="80"/>
  <c r="AG11" i="80"/>
  <c r="AH11" i="80"/>
  <c r="AI11" i="80"/>
  <c r="AJ11" i="80"/>
  <c r="AK11" i="80"/>
  <c r="AL11" i="80"/>
  <c r="AM11" i="80"/>
  <c r="AN11" i="80"/>
  <c r="AO11" i="80"/>
  <c r="AP11" i="80"/>
  <c r="AQ11" i="80"/>
  <c r="AR11" i="80"/>
  <c r="AS11" i="80"/>
  <c r="C12" i="80"/>
  <c r="D12" i="80"/>
  <c r="E12" i="80"/>
  <c r="F12" i="80"/>
  <c r="G12" i="80"/>
  <c r="H12" i="80"/>
  <c r="I12" i="80"/>
  <c r="J12" i="80"/>
  <c r="K12" i="80"/>
  <c r="L12" i="80"/>
  <c r="M12" i="80"/>
  <c r="N12" i="80"/>
  <c r="O12" i="80"/>
  <c r="P12" i="80"/>
  <c r="Q12" i="80"/>
  <c r="R12" i="80"/>
  <c r="S12" i="80"/>
  <c r="T12" i="80"/>
  <c r="U12" i="80"/>
  <c r="V12" i="80"/>
  <c r="W12" i="80"/>
  <c r="X12" i="80"/>
  <c r="Y12" i="80"/>
  <c r="Z12" i="80"/>
  <c r="AA12" i="80"/>
  <c r="AB12" i="80"/>
  <c r="AC12" i="80"/>
  <c r="AD12" i="80"/>
  <c r="AE12" i="80"/>
  <c r="AF12" i="80"/>
  <c r="AG12" i="80"/>
  <c r="AH12" i="80"/>
  <c r="AI12" i="80"/>
  <c r="AJ12" i="80"/>
  <c r="AK12" i="80"/>
  <c r="AL12" i="80"/>
  <c r="AM12" i="80"/>
  <c r="AN12" i="80"/>
  <c r="AO12" i="80"/>
  <c r="AP12" i="80"/>
  <c r="AQ12" i="80"/>
  <c r="AR12" i="80"/>
  <c r="AS12" i="80"/>
  <c r="C13" i="80"/>
  <c r="D13" i="80"/>
  <c r="E13" i="80"/>
  <c r="F13" i="80"/>
  <c r="G13" i="80"/>
  <c r="H13" i="80"/>
  <c r="I13" i="80"/>
  <c r="J13" i="80"/>
  <c r="K13" i="80"/>
  <c r="L13" i="80"/>
  <c r="M13" i="80"/>
  <c r="N13" i="80"/>
  <c r="O13" i="80"/>
  <c r="P13" i="80"/>
  <c r="Q13" i="80"/>
  <c r="R13" i="80"/>
  <c r="S13" i="80"/>
  <c r="T13" i="80"/>
  <c r="U13" i="80"/>
  <c r="V13" i="80"/>
  <c r="W13" i="80"/>
  <c r="X13" i="80"/>
  <c r="Y13" i="80"/>
  <c r="Z13" i="80"/>
  <c r="AA13" i="80"/>
  <c r="AB13" i="80"/>
  <c r="AC13" i="80"/>
  <c r="AD13" i="80"/>
  <c r="AE13" i="80"/>
  <c r="AF13" i="80"/>
  <c r="AG13" i="80"/>
  <c r="AH13" i="80"/>
  <c r="AI13" i="80"/>
  <c r="AJ13" i="80"/>
  <c r="AK13" i="80"/>
  <c r="AL13" i="80"/>
  <c r="AM13" i="80"/>
  <c r="AN13" i="80"/>
  <c r="AO13" i="80"/>
  <c r="AP13" i="80"/>
  <c r="AQ13" i="80"/>
  <c r="AR13" i="80"/>
  <c r="AS13" i="80"/>
  <c r="C14" i="80"/>
  <c r="D14" i="80"/>
  <c r="E14" i="80"/>
  <c r="F14" i="80"/>
  <c r="G14" i="80"/>
  <c r="H14" i="80"/>
  <c r="I14" i="80"/>
  <c r="J14" i="80"/>
  <c r="K14" i="80"/>
  <c r="L14" i="80"/>
  <c r="M14" i="80"/>
  <c r="N14" i="80"/>
  <c r="O14" i="80"/>
  <c r="P14" i="80"/>
  <c r="Q14" i="80"/>
  <c r="R14" i="80"/>
  <c r="S14" i="80"/>
  <c r="T14" i="80"/>
  <c r="U14" i="80"/>
  <c r="V14" i="80"/>
  <c r="W14" i="80"/>
  <c r="X14" i="80"/>
  <c r="Y14" i="80"/>
  <c r="Z14" i="80"/>
  <c r="AA14" i="80"/>
  <c r="AB14" i="80"/>
  <c r="AC14" i="80"/>
  <c r="AD14" i="80"/>
  <c r="AE14" i="80"/>
  <c r="AF14" i="80"/>
  <c r="AG14" i="80"/>
  <c r="AH14" i="80"/>
  <c r="AI14" i="80"/>
  <c r="AJ14" i="80"/>
  <c r="AK14" i="80"/>
  <c r="AL14" i="80"/>
  <c r="AM14" i="80"/>
  <c r="AN14" i="80"/>
  <c r="AO14" i="80"/>
  <c r="AP14" i="80"/>
  <c r="AQ14" i="80"/>
  <c r="AR14" i="80"/>
  <c r="AS14" i="80"/>
  <c r="C15" i="80"/>
  <c r="D15" i="80"/>
  <c r="E15" i="80"/>
  <c r="F15" i="80"/>
  <c r="G15" i="80"/>
  <c r="H15" i="80"/>
  <c r="I15" i="80"/>
  <c r="J15" i="80"/>
  <c r="K15" i="80"/>
  <c r="L15" i="80"/>
  <c r="M15" i="80"/>
  <c r="N15" i="80"/>
  <c r="O15" i="80"/>
  <c r="P15" i="80"/>
  <c r="Q15" i="80"/>
  <c r="R15" i="80"/>
  <c r="S15" i="80"/>
  <c r="T15" i="80"/>
  <c r="U15" i="80"/>
  <c r="V15" i="80"/>
  <c r="W15" i="80"/>
  <c r="X15" i="80"/>
  <c r="Y15" i="80"/>
  <c r="Z15" i="80"/>
  <c r="AA15" i="80"/>
  <c r="AB15" i="80"/>
  <c r="AC15" i="80"/>
  <c r="AD15" i="80"/>
  <c r="AE15" i="80"/>
  <c r="AF15" i="80"/>
  <c r="AG15" i="80"/>
  <c r="AH15" i="80"/>
  <c r="AI15" i="80"/>
  <c r="AJ15" i="80"/>
  <c r="AK15" i="80"/>
  <c r="AL15" i="80"/>
  <c r="AM15" i="80"/>
  <c r="AN15" i="80"/>
  <c r="AO15" i="80"/>
  <c r="AP15" i="80"/>
  <c r="AQ15" i="80"/>
  <c r="AR15" i="80"/>
  <c r="AS15" i="80"/>
  <c r="C16" i="80"/>
  <c r="D16" i="80"/>
  <c r="E16" i="80"/>
  <c r="F16" i="80"/>
  <c r="G16" i="80"/>
  <c r="H16" i="80"/>
  <c r="I16" i="80"/>
  <c r="J16" i="80"/>
  <c r="K16" i="80"/>
  <c r="L16" i="80"/>
  <c r="M16" i="80"/>
  <c r="N16" i="80"/>
  <c r="O16" i="80"/>
  <c r="P16" i="80"/>
  <c r="Q16" i="80"/>
  <c r="R16" i="80"/>
  <c r="S16" i="80"/>
  <c r="T16" i="80"/>
  <c r="U16" i="80"/>
  <c r="V16" i="80"/>
  <c r="W16" i="80"/>
  <c r="X16" i="80"/>
  <c r="Y16" i="80"/>
  <c r="Z16" i="80"/>
  <c r="AA16" i="80"/>
  <c r="AB16" i="80"/>
  <c r="AC16" i="80"/>
  <c r="AD16" i="80"/>
  <c r="AE16" i="80"/>
  <c r="AF16" i="80"/>
  <c r="AG16" i="80"/>
  <c r="AH16" i="80"/>
  <c r="AI16" i="80"/>
  <c r="AJ16" i="80"/>
  <c r="AK16" i="80"/>
  <c r="AL16" i="80"/>
  <c r="AM16" i="80"/>
  <c r="AN16" i="80"/>
  <c r="AO16" i="80"/>
  <c r="AP16" i="80"/>
  <c r="AQ16" i="80"/>
  <c r="AR16" i="80"/>
  <c r="AS16" i="80"/>
  <c r="C17" i="80"/>
  <c r="D17" i="80"/>
  <c r="E17" i="80"/>
  <c r="F17" i="80"/>
  <c r="G17" i="80"/>
  <c r="H17" i="80"/>
  <c r="I17" i="80"/>
  <c r="J17" i="80"/>
  <c r="K17" i="80"/>
  <c r="L17" i="80"/>
  <c r="M17" i="80"/>
  <c r="N17" i="80"/>
  <c r="O17" i="80"/>
  <c r="P17" i="80"/>
  <c r="Q17" i="80"/>
  <c r="R17" i="80"/>
  <c r="S17" i="80"/>
  <c r="T17" i="80"/>
  <c r="U17" i="80"/>
  <c r="V17" i="80"/>
  <c r="W17" i="80"/>
  <c r="X17" i="80"/>
  <c r="Y17" i="80"/>
  <c r="Z17" i="80"/>
  <c r="AA17" i="80"/>
  <c r="AB17" i="80"/>
  <c r="AC17" i="80"/>
  <c r="AD17" i="80"/>
  <c r="AE17" i="80"/>
  <c r="AF17" i="80"/>
  <c r="AG17" i="80"/>
  <c r="AH17" i="80"/>
  <c r="AI17" i="80"/>
  <c r="AJ17" i="80"/>
  <c r="AK17" i="80"/>
  <c r="AL17" i="80"/>
  <c r="AM17" i="80"/>
  <c r="AN17" i="80"/>
  <c r="AO17" i="80"/>
  <c r="AP17" i="80"/>
  <c r="AQ17" i="80"/>
  <c r="AR17" i="80"/>
  <c r="AS17" i="80"/>
  <c r="C18" i="80"/>
  <c r="D18" i="80"/>
  <c r="E18" i="80"/>
  <c r="F18" i="80"/>
  <c r="G18" i="80"/>
  <c r="H18" i="80"/>
  <c r="I18" i="80"/>
  <c r="J18" i="80"/>
  <c r="K18" i="80"/>
  <c r="L18" i="80"/>
  <c r="M18" i="80"/>
  <c r="N18" i="80"/>
  <c r="O18" i="80"/>
  <c r="P18" i="80"/>
  <c r="Q18" i="80"/>
  <c r="R18" i="80"/>
  <c r="S18" i="80"/>
  <c r="T18" i="80"/>
  <c r="U18" i="80"/>
  <c r="V18" i="80"/>
  <c r="W18" i="80"/>
  <c r="X18" i="80"/>
  <c r="Y18" i="80"/>
  <c r="Z18" i="80"/>
  <c r="AA18" i="80"/>
  <c r="AB18" i="80"/>
  <c r="AC18" i="80"/>
  <c r="AD18" i="80"/>
  <c r="AE18" i="80"/>
  <c r="AF18" i="80"/>
  <c r="AG18" i="80"/>
  <c r="AH18" i="80"/>
  <c r="AI18" i="80"/>
  <c r="AJ18" i="80"/>
  <c r="AK18" i="80"/>
  <c r="AL18" i="80"/>
  <c r="AM18" i="80"/>
  <c r="AN18" i="80"/>
  <c r="AO18" i="80"/>
  <c r="AP18" i="80"/>
  <c r="AQ18" i="80"/>
  <c r="AR18" i="80"/>
  <c r="AS18" i="80"/>
  <c r="C19" i="80"/>
  <c r="D19" i="80"/>
  <c r="E19" i="80"/>
  <c r="F19" i="80"/>
  <c r="G19" i="80"/>
  <c r="H19" i="80"/>
  <c r="I19" i="80"/>
  <c r="J19" i="80"/>
  <c r="K19" i="80"/>
  <c r="L19" i="80"/>
  <c r="M19" i="80"/>
  <c r="N19" i="80"/>
  <c r="O19" i="80"/>
  <c r="P19" i="80"/>
  <c r="Q19" i="80"/>
  <c r="R19" i="80"/>
  <c r="S19" i="80"/>
  <c r="T19" i="80"/>
  <c r="U19" i="80"/>
  <c r="V19" i="80"/>
  <c r="W19" i="80"/>
  <c r="X19" i="80"/>
  <c r="Y19" i="80"/>
  <c r="Z19" i="80"/>
  <c r="AA19" i="80"/>
  <c r="AB19" i="80"/>
  <c r="AC19" i="80"/>
  <c r="AD19" i="80"/>
  <c r="AE19" i="80"/>
  <c r="AF19" i="80"/>
  <c r="AG19" i="80"/>
  <c r="AH19" i="80"/>
  <c r="AI19" i="80"/>
  <c r="AJ19" i="80"/>
  <c r="AK19" i="80"/>
  <c r="AL19" i="80"/>
  <c r="AM19" i="80"/>
  <c r="AN19" i="80"/>
  <c r="AO19" i="80"/>
  <c r="AP19" i="80"/>
  <c r="AQ19" i="80"/>
  <c r="AR19" i="80"/>
  <c r="AS19" i="80"/>
  <c r="C20" i="80"/>
  <c r="D20" i="80"/>
  <c r="E20" i="80"/>
  <c r="F20" i="80"/>
  <c r="G20" i="80"/>
  <c r="H20" i="80"/>
  <c r="I20" i="80"/>
  <c r="J20" i="80"/>
  <c r="K20" i="80"/>
  <c r="L20" i="80"/>
  <c r="M20" i="80"/>
  <c r="N20" i="80"/>
  <c r="O20" i="80"/>
  <c r="P20" i="80"/>
  <c r="Q20" i="80"/>
  <c r="R20" i="80"/>
  <c r="S20" i="80"/>
  <c r="T20" i="80"/>
  <c r="U20" i="80"/>
  <c r="V20" i="80"/>
  <c r="W20" i="80"/>
  <c r="X20" i="80"/>
  <c r="Y20" i="80"/>
  <c r="Z20" i="80"/>
  <c r="AA20" i="80"/>
  <c r="AB20" i="80"/>
  <c r="AC20" i="80"/>
  <c r="AD20" i="80"/>
  <c r="AE20" i="80"/>
  <c r="AF20" i="80"/>
  <c r="AG20" i="80"/>
  <c r="AH20" i="80"/>
  <c r="AI20" i="80"/>
  <c r="AJ20" i="80"/>
  <c r="AK20" i="80"/>
  <c r="AL20" i="80"/>
  <c r="AM20" i="80"/>
  <c r="AN20" i="80"/>
  <c r="AO20" i="80"/>
  <c r="AP20" i="80"/>
  <c r="AQ20" i="80"/>
  <c r="AR20" i="80"/>
  <c r="AS20" i="80"/>
  <c r="C21" i="80"/>
  <c r="D21" i="80"/>
  <c r="E21" i="80"/>
  <c r="F21" i="80"/>
  <c r="G21" i="80"/>
  <c r="H21" i="80"/>
  <c r="I21" i="80"/>
  <c r="J21" i="80"/>
  <c r="K21" i="80"/>
  <c r="L21" i="80"/>
  <c r="M21" i="80"/>
  <c r="N21" i="80"/>
  <c r="O21" i="80"/>
  <c r="P21" i="80"/>
  <c r="Q21" i="80"/>
  <c r="R21" i="80"/>
  <c r="S21" i="80"/>
  <c r="T21" i="80"/>
  <c r="U21" i="80"/>
  <c r="V21" i="80"/>
  <c r="W21" i="80"/>
  <c r="X21" i="80"/>
  <c r="Y21" i="80"/>
  <c r="Z21" i="80"/>
  <c r="AA21" i="80"/>
  <c r="AB21" i="80"/>
  <c r="AC21" i="80"/>
  <c r="AD21" i="80"/>
  <c r="AE21" i="80"/>
  <c r="AF21" i="80"/>
  <c r="AG21" i="80"/>
  <c r="AH21" i="80"/>
  <c r="AI21" i="80"/>
  <c r="AJ21" i="80"/>
  <c r="AK21" i="80"/>
  <c r="AL21" i="80"/>
  <c r="AM21" i="80"/>
  <c r="AN21" i="80"/>
  <c r="AO21" i="80"/>
  <c r="AP21" i="80"/>
  <c r="AQ21" i="80"/>
  <c r="AR21" i="80"/>
  <c r="AS21" i="80"/>
  <c r="C22" i="80"/>
  <c r="D22" i="80"/>
  <c r="E22" i="80"/>
  <c r="F22" i="80"/>
  <c r="G22" i="80"/>
  <c r="H22" i="80"/>
  <c r="I22" i="80"/>
  <c r="J22" i="80"/>
  <c r="K22" i="80"/>
  <c r="L22" i="80"/>
  <c r="M22" i="80"/>
  <c r="N22" i="80"/>
  <c r="O22" i="80"/>
  <c r="P22" i="80"/>
  <c r="Q22" i="80"/>
  <c r="R22" i="80"/>
  <c r="S22" i="80"/>
  <c r="T22" i="80"/>
  <c r="U22" i="80"/>
  <c r="V22" i="80"/>
  <c r="W22" i="80"/>
  <c r="X22" i="80"/>
  <c r="Y22" i="80"/>
  <c r="Z22" i="80"/>
  <c r="AA22" i="80"/>
  <c r="AB22" i="80"/>
  <c r="AC22" i="80"/>
  <c r="AD22" i="80"/>
  <c r="AE22" i="80"/>
  <c r="AF22" i="80"/>
  <c r="AG22" i="80"/>
  <c r="AH22" i="80"/>
  <c r="AI22" i="80"/>
  <c r="AJ22" i="80"/>
  <c r="AK22" i="80"/>
  <c r="AL22" i="80"/>
  <c r="AM22" i="80"/>
  <c r="AN22" i="80"/>
  <c r="AO22" i="80"/>
  <c r="AP22" i="80"/>
  <c r="AQ22" i="80"/>
  <c r="AR22" i="80"/>
  <c r="AS22" i="80"/>
  <c r="C23" i="80"/>
  <c r="D23" i="80"/>
  <c r="E23" i="80"/>
  <c r="F23" i="80"/>
  <c r="G23" i="80"/>
  <c r="H23" i="80"/>
  <c r="I23" i="80"/>
  <c r="J23" i="80"/>
  <c r="K23" i="80"/>
  <c r="L23" i="80"/>
  <c r="M23" i="80"/>
  <c r="N23" i="80"/>
  <c r="O23" i="80"/>
  <c r="P23" i="80"/>
  <c r="Q23" i="80"/>
  <c r="R23" i="80"/>
  <c r="S23" i="80"/>
  <c r="T23" i="80"/>
  <c r="U23" i="80"/>
  <c r="V23" i="80"/>
  <c r="W23" i="80"/>
  <c r="X23" i="80"/>
  <c r="Y23" i="80"/>
  <c r="Z23" i="80"/>
  <c r="AA23" i="80"/>
  <c r="AB23" i="80"/>
  <c r="AC23" i="80"/>
  <c r="AD23" i="80"/>
  <c r="AE23" i="80"/>
  <c r="AF23" i="80"/>
  <c r="AG23" i="80"/>
  <c r="AH23" i="80"/>
  <c r="AI23" i="80"/>
  <c r="AJ23" i="80"/>
  <c r="AK23" i="80"/>
  <c r="AL23" i="80"/>
  <c r="AM23" i="80"/>
  <c r="AN23" i="80"/>
  <c r="AO23" i="80"/>
  <c r="AP23" i="80"/>
  <c r="AQ23" i="80"/>
  <c r="AR23" i="80"/>
  <c r="AS23" i="80"/>
  <c r="C24" i="80"/>
  <c r="D24" i="80"/>
  <c r="E24" i="80"/>
  <c r="F24" i="80"/>
  <c r="G24" i="80"/>
  <c r="H24" i="80"/>
  <c r="I24" i="80"/>
  <c r="J24" i="80"/>
  <c r="K24" i="80"/>
  <c r="L24" i="80"/>
  <c r="M24" i="80"/>
  <c r="N24" i="80"/>
  <c r="O24" i="80"/>
  <c r="P24" i="80"/>
  <c r="Q24" i="80"/>
  <c r="R24" i="80"/>
  <c r="S24" i="80"/>
  <c r="T24" i="80"/>
  <c r="U24" i="80"/>
  <c r="V24" i="80"/>
  <c r="W24" i="80"/>
  <c r="X24" i="80"/>
  <c r="Y24" i="80"/>
  <c r="Z24" i="80"/>
  <c r="AA24" i="80"/>
  <c r="AB24" i="80"/>
  <c r="AC24" i="80"/>
  <c r="AD24" i="80"/>
  <c r="AE24" i="80"/>
  <c r="AF24" i="80"/>
  <c r="AG24" i="80"/>
  <c r="AH24" i="80"/>
  <c r="AI24" i="80"/>
  <c r="AJ24" i="80"/>
  <c r="AK24" i="80"/>
  <c r="AL24" i="80"/>
  <c r="AM24" i="80"/>
  <c r="AN24" i="80"/>
  <c r="AO24" i="80"/>
  <c r="AP24" i="80"/>
  <c r="AQ24" i="80"/>
  <c r="AR24" i="80"/>
  <c r="AS24" i="80"/>
  <c r="C25" i="80"/>
  <c r="D25" i="80"/>
  <c r="E25" i="80"/>
  <c r="F25" i="80"/>
  <c r="G25" i="80"/>
  <c r="H25" i="80"/>
  <c r="I25" i="80"/>
  <c r="J25" i="80"/>
  <c r="K25" i="80"/>
  <c r="L25" i="80"/>
  <c r="M25" i="80"/>
  <c r="N25" i="80"/>
  <c r="O25" i="80"/>
  <c r="P25" i="80"/>
  <c r="Q25" i="80"/>
  <c r="R25" i="80"/>
  <c r="S25" i="80"/>
  <c r="T25" i="80"/>
  <c r="U25" i="80"/>
  <c r="V25" i="80"/>
  <c r="W25" i="80"/>
  <c r="X25" i="80"/>
  <c r="Y25" i="80"/>
  <c r="Z25" i="80"/>
  <c r="AA25" i="80"/>
  <c r="AB25" i="80"/>
  <c r="AC25" i="80"/>
  <c r="AD25" i="80"/>
  <c r="AE25" i="80"/>
  <c r="AF25" i="80"/>
  <c r="AG25" i="80"/>
  <c r="AH25" i="80"/>
  <c r="AI25" i="80"/>
  <c r="AJ25" i="80"/>
  <c r="AK25" i="80"/>
  <c r="AL25" i="80"/>
  <c r="AM25" i="80"/>
  <c r="AN25" i="80"/>
  <c r="AO25" i="80"/>
  <c r="AP25" i="80"/>
  <c r="AQ25" i="80"/>
  <c r="AR25" i="80"/>
  <c r="AS25" i="80"/>
  <c r="C26" i="80"/>
  <c r="D26" i="80"/>
  <c r="E26" i="80"/>
  <c r="F26" i="80"/>
  <c r="G26" i="80"/>
  <c r="H26" i="80"/>
  <c r="I26" i="80"/>
  <c r="J26" i="80"/>
  <c r="K26" i="80"/>
  <c r="L26" i="80"/>
  <c r="M26" i="80"/>
  <c r="N26" i="80"/>
  <c r="O26" i="80"/>
  <c r="P26" i="80"/>
  <c r="Q26" i="80"/>
  <c r="R26" i="80"/>
  <c r="S26" i="80"/>
  <c r="T26" i="80"/>
  <c r="U26" i="80"/>
  <c r="V26" i="80"/>
  <c r="W26" i="80"/>
  <c r="X26" i="80"/>
  <c r="Y26" i="80"/>
  <c r="Z26" i="80"/>
  <c r="AA26" i="80"/>
  <c r="AB26" i="80"/>
  <c r="AC26" i="80"/>
  <c r="AD26" i="80"/>
  <c r="AE26" i="80"/>
  <c r="AF26" i="80"/>
  <c r="AG26" i="80"/>
  <c r="AH26" i="80"/>
  <c r="AI26" i="80"/>
  <c r="AJ26" i="80"/>
  <c r="AK26" i="80"/>
  <c r="AL26" i="80"/>
  <c r="AM26" i="80"/>
  <c r="AN26" i="80"/>
  <c r="AO26" i="80"/>
  <c r="AP26" i="80"/>
  <c r="AQ26" i="80"/>
  <c r="AR26" i="80"/>
  <c r="AS26" i="80"/>
  <c r="C27" i="80"/>
  <c r="D27" i="80"/>
  <c r="E27" i="80"/>
  <c r="F27" i="80"/>
  <c r="G27" i="80"/>
  <c r="H27" i="80"/>
  <c r="I27" i="80"/>
  <c r="J27" i="80"/>
  <c r="K27" i="80"/>
  <c r="L27" i="80"/>
  <c r="M27" i="80"/>
  <c r="N27" i="80"/>
  <c r="O27" i="80"/>
  <c r="P27" i="80"/>
  <c r="Q27" i="80"/>
  <c r="R27" i="80"/>
  <c r="S27" i="80"/>
  <c r="T27" i="80"/>
  <c r="U27" i="80"/>
  <c r="V27" i="80"/>
  <c r="W27" i="80"/>
  <c r="X27" i="80"/>
  <c r="Y27" i="80"/>
  <c r="Z27" i="80"/>
  <c r="AA27" i="80"/>
  <c r="AB27" i="80"/>
  <c r="AC27" i="80"/>
  <c r="AD27" i="80"/>
  <c r="AE27" i="80"/>
  <c r="AF27" i="80"/>
  <c r="AG27" i="80"/>
  <c r="AH27" i="80"/>
  <c r="AI27" i="80"/>
  <c r="AJ27" i="80"/>
  <c r="AK27" i="80"/>
  <c r="AL27" i="80"/>
  <c r="AM27" i="80"/>
  <c r="AN27" i="80"/>
  <c r="AO27" i="80"/>
  <c r="AP27" i="80"/>
  <c r="AQ27" i="80"/>
  <c r="AR27" i="80"/>
  <c r="AS27" i="80"/>
  <c r="C28" i="80"/>
  <c r="D28" i="80"/>
  <c r="E28" i="80"/>
  <c r="F28" i="80"/>
  <c r="G28" i="80"/>
  <c r="H28" i="80"/>
  <c r="I28" i="80"/>
  <c r="J28" i="80"/>
  <c r="K28" i="80"/>
  <c r="L28" i="80"/>
  <c r="M28" i="80"/>
  <c r="N28" i="80"/>
  <c r="O28" i="80"/>
  <c r="P28" i="80"/>
  <c r="Q28" i="80"/>
  <c r="R28" i="80"/>
  <c r="S28" i="80"/>
  <c r="T28" i="80"/>
  <c r="U28" i="80"/>
  <c r="V28" i="80"/>
  <c r="W28" i="80"/>
  <c r="X28" i="80"/>
  <c r="Y28" i="80"/>
  <c r="Z28" i="80"/>
  <c r="AA28" i="80"/>
  <c r="AB28" i="80"/>
  <c r="AC28" i="80"/>
  <c r="AD28" i="80"/>
  <c r="AE28" i="80"/>
  <c r="AF28" i="80"/>
  <c r="AG28" i="80"/>
  <c r="AH28" i="80"/>
  <c r="AI28" i="80"/>
  <c r="AJ28" i="80"/>
  <c r="AK28" i="80"/>
  <c r="AL28" i="80"/>
  <c r="AM28" i="80"/>
  <c r="AN28" i="80"/>
  <c r="AO28" i="80"/>
  <c r="AP28" i="80"/>
  <c r="AQ28" i="80"/>
  <c r="AR28" i="80"/>
  <c r="AS28" i="80"/>
  <c r="C29" i="80"/>
  <c r="D29" i="80"/>
  <c r="E29" i="80"/>
  <c r="F29" i="80"/>
  <c r="G29" i="80"/>
  <c r="H29" i="80"/>
  <c r="I29" i="80"/>
  <c r="J29" i="80"/>
  <c r="K29" i="80"/>
  <c r="L29" i="80"/>
  <c r="M29" i="80"/>
  <c r="N29" i="80"/>
  <c r="O29" i="80"/>
  <c r="P29" i="80"/>
  <c r="Q29" i="80"/>
  <c r="R29" i="80"/>
  <c r="S29" i="80"/>
  <c r="T29" i="80"/>
  <c r="U29" i="80"/>
  <c r="V29" i="80"/>
  <c r="W29" i="80"/>
  <c r="X29" i="80"/>
  <c r="Y29" i="80"/>
  <c r="Z29" i="80"/>
  <c r="AA29" i="80"/>
  <c r="AB29" i="80"/>
  <c r="AC29" i="80"/>
  <c r="AD29" i="80"/>
  <c r="AE29" i="80"/>
  <c r="AF29" i="80"/>
  <c r="AG29" i="80"/>
  <c r="AH29" i="80"/>
  <c r="AI29" i="80"/>
  <c r="AJ29" i="80"/>
  <c r="AK29" i="80"/>
  <c r="AL29" i="80"/>
  <c r="AM29" i="80"/>
  <c r="AN29" i="80"/>
  <c r="AO29" i="80"/>
  <c r="AP29" i="80"/>
  <c r="AQ29" i="80"/>
  <c r="AR29" i="80"/>
  <c r="AS29" i="80"/>
  <c r="C30" i="80"/>
  <c r="D30" i="80"/>
  <c r="E30" i="80"/>
  <c r="F30" i="80"/>
  <c r="G30" i="80"/>
  <c r="H30" i="80"/>
  <c r="I30" i="80"/>
  <c r="J30" i="80"/>
  <c r="K30" i="80"/>
  <c r="L30" i="80"/>
  <c r="M30" i="80"/>
  <c r="N30" i="80"/>
  <c r="O30" i="80"/>
  <c r="P30" i="80"/>
  <c r="Q30" i="80"/>
  <c r="R30" i="80"/>
  <c r="S30" i="80"/>
  <c r="T30" i="80"/>
  <c r="U30" i="80"/>
  <c r="V30" i="80"/>
  <c r="W30" i="80"/>
  <c r="X30" i="80"/>
  <c r="Y30" i="80"/>
  <c r="Z30" i="80"/>
  <c r="AA30" i="80"/>
  <c r="AB30" i="80"/>
  <c r="AC30" i="80"/>
  <c r="AD30" i="80"/>
  <c r="AE30" i="80"/>
  <c r="AF30" i="80"/>
  <c r="AG30" i="80"/>
  <c r="AH30" i="80"/>
  <c r="AI30" i="80"/>
  <c r="AJ30" i="80"/>
  <c r="AK30" i="80"/>
  <c r="AL30" i="80"/>
  <c r="AM30" i="80"/>
  <c r="AN30" i="80"/>
  <c r="AO30" i="80"/>
  <c r="AP30" i="80"/>
  <c r="AQ30" i="80"/>
  <c r="AR30" i="80"/>
  <c r="AS30" i="80"/>
  <c r="C31" i="80"/>
  <c r="D31" i="80"/>
  <c r="E31" i="80"/>
  <c r="F31" i="80"/>
  <c r="G31" i="80"/>
  <c r="H31" i="80"/>
  <c r="I31" i="80"/>
  <c r="J31" i="80"/>
  <c r="K31" i="80"/>
  <c r="L31" i="80"/>
  <c r="M31" i="80"/>
  <c r="N31" i="80"/>
  <c r="O31" i="80"/>
  <c r="P31" i="80"/>
  <c r="Q31" i="80"/>
  <c r="R31" i="80"/>
  <c r="S31" i="80"/>
  <c r="T31" i="80"/>
  <c r="U31" i="80"/>
  <c r="V31" i="80"/>
  <c r="W31" i="80"/>
  <c r="X31" i="80"/>
  <c r="Y31" i="80"/>
  <c r="Z31" i="80"/>
  <c r="AA31" i="80"/>
  <c r="AB31" i="80"/>
  <c r="AC31" i="80"/>
  <c r="AD31" i="80"/>
  <c r="AE31" i="80"/>
  <c r="AF31" i="80"/>
  <c r="AG31" i="80"/>
  <c r="AH31" i="80"/>
  <c r="AI31" i="80"/>
  <c r="AJ31" i="80"/>
  <c r="AK31" i="80"/>
  <c r="AL31" i="80"/>
  <c r="AM31" i="80"/>
  <c r="AN31" i="80"/>
  <c r="AO31" i="80"/>
  <c r="AP31" i="80"/>
  <c r="AQ31" i="80"/>
  <c r="AR31" i="80"/>
  <c r="AS31" i="80"/>
  <c r="C32" i="80"/>
  <c r="D32" i="80"/>
  <c r="E32" i="80"/>
  <c r="F32" i="80"/>
  <c r="G32" i="80"/>
  <c r="H32" i="80"/>
  <c r="I32" i="80"/>
  <c r="J32" i="80"/>
  <c r="K32" i="80"/>
  <c r="L32" i="80"/>
  <c r="M32" i="80"/>
  <c r="N32" i="80"/>
  <c r="O32" i="80"/>
  <c r="P32" i="80"/>
  <c r="Q32" i="80"/>
  <c r="R32" i="80"/>
  <c r="S32" i="80"/>
  <c r="T32" i="80"/>
  <c r="U32" i="80"/>
  <c r="V32" i="80"/>
  <c r="W32" i="80"/>
  <c r="X32" i="80"/>
  <c r="Y32" i="80"/>
  <c r="Z32" i="80"/>
  <c r="AA32" i="80"/>
  <c r="AB32" i="80"/>
  <c r="AC32" i="80"/>
  <c r="AD32" i="80"/>
  <c r="AE32" i="80"/>
  <c r="AF32" i="80"/>
  <c r="AG32" i="80"/>
  <c r="AH32" i="80"/>
  <c r="AI32" i="80"/>
  <c r="AJ32" i="80"/>
  <c r="AK32" i="80"/>
  <c r="AL32" i="80"/>
  <c r="AM32" i="80"/>
  <c r="AN32" i="80"/>
  <c r="AO32" i="80"/>
  <c r="AP32" i="80"/>
  <c r="AQ32" i="80"/>
  <c r="AR32" i="80"/>
  <c r="AS32" i="80"/>
  <c r="C33" i="80"/>
  <c r="D33" i="80"/>
  <c r="E33" i="80"/>
  <c r="F33" i="80"/>
  <c r="G33" i="80"/>
  <c r="H33" i="80"/>
  <c r="I33" i="80"/>
  <c r="J33" i="80"/>
  <c r="K33" i="80"/>
  <c r="L33" i="80"/>
  <c r="M33" i="80"/>
  <c r="N33" i="80"/>
  <c r="O33" i="80"/>
  <c r="P33" i="80"/>
  <c r="Q33" i="80"/>
  <c r="R33" i="80"/>
  <c r="S33" i="80"/>
  <c r="T33" i="80"/>
  <c r="U33" i="80"/>
  <c r="V33" i="80"/>
  <c r="W33" i="80"/>
  <c r="X33" i="80"/>
  <c r="Y33" i="80"/>
  <c r="Z33" i="80"/>
  <c r="AA33" i="80"/>
  <c r="AB33" i="80"/>
  <c r="AC33" i="80"/>
  <c r="AD33" i="80"/>
  <c r="AE33" i="80"/>
  <c r="AF33" i="80"/>
  <c r="AG33" i="80"/>
  <c r="AH33" i="80"/>
  <c r="AI33" i="80"/>
  <c r="AJ33" i="80"/>
  <c r="AK33" i="80"/>
  <c r="AL33" i="80"/>
  <c r="AM33" i="80"/>
  <c r="AN33" i="80"/>
  <c r="AO33" i="80"/>
  <c r="AP33" i="80"/>
  <c r="AQ33" i="80"/>
  <c r="AR33" i="80"/>
  <c r="AS33" i="80"/>
  <c r="C34" i="80"/>
  <c r="D34" i="80"/>
  <c r="E34" i="80"/>
  <c r="F34" i="80"/>
  <c r="G34" i="80"/>
  <c r="H34" i="80"/>
  <c r="I34" i="80"/>
  <c r="J34" i="80"/>
  <c r="K34" i="80"/>
  <c r="L34" i="80"/>
  <c r="M34" i="80"/>
  <c r="N34" i="80"/>
  <c r="O34" i="80"/>
  <c r="P34" i="80"/>
  <c r="Q34" i="80"/>
  <c r="R34" i="80"/>
  <c r="S34" i="80"/>
  <c r="T34" i="80"/>
  <c r="U34" i="80"/>
  <c r="V34" i="80"/>
  <c r="W34" i="80"/>
  <c r="X34" i="80"/>
  <c r="Y34" i="80"/>
  <c r="Z34" i="80"/>
  <c r="AA34" i="80"/>
  <c r="AB34" i="80"/>
  <c r="AC34" i="80"/>
  <c r="AD34" i="80"/>
  <c r="AE34" i="80"/>
  <c r="AF34" i="80"/>
  <c r="AG34" i="80"/>
  <c r="AH34" i="80"/>
  <c r="AI34" i="80"/>
  <c r="AJ34" i="80"/>
  <c r="AK34" i="80"/>
  <c r="AL34" i="80"/>
  <c r="AM34" i="80"/>
  <c r="AN34" i="80"/>
  <c r="AO34" i="80"/>
  <c r="AP34" i="80"/>
  <c r="AQ34" i="80"/>
  <c r="AR34" i="80"/>
  <c r="AS34" i="80"/>
  <c r="C35" i="80"/>
  <c r="D35" i="80"/>
  <c r="E35" i="80"/>
  <c r="F35" i="80"/>
  <c r="G35" i="80"/>
  <c r="H35" i="80"/>
  <c r="I35" i="80"/>
  <c r="J35" i="80"/>
  <c r="K35" i="80"/>
  <c r="L35" i="80"/>
  <c r="M35" i="80"/>
  <c r="N35" i="80"/>
  <c r="O35" i="80"/>
  <c r="P35" i="80"/>
  <c r="Q35" i="80"/>
  <c r="R35" i="80"/>
  <c r="S35" i="80"/>
  <c r="T35" i="80"/>
  <c r="U35" i="80"/>
  <c r="V35" i="80"/>
  <c r="W35" i="80"/>
  <c r="X35" i="80"/>
  <c r="Y35" i="80"/>
  <c r="Z35" i="80"/>
  <c r="AA35" i="80"/>
  <c r="AB35" i="80"/>
  <c r="AC35" i="80"/>
  <c r="AD35" i="80"/>
  <c r="AE35" i="80"/>
  <c r="AF35" i="80"/>
  <c r="AG35" i="80"/>
  <c r="AH35" i="80"/>
  <c r="AI35" i="80"/>
  <c r="AJ35" i="80"/>
  <c r="AK35" i="80"/>
  <c r="AL35" i="80"/>
  <c r="AM35" i="80"/>
  <c r="AN35" i="80"/>
  <c r="AO35" i="80"/>
  <c r="AP35" i="80"/>
  <c r="AQ35" i="80"/>
  <c r="AR35" i="80"/>
  <c r="AS35" i="80"/>
  <c r="C36" i="80"/>
  <c r="D36" i="80"/>
  <c r="E36" i="80"/>
  <c r="F36" i="80"/>
  <c r="G36" i="80"/>
  <c r="H36" i="80"/>
  <c r="I36" i="80"/>
  <c r="J36" i="80"/>
  <c r="K36" i="80"/>
  <c r="L36" i="80"/>
  <c r="M36" i="80"/>
  <c r="N36" i="80"/>
  <c r="O36" i="80"/>
  <c r="P36" i="80"/>
  <c r="Q36" i="80"/>
  <c r="R36" i="80"/>
  <c r="S36" i="80"/>
  <c r="T36" i="80"/>
  <c r="U36" i="80"/>
  <c r="V36" i="80"/>
  <c r="W36" i="80"/>
  <c r="X36" i="80"/>
  <c r="Y36" i="80"/>
  <c r="Z36" i="80"/>
  <c r="AA36" i="80"/>
  <c r="AB36" i="80"/>
  <c r="AC36" i="80"/>
  <c r="AD36" i="80"/>
  <c r="AE36" i="80"/>
  <c r="AF36" i="80"/>
  <c r="AG36" i="80"/>
  <c r="AH36" i="80"/>
  <c r="AI36" i="80"/>
  <c r="AJ36" i="80"/>
  <c r="AK36" i="80"/>
  <c r="AL36" i="80"/>
  <c r="AM36" i="80"/>
  <c r="AN36" i="80"/>
  <c r="AO36" i="80"/>
  <c r="AP36" i="80"/>
  <c r="AQ36" i="80"/>
  <c r="AR36" i="80"/>
  <c r="AS36" i="80"/>
  <c r="C37" i="80"/>
  <c r="D37" i="80"/>
  <c r="E37" i="80"/>
  <c r="F37" i="80"/>
  <c r="G37" i="80"/>
  <c r="H37" i="80"/>
  <c r="I37" i="80"/>
  <c r="J37" i="80"/>
  <c r="K37" i="80"/>
  <c r="L37" i="80"/>
  <c r="M37" i="80"/>
  <c r="N37" i="80"/>
  <c r="O37" i="80"/>
  <c r="P37" i="80"/>
  <c r="Q37" i="80"/>
  <c r="R37" i="80"/>
  <c r="S37" i="80"/>
  <c r="T37" i="80"/>
  <c r="U37" i="80"/>
  <c r="V37" i="80"/>
  <c r="W37" i="80"/>
  <c r="X37" i="80"/>
  <c r="Y37" i="80"/>
  <c r="Z37" i="80"/>
  <c r="AA37" i="80"/>
  <c r="AB37" i="80"/>
  <c r="AC37" i="80"/>
  <c r="AD37" i="80"/>
  <c r="AE37" i="80"/>
  <c r="AF37" i="80"/>
  <c r="AG37" i="80"/>
  <c r="AH37" i="80"/>
  <c r="AI37" i="80"/>
  <c r="AJ37" i="80"/>
  <c r="AK37" i="80"/>
  <c r="AL37" i="80"/>
  <c r="AM37" i="80"/>
  <c r="AN37" i="80"/>
  <c r="AO37" i="80"/>
  <c r="AP37" i="80"/>
  <c r="AQ37" i="80"/>
  <c r="AR37" i="80"/>
  <c r="AS37" i="80"/>
  <c r="C38" i="80"/>
  <c r="D38" i="80"/>
  <c r="E38" i="80"/>
  <c r="F38" i="80"/>
  <c r="G38" i="80"/>
  <c r="H38" i="80"/>
  <c r="I38" i="80"/>
  <c r="J38" i="80"/>
  <c r="K38" i="80"/>
  <c r="L38" i="80"/>
  <c r="M38" i="80"/>
  <c r="N38" i="80"/>
  <c r="O38" i="80"/>
  <c r="P38" i="80"/>
  <c r="Q38" i="80"/>
  <c r="R38" i="80"/>
  <c r="S38" i="80"/>
  <c r="T38" i="80"/>
  <c r="U38" i="80"/>
  <c r="V38" i="80"/>
  <c r="W38" i="80"/>
  <c r="X38" i="80"/>
  <c r="Y38" i="80"/>
  <c r="Z38" i="80"/>
  <c r="AA38" i="80"/>
  <c r="AB38" i="80"/>
  <c r="AC38" i="80"/>
  <c r="AD38" i="80"/>
  <c r="AE38" i="80"/>
  <c r="AF38" i="80"/>
  <c r="AG38" i="80"/>
  <c r="AH38" i="80"/>
  <c r="AI38" i="80"/>
  <c r="AJ38" i="80"/>
  <c r="AK38" i="80"/>
  <c r="AL38" i="80"/>
  <c r="AM38" i="80"/>
  <c r="AN38" i="80"/>
  <c r="AO38" i="80"/>
  <c r="AP38" i="80"/>
  <c r="AQ38" i="80"/>
  <c r="AR38" i="80"/>
  <c r="AS38" i="80"/>
  <c r="C39" i="80"/>
  <c r="D39" i="80"/>
  <c r="E39" i="80"/>
  <c r="F39" i="80"/>
  <c r="G39" i="80"/>
  <c r="H39" i="80"/>
  <c r="I39" i="80"/>
  <c r="J39" i="80"/>
  <c r="K39" i="80"/>
  <c r="L39" i="80"/>
  <c r="M39" i="80"/>
  <c r="N39" i="80"/>
  <c r="O39" i="80"/>
  <c r="P39" i="80"/>
  <c r="Q39" i="80"/>
  <c r="R39" i="80"/>
  <c r="S39" i="80"/>
  <c r="T39" i="80"/>
  <c r="U39" i="80"/>
  <c r="V39" i="80"/>
  <c r="W39" i="80"/>
  <c r="X39" i="80"/>
  <c r="Y39" i="80"/>
  <c r="Z39" i="80"/>
  <c r="AA39" i="80"/>
  <c r="AB39" i="80"/>
  <c r="AC39" i="80"/>
  <c r="AD39" i="80"/>
  <c r="AE39" i="80"/>
  <c r="AF39" i="80"/>
  <c r="AG39" i="80"/>
  <c r="AH39" i="80"/>
  <c r="AI39" i="80"/>
  <c r="AJ39" i="80"/>
  <c r="AK39" i="80"/>
  <c r="AL39" i="80"/>
  <c r="AM39" i="80"/>
  <c r="AN39" i="80"/>
  <c r="AO39" i="80"/>
  <c r="AP39" i="80"/>
  <c r="AQ39" i="80"/>
  <c r="AR39" i="80"/>
  <c r="AS39" i="80"/>
  <c r="C40" i="80"/>
  <c r="D40" i="80"/>
  <c r="E40" i="80"/>
  <c r="F40" i="80"/>
  <c r="G40" i="80"/>
  <c r="H40" i="80"/>
  <c r="I40" i="80"/>
  <c r="J40" i="80"/>
  <c r="K40" i="80"/>
  <c r="L40" i="80"/>
  <c r="M40" i="80"/>
  <c r="N40" i="80"/>
  <c r="O40" i="80"/>
  <c r="P40" i="80"/>
  <c r="Q40" i="80"/>
  <c r="R40" i="80"/>
  <c r="S40" i="80"/>
  <c r="T40" i="80"/>
  <c r="U40" i="80"/>
  <c r="V40" i="80"/>
  <c r="W40" i="80"/>
  <c r="X40" i="80"/>
  <c r="Y40" i="80"/>
  <c r="Z40" i="80"/>
  <c r="AA40" i="80"/>
  <c r="AB40" i="80"/>
  <c r="AC40" i="80"/>
  <c r="AD40" i="80"/>
  <c r="AE40" i="80"/>
  <c r="AF40" i="80"/>
  <c r="AG40" i="80"/>
  <c r="AH40" i="80"/>
  <c r="AI40" i="80"/>
  <c r="AJ40" i="80"/>
  <c r="AK40" i="80"/>
  <c r="AL40" i="80"/>
  <c r="AM40" i="80"/>
  <c r="AN40" i="80"/>
  <c r="AO40" i="80"/>
  <c r="AP40" i="80"/>
  <c r="AQ40" i="80"/>
  <c r="AR40" i="80"/>
  <c r="AS40" i="80"/>
  <c r="C41" i="80"/>
  <c r="D41" i="80"/>
  <c r="E41" i="80"/>
  <c r="F41" i="80"/>
  <c r="G41" i="80"/>
  <c r="H41" i="80"/>
  <c r="I41" i="80"/>
  <c r="J41" i="80"/>
  <c r="K41" i="80"/>
  <c r="L41" i="80"/>
  <c r="M41" i="80"/>
  <c r="N41" i="80"/>
  <c r="O41" i="80"/>
  <c r="P41" i="80"/>
  <c r="Q41" i="80"/>
  <c r="R41" i="80"/>
  <c r="S41" i="80"/>
  <c r="T41" i="80"/>
  <c r="U41" i="80"/>
  <c r="V41" i="80"/>
  <c r="W41" i="80"/>
  <c r="X41" i="80"/>
  <c r="Y41" i="80"/>
  <c r="Z41" i="80"/>
  <c r="AA41" i="80"/>
  <c r="AB41" i="80"/>
  <c r="AC41" i="80"/>
  <c r="AD41" i="80"/>
  <c r="AE41" i="80"/>
  <c r="AF41" i="80"/>
  <c r="AG41" i="80"/>
  <c r="AH41" i="80"/>
  <c r="AI41" i="80"/>
  <c r="AJ41" i="80"/>
  <c r="AK41" i="80"/>
  <c r="AL41" i="80"/>
  <c r="AM41" i="80"/>
  <c r="AN41" i="80"/>
  <c r="AO41" i="80"/>
  <c r="AP41" i="80"/>
  <c r="AQ41" i="80"/>
  <c r="AR41" i="80"/>
  <c r="AS41" i="80"/>
  <c r="C42" i="80"/>
  <c r="D42" i="80"/>
  <c r="E42" i="80"/>
  <c r="F42" i="80"/>
  <c r="G42" i="80"/>
  <c r="H42" i="80"/>
  <c r="I42" i="80"/>
  <c r="J42" i="80"/>
  <c r="K42" i="80"/>
  <c r="L42" i="80"/>
  <c r="M42" i="80"/>
  <c r="N42" i="80"/>
  <c r="O42" i="80"/>
  <c r="P42" i="80"/>
  <c r="Q42" i="80"/>
  <c r="R42" i="80"/>
  <c r="S42" i="80"/>
  <c r="T42" i="80"/>
  <c r="U42" i="80"/>
  <c r="V42" i="80"/>
  <c r="W42" i="80"/>
  <c r="X42" i="80"/>
  <c r="Y42" i="80"/>
  <c r="Z42" i="80"/>
  <c r="AA42" i="80"/>
  <c r="AB42" i="80"/>
  <c r="AC42" i="80"/>
  <c r="AD42" i="80"/>
  <c r="AE42" i="80"/>
  <c r="AF42" i="80"/>
  <c r="AG42" i="80"/>
  <c r="AH42" i="80"/>
  <c r="AI42" i="80"/>
  <c r="AJ42" i="80"/>
  <c r="AK42" i="80"/>
  <c r="AL42" i="80"/>
  <c r="AM42" i="80"/>
  <c r="AN42" i="80"/>
  <c r="AO42" i="80"/>
  <c r="AP42" i="80"/>
  <c r="AQ42" i="80"/>
  <c r="AR42" i="80"/>
  <c r="AS42" i="80"/>
  <c r="C43" i="80"/>
  <c r="D43" i="80"/>
  <c r="E43" i="80"/>
  <c r="F43" i="80"/>
  <c r="G43" i="80"/>
  <c r="H43" i="80"/>
  <c r="I43" i="80"/>
  <c r="J43" i="80"/>
  <c r="K43" i="80"/>
  <c r="L43" i="80"/>
  <c r="M43" i="80"/>
  <c r="N43" i="80"/>
  <c r="O43" i="80"/>
  <c r="P43" i="80"/>
  <c r="Q43" i="80"/>
  <c r="R43" i="80"/>
  <c r="S43" i="80"/>
  <c r="T43" i="80"/>
  <c r="U43" i="80"/>
  <c r="V43" i="80"/>
  <c r="W43" i="80"/>
  <c r="X43" i="80"/>
  <c r="Y43" i="80"/>
  <c r="Z43" i="80"/>
  <c r="AA43" i="80"/>
  <c r="AB43" i="80"/>
  <c r="AC43" i="80"/>
  <c r="AD43" i="80"/>
  <c r="AE43" i="80"/>
  <c r="AF43" i="80"/>
  <c r="AG43" i="80"/>
  <c r="AH43" i="80"/>
  <c r="AI43" i="80"/>
  <c r="AJ43" i="80"/>
  <c r="AK43" i="80"/>
  <c r="AL43" i="80"/>
  <c r="AM43" i="80"/>
  <c r="AN43" i="80"/>
  <c r="AO43" i="80"/>
  <c r="AP43" i="80"/>
  <c r="AQ43" i="80"/>
  <c r="AR43" i="80"/>
  <c r="AS43" i="80"/>
  <c r="C44" i="80"/>
  <c r="D44" i="80"/>
  <c r="E44" i="80"/>
  <c r="F44" i="80"/>
  <c r="G44" i="80"/>
  <c r="H44" i="80"/>
  <c r="I44" i="80"/>
  <c r="J44" i="80"/>
  <c r="K44" i="80"/>
  <c r="L44" i="80"/>
  <c r="M44" i="80"/>
  <c r="N44" i="80"/>
  <c r="O44" i="80"/>
  <c r="P44" i="80"/>
  <c r="Q44" i="80"/>
  <c r="R44" i="80"/>
  <c r="S44" i="80"/>
  <c r="T44" i="80"/>
  <c r="U44" i="80"/>
  <c r="V44" i="80"/>
  <c r="W44" i="80"/>
  <c r="X44" i="80"/>
  <c r="Y44" i="80"/>
  <c r="Z44" i="80"/>
  <c r="AA44" i="80"/>
  <c r="AB44" i="80"/>
  <c r="AC44" i="80"/>
  <c r="AD44" i="80"/>
  <c r="AE44" i="80"/>
  <c r="AF44" i="80"/>
  <c r="AG44" i="80"/>
  <c r="AH44" i="80"/>
  <c r="AI44" i="80"/>
  <c r="AJ44" i="80"/>
  <c r="AK44" i="80"/>
  <c r="AL44" i="80"/>
  <c r="AM44" i="80"/>
  <c r="AN44" i="80"/>
  <c r="AO44" i="80"/>
  <c r="AP44" i="80"/>
  <c r="AQ44" i="80"/>
  <c r="AR44" i="80"/>
  <c r="AS44" i="80"/>
  <c r="C45" i="80"/>
  <c r="D45" i="80"/>
  <c r="E45" i="80"/>
  <c r="F45" i="80"/>
  <c r="G45" i="80"/>
  <c r="H45" i="80"/>
  <c r="I45" i="80"/>
  <c r="J45" i="80"/>
  <c r="K45" i="80"/>
  <c r="L45" i="80"/>
  <c r="M45" i="80"/>
  <c r="N45" i="80"/>
  <c r="O45" i="80"/>
  <c r="P45" i="80"/>
  <c r="Q45" i="80"/>
  <c r="R45" i="80"/>
  <c r="S45" i="80"/>
  <c r="T45" i="80"/>
  <c r="U45" i="80"/>
  <c r="V45" i="80"/>
  <c r="W45" i="80"/>
  <c r="X45" i="80"/>
  <c r="Y45" i="80"/>
  <c r="Z45" i="80"/>
  <c r="AA45" i="80"/>
  <c r="AB45" i="80"/>
  <c r="AC45" i="80"/>
  <c r="AD45" i="80"/>
  <c r="AE45" i="80"/>
  <c r="AF45" i="80"/>
  <c r="AG45" i="80"/>
  <c r="AH45" i="80"/>
  <c r="AI45" i="80"/>
  <c r="AJ45" i="80"/>
  <c r="AK45" i="80"/>
  <c r="AL45" i="80"/>
  <c r="AM45" i="80"/>
  <c r="AN45" i="80"/>
  <c r="AO45" i="80"/>
  <c r="AP45" i="80"/>
  <c r="AQ45" i="80"/>
  <c r="AR45" i="80"/>
  <c r="AS45" i="80"/>
  <c r="C46" i="80"/>
  <c r="D46" i="80"/>
  <c r="E46" i="80"/>
  <c r="F46" i="80"/>
  <c r="G46" i="80"/>
  <c r="H46" i="80"/>
  <c r="I46" i="80"/>
  <c r="J46" i="80"/>
  <c r="K46" i="80"/>
  <c r="L46" i="80"/>
  <c r="M46" i="80"/>
  <c r="N46" i="80"/>
  <c r="O46" i="80"/>
  <c r="P46" i="80"/>
  <c r="Q46" i="80"/>
  <c r="R46" i="80"/>
  <c r="S46" i="80"/>
  <c r="T46" i="80"/>
  <c r="U46" i="80"/>
  <c r="V46" i="80"/>
  <c r="W46" i="80"/>
  <c r="X46" i="80"/>
  <c r="Y46" i="80"/>
  <c r="Z46" i="80"/>
  <c r="AA46" i="80"/>
  <c r="AB46" i="80"/>
  <c r="AC46" i="80"/>
  <c r="AD46" i="80"/>
  <c r="AE46" i="80"/>
  <c r="AF46" i="80"/>
  <c r="AG46" i="80"/>
  <c r="AH46" i="80"/>
  <c r="AI46" i="80"/>
  <c r="AJ46" i="80"/>
  <c r="AK46" i="80"/>
  <c r="AL46" i="80"/>
  <c r="AM46" i="80"/>
  <c r="AN46" i="80"/>
  <c r="AO46" i="80"/>
  <c r="AP46" i="80"/>
  <c r="AQ46" i="80"/>
  <c r="AR46" i="80"/>
  <c r="AS46" i="80"/>
  <c r="C47" i="80"/>
  <c r="D47" i="80"/>
  <c r="E47" i="80"/>
  <c r="F47" i="80"/>
  <c r="G47" i="80"/>
  <c r="H47" i="80"/>
  <c r="I47" i="80"/>
  <c r="J47" i="80"/>
  <c r="K47" i="80"/>
  <c r="L47" i="80"/>
  <c r="M47" i="80"/>
  <c r="N47" i="80"/>
  <c r="O47" i="80"/>
  <c r="P47" i="80"/>
  <c r="Q47" i="80"/>
  <c r="R47" i="80"/>
  <c r="S47" i="80"/>
  <c r="T47" i="80"/>
  <c r="U47" i="80"/>
  <c r="V47" i="80"/>
  <c r="W47" i="80"/>
  <c r="X47" i="80"/>
  <c r="Y47" i="80"/>
  <c r="Z47" i="80"/>
  <c r="AA47" i="80"/>
  <c r="AB47" i="80"/>
  <c r="AC47" i="80"/>
  <c r="AD47" i="80"/>
  <c r="AE47" i="80"/>
  <c r="AF47" i="80"/>
  <c r="AG47" i="80"/>
  <c r="AH47" i="80"/>
  <c r="AI47" i="80"/>
  <c r="AJ47" i="80"/>
  <c r="AK47" i="80"/>
  <c r="AL47" i="80"/>
  <c r="AM47" i="80"/>
  <c r="AN47" i="80"/>
  <c r="AO47" i="80"/>
  <c r="AP47" i="80"/>
  <c r="AQ47" i="80"/>
  <c r="AR47" i="80"/>
  <c r="AS47" i="80"/>
  <c r="B5" i="80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" i="80"/>
  <c r="J955" i="79"/>
  <c r="K955" i="79"/>
  <c r="L955" i="79"/>
  <c r="M955" i="79"/>
  <c r="N955" i="79"/>
  <c r="O955" i="79"/>
  <c r="P955" i="79"/>
  <c r="Q955" i="79"/>
  <c r="R955" i="79"/>
  <c r="S955" i="79"/>
  <c r="T955" i="79"/>
  <c r="U955" i="79"/>
  <c r="V955" i="79"/>
  <c r="W955" i="79"/>
  <c r="X955" i="79"/>
  <c r="Y955" i="79"/>
  <c r="Z955" i="79"/>
  <c r="AA955" i="79"/>
  <c r="AB955" i="79"/>
  <c r="AC955" i="79"/>
  <c r="AD955" i="79"/>
  <c r="AE955" i="79"/>
  <c r="AF955" i="79"/>
  <c r="AG955" i="79"/>
  <c r="AH955" i="79"/>
  <c r="AI955" i="79"/>
  <c r="AJ955" i="79"/>
  <c r="AK955" i="79"/>
  <c r="AL955" i="79"/>
  <c r="AM955" i="79"/>
  <c r="AN955" i="79"/>
  <c r="AO955" i="79"/>
  <c r="AP955" i="79"/>
  <c r="AQ955" i="79"/>
  <c r="AR955" i="79"/>
  <c r="AS955" i="79"/>
  <c r="AT955" i="79"/>
  <c r="AU955" i="79"/>
  <c r="AV955" i="79"/>
  <c r="AW955" i="79"/>
  <c r="AX955" i="79"/>
  <c r="AY955" i="79"/>
  <c r="AZ955" i="79"/>
  <c r="J956" i="79"/>
  <c r="K956" i="79"/>
  <c r="L956" i="79"/>
  <c r="M956" i="79"/>
  <c r="N956" i="79"/>
  <c r="O956" i="79"/>
  <c r="P956" i="79"/>
  <c r="Q956" i="79"/>
  <c r="R956" i="79"/>
  <c r="S956" i="79"/>
  <c r="T956" i="79"/>
  <c r="U956" i="79"/>
  <c r="V956" i="79"/>
  <c r="W956" i="79"/>
  <c r="X956" i="79"/>
  <c r="Y956" i="79"/>
  <c r="Z956" i="79"/>
  <c r="AA956" i="79"/>
  <c r="AB956" i="79"/>
  <c r="AC956" i="79"/>
  <c r="AD956" i="79"/>
  <c r="AE956" i="79"/>
  <c r="AF956" i="79"/>
  <c r="AG956" i="79"/>
  <c r="AH956" i="79"/>
  <c r="AI956" i="79"/>
  <c r="AJ956" i="79"/>
  <c r="AK956" i="79"/>
  <c r="AL956" i="79"/>
  <c r="AM956" i="79"/>
  <c r="AN956" i="79"/>
  <c r="AO956" i="79"/>
  <c r="AP956" i="79"/>
  <c r="AQ956" i="79"/>
  <c r="AR956" i="79"/>
  <c r="AS956" i="79"/>
  <c r="AT956" i="79"/>
  <c r="AU956" i="79"/>
  <c r="AV956" i="79"/>
  <c r="AW956" i="79"/>
  <c r="AX956" i="79"/>
  <c r="AY956" i="79"/>
  <c r="AZ956" i="79"/>
  <c r="J957" i="79"/>
  <c r="K957" i="79"/>
  <c r="L957" i="79"/>
  <c r="M957" i="79"/>
  <c r="N957" i="79"/>
  <c r="O957" i="79"/>
  <c r="P957" i="79"/>
  <c r="Q957" i="79"/>
  <c r="R957" i="79"/>
  <c r="S957" i="79"/>
  <c r="T957" i="79"/>
  <c r="U957" i="79"/>
  <c r="V957" i="79"/>
  <c r="W957" i="79"/>
  <c r="X957" i="79"/>
  <c r="Y957" i="79"/>
  <c r="Z957" i="79"/>
  <c r="AA957" i="79"/>
  <c r="AB957" i="79"/>
  <c r="AC957" i="79"/>
  <c r="AD957" i="79"/>
  <c r="AE957" i="79"/>
  <c r="AF957" i="79"/>
  <c r="AG957" i="79"/>
  <c r="AH957" i="79"/>
  <c r="AI957" i="79"/>
  <c r="AJ957" i="79"/>
  <c r="AK957" i="79"/>
  <c r="AL957" i="79"/>
  <c r="AM957" i="79"/>
  <c r="AN957" i="79"/>
  <c r="AO957" i="79"/>
  <c r="AP957" i="79"/>
  <c r="AQ957" i="79"/>
  <c r="AR957" i="79"/>
  <c r="AS957" i="79"/>
  <c r="AT957" i="79"/>
  <c r="AU957" i="79"/>
  <c r="AV957" i="79"/>
  <c r="AW957" i="79"/>
  <c r="AX957" i="79"/>
  <c r="AY957" i="79"/>
  <c r="AZ957" i="79"/>
  <c r="J958" i="79"/>
  <c r="K958" i="79"/>
  <c r="L958" i="79"/>
  <c r="M958" i="79"/>
  <c r="N958" i="79"/>
  <c r="O958" i="79"/>
  <c r="P958" i="79"/>
  <c r="Q958" i="79"/>
  <c r="R958" i="79"/>
  <c r="S958" i="79"/>
  <c r="T958" i="79"/>
  <c r="U958" i="79"/>
  <c r="V958" i="79"/>
  <c r="W958" i="79"/>
  <c r="X958" i="79"/>
  <c r="Y958" i="79"/>
  <c r="Z958" i="79"/>
  <c r="AA958" i="79"/>
  <c r="AB958" i="79"/>
  <c r="AC958" i="79"/>
  <c r="AD958" i="79"/>
  <c r="AE958" i="79"/>
  <c r="AF958" i="79"/>
  <c r="AG958" i="79"/>
  <c r="AH958" i="79"/>
  <c r="AI958" i="79"/>
  <c r="AJ958" i="79"/>
  <c r="AK958" i="79"/>
  <c r="AL958" i="79"/>
  <c r="AM958" i="79"/>
  <c r="AN958" i="79"/>
  <c r="AO958" i="79"/>
  <c r="AP958" i="79"/>
  <c r="AQ958" i="79"/>
  <c r="AR958" i="79"/>
  <c r="AS958" i="79"/>
  <c r="AT958" i="79"/>
  <c r="AU958" i="79"/>
  <c r="AV958" i="79"/>
  <c r="AW958" i="79"/>
  <c r="AX958" i="79"/>
  <c r="AY958" i="79"/>
  <c r="AZ958" i="79"/>
  <c r="J959" i="79"/>
  <c r="K959" i="79"/>
  <c r="L959" i="79"/>
  <c r="M959" i="79"/>
  <c r="N959" i="79"/>
  <c r="O959" i="79"/>
  <c r="P959" i="79"/>
  <c r="Q959" i="79"/>
  <c r="R959" i="79"/>
  <c r="S959" i="79"/>
  <c r="T959" i="79"/>
  <c r="U959" i="79"/>
  <c r="V959" i="79"/>
  <c r="W959" i="79"/>
  <c r="X959" i="79"/>
  <c r="Y959" i="79"/>
  <c r="Z959" i="79"/>
  <c r="AA959" i="79"/>
  <c r="AB959" i="79"/>
  <c r="AC959" i="79"/>
  <c r="AD959" i="79"/>
  <c r="AE959" i="79"/>
  <c r="AF959" i="79"/>
  <c r="AG959" i="79"/>
  <c r="AH959" i="79"/>
  <c r="AI959" i="79"/>
  <c r="AJ959" i="79"/>
  <c r="AK959" i="79"/>
  <c r="AL959" i="79"/>
  <c r="AM959" i="79"/>
  <c r="AN959" i="79"/>
  <c r="AO959" i="79"/>
  <c r="AP959" i="79"/>
  <c r="AQ959" i="79"/>
  <c r="AR959" i="79"/>
  <c r="AS959" i="79"/>
  <c r="AT959" i="79"/>
  <c r="AU959" i="79"/>
  <c r="AV959" i="79"/>
  <c r="AW959" i="79"/>
  <c r="AX959" i="79"/>
  <c r="AY959" i="79"/>
  <c r="AZ959" i="79"/>
  <c r="J960" i="79"/>
  <c r="K960" i="79"/>
  <c r="L960" i="79"/>
  <c r="M960" i="79"/>
  <c r="N960" i="79"/>
  <c r="O960" i="79"/>
  <c r="P960" i="79"/>
  <c r="Q960" i="79"/>
  <c r="R960" i="79"/>
  <c r="S960" i="79"/>
  <c r="T960" i="79"/>
  <c r="U960" i="79"/>
  <c r="V960" i="79"/>
  <c r="W960" i="79"/>
  <c r="X960" i="79"/>
  <c r="Y960" i="79"/>
  <c r="Z960" i="79"/>
  <c r="AA960" i="79"/>
  <c r="AB960" i="79"/>
  <c r="AC960" i="79"/>
  <c r="AD960" i="79"/>
  <c r="AE960" i="79"/>
  <c r="AF960" i="79"/>
  <c r="AG960" i="79"/>
  <c r="AH960" i="79"/>
  <c r="AI960" i="79"/>
  <c r="AJ960" i="79"/>
  <c r="AK960" i="79"/>
  <c r="AL960" i="79"/>
  <c r="AM960" i="79"/>
  <c r="AN960" i="79"/>
  <c r="AO960" i="79"/>
  <c r="AP960" i="79"/>
  <c r="AQ960" i="79"/>
  <c r="AR960" i="79"/>
  <c r="AS960" i="79"/>
  <c r="AT960" i="79"/>
  <c r="AU960" i="79"/>
  <c r="AV960" i="79"/>
  <c r="AW960" i="79"/>
  <c r="AX960" i="79"/>
  <c r="AY960" i="79"/>
  <c r="AZ960" i="79"/>
  <c r="J961" i="79"/>
  <c r="K961" i="79"/>
  <c r="L961" i="79"/>
  <c r="M961" i="79"/>
  <c r="N961" i="79"/>
  <c r="O961" i="79"/>
  <c r="P961" i="79"/>
  <c r="Q961" i="79"/>
  <c r="R961" i="79"/>
  <c r="S961" i="79"/>
  <c r="T961" i="79"/>
  <c r="U961" i="79"/>
  <c r="V961" i="79"/>
  <c r="W961" i="79"/>
  <c r="X961" i="79"/>
  <c r="Y961" i="79"/>
  <c r="Z961" i="79"/>
  <c r="AA961" i="79"/>
  <c r="AB961" i="79"/>
  <c r="AC961" i="79"/>
  <c r="AD961" i="79"/>
  <c r="AE961" i="79"/>
  <c r="AF961" i="79"/>
  <c r="AG961" i="79"/>
  <c r="AH961" i="79"/>
  <c r="AI961" i="79"/>
  <c r="AJ961" i="79"/>
  <c r="AK961" i="79"/>
  <c r="AL961" i="79"/>
  <c r="AM961" i="79"/>
  <c r="AN961" i="79"/>
  <c r="AO961" i="79"/>
  <c r="AP961" i="79"/>
  <c r="AQ961" i="79"/>
  <c r="AR961" i="79"/>
  <c r="AS961" i="79"/>
  <c r="AT961" i="79"/>
  <c r="AU961" i="79"/>
  <c r="AV961" i="79"/>
  <c r="AW961" i="79"/>
  <c r="AX961" i="79"/>
  <c r="AY961" i="79"/>
  <c r="AZ961" i="79"/>
  <c r="J962" i="79"/>
  <c r="K962" i="79"/>
  <c r="L962" i="79"/>
  <c r="M962" i="79"/>
  <c r="N962" i="79"/>
  <c r="O962" i="79"/>
  <c r="P962" i="79"/>
  <c r="Q962" i="79"/>
  <c r="R962" i="79"/>
  <c r="S962" i="79"/>
  <c r="T962" i="79"/>
  <c r="U962" i="79"/>
  <c r="V962" i="79"/>
  <c r="W962" i="79"/>
  <c r="X962" i="79"/>
  <c r="Y962" i="79"/>
  <c r="Z962" i="79"/>
  <c r="AA962" i="79"/>
  <c r="AB962" i="79"/>
  <c r="AC962" i="79"/>
  <c r="AD962" i="79"/>
  <c r="AE962" i="79"/>
  <c r="AF962" i="79"/>
  <c r="AG962" i="79"/>
  <c r="AH962" i="79"/>
  <c r="AI962" i="79"/>
  <c r="AJ962" i="79"/>
  <c r="AK962" i="79"/>
  <c r="AL962" i="79"/>
  <c r="AM962" i="79"/>
  <c r="AN962" i="79"/>
  <c r="AO962" i="79"/>
  <c r="AP962" i="79"/>
  <c r="AQ962" i="79"/>
  <c r="AR962" i="79"/>
  <c r="AS962" i="79"/>
  <c r="AT962" i="79"/>
  <c r="AU962" i="79"/>
  <c r="AV962" i="79"/>
  <c r="AW962" i="79"/>
  <c r="AX962" i="79"/>
  <c r="AY962" i="79"/>
  <c r="AZ962" i="79"/>
  <c r="J963" i="79"/>
  <c r="K963" i="79"/>
  <c r="L963" i="79"/>
  <c r="M963" i="79"/>
  <c r="N963" i="79"/>
  <c r="O963" i="79"/>
  <c r="P963" i="79"/>
  <c r="Q963" i="79"/>
  <c r="R963" i="79"/>
  <c r="S963" i="79"/>
  <c r="T963" i="79"/>
  <c r="U963" i="79"/>
  <c r="V963" i="79"/>
  <c r="W963" i="79"/>
  <c r="X963" i="79"/>
  <c r="Y963" i="79"/>
  <c r="Z963" i="79"/>
  <c r="AA963" i="79"/>
  <c r="AB963" i="79"/>
  <c r="AC963" i="79"/>
  <c r="AD963" i="79"/>
  <c r="AE963" i="79"/>
  <c r="AF963" i="79"/>
  <c r="AG963" i="79"/>
  <c r="AH963" i="79"/>
  <c r="AI963" i="79"/>
  <c r="AJ963" i="79"/>
  <c r="AK963" i="79"/>
  <c r="AL963" i="79"/>
  <c r="AM963" i="79"/>
  <c r="AN963" i="79"/>
  <c r="AO963" i="79"/>
  <c r="AP963" i="79"/>
  <c r="AQ963" i="79"/>
  <c r="AR963" i="79"/>
  <c r="AS963" i="79"/>
  <c r="AT963" i="79"/>
  <c r="AU963" i="79"/>
  <c r="AV963" i="79"/>
  <c r="AW963" i="79"/>
  <c r="AX963" i="79"/>
  <c r="AY963" i="79"/>
  <c r="AZ963" i="79"/>
  <c r="J964" i="79"/>
  <c r="K964" i="79"/>
  <c r="L964" i="79"/>
  <c r="M964" i="79"/>
  <c r="N964" i="79"/>
  <c r="O964" i="79"/>
  <c r="P964" i="79"/>
  <c r="Q964" i="79"/>
  <c r="R964" i="79"/>
  <c r="S964" i="79"/>
  <c r="T964" i="79"/>
  <c r="U964" i="79"/>
  <c r="V964" i="79"/>
  <c r="W964" i="79"/>
  <c r="X964" i="79"/>
  <c r="Y964" i="79"/>
  <c r="Z964" i="79"/>
  <c r="AA964" i="79"/>
  <c r="AB964" i="79"/>
  <c r="AC964" i="79"/>
  <c r="AD964" i="79"/>
  <c r="AE964" i="79"/>
  <c r="AF964" i="79"/>
  <c r="AG964" i="79"/>
  <c r="AH964" i="79"/>
  <c r="AI964" i="79"/>
  <c r="AJ964" i="79"/>
  <c r="AK964" i="79"/>
  <c r="AL964" i="79"/>
  <c r="AM964" i="79"/>
  <c r="AN964" i="79"/>
  <c r="AO964" i="79"/>
  <c r="AP964" i="79"/>
  <c r="AQ964" i="79"/>
  <c r="AR964" i="79"/>
  <c r="AS964" i="79"/>
  <c r="AT964" i="79"/>
  <c r="AU964" i="79"/>
  <c r="AV964" i="79"/>
  <c r="AW964" i="79"/>
  <c r="AX964" i="79"/>
  <c r="AY964" i="79"/>
  <c r="AZ964" i="79"/>
  <c r="J965" i="79"/>
  <c r="K965" i="79"/>
  <c r="L965" i="79"/>
  <c r="M965" i="79"/>
  <c r="N965" i="79"/>
  <c r="O965" i="79"/>
  <c r="P965" i="79"/>
  <c r="Q965" i="79"/>
  <c r="R965" i="79"/>
  <c r="S965" i="79"/>
  <c r="T965" i="79"/>
  <c r="U965" i="79"/>
  <c r="V965" i="79"/>
  <c r="W965" i="79"/>
  <c r="X965" i="79"/>
  <c r="Y965" i="79"/>
  <c r="Z965" i="79"/>
  <c r="AA965" i="79"/>
  <c r="AB965" i="79"/>
  <c r="AC965" i="79"/>
  <c r="AD965" i="79"/>
  <c r="AE965" i="79"/>
  <c r="AF965" i="79"/>
  <c r="AG965" i="79"/>
  <c r="AH965" i="79"/>
  <c r="AI965" i="79"/>
  <c r="AJ965" i="79"/>
  <c r="AK965" i="79"/>
  <c r="AL965" i="79"/>
  <c r="AM965" i="79"/>
  <c r="AN965" i="79"/>
  <c r="AO965" i="79"/>
  <c r="AP965" i="79"/>
  <c r="AQ965" i="79"/>
  <c r="AR965" i="79"/>
  <c r="AS965" i="79"/>
  <c r="AT965" i="79"/>
  <c r="AU965" i="79"/>
  <c r="AV965" i="79"/>
  <c r="AW965" i="79"/>
  <c r="AX965" i="79"/>
  <c r="AY965" i="79"/>
  <c r="AZ965" i="79"/>
  <c r="J966" i="79"/>
  <c r="K966" i="79"/>
  <c r="L966" i="79"/>
  <c r="M966" i="79"/>
  <c r="N966" i="79"/>
  <c r="O966" i="79"/>
  <c r="P966" i="79"/>
  <c r="Q966" i="79"/>
  <c r="R966" i="79"/>
  <c r="S966" i="79"/>
  <c r="T966" i="79"/>
  <c r="U966" i="79"/>
  <c r="V966" i="79"/>
  <c r="W966" i="79"/>
  <c r="X966" i="79"/>
  <c r="Y966" i="79"/>
  <c r="Z966" i="79"/>
  <c r="AA966" i="79"/>
  <c r="AB966" i="79"/>
  <c r="AC966" i="79"/>
  <c r="AD966" i="79"/>
  <c r="AE966" i="79"/>
  <c r="AF966" i="79"/>
  <c r="AG966" i="79"/>
  <c r="AH966" i="79"/>
  <c r="AI966" i="79"/>
  <c r="AJ966" i="79"/>
  <c r="AK966" i="79"/>
  <c r="AL966" i="79"/>
  <c r="AM966" i="79"/>
  <c r="AN966" i="79"/>
  <c r="AO966" i="79"/>
  <c r="AP966" i="79"/>
  <c r="AQ966" i="79"/>
  <c r="AR966" i="79"/>
  <c r="AS966" i="79"/>
  <c r="AT966" i="79"/>
  <c r="AU966" i="79"/>
  <c r="AV966" i="79"/>
  <c r="AW966" i="79"/>
  <c r="AX966" i="79"/>
  <c r="AY966" i="79"/>
  <c r="AZ966" i="79"/>
  <c r="J967" i="79"/>
  <c r="K967" i="79"/>
  <c r="L967" i="79"/>
  <c r="M967" i="79"/>
  <c r="N967" i="79"/>
  <c r="O967" i="79"/>
  <c r="P967" i="79"/>
  <c r="Q967" i="79"/>
  <c r="R967" i="79"/>
  <c r="S967" i="79"/>
  <c r="T967" i="79"/>
  <c r="U967" i="79"/>
  <c r="V967" i="79"/>
  <c r="W967" i="79"/>
  <c r="X967" i="79"/>
  <c r="Y967" i="79"/>
  <c r="Z967" i="79"/>
  <c r="AA967" i="79"/>
  <c r="AB967" i="79"/>
  <c r="AC967" i="79"/>
  <c r="AD967" i="79"/>
  <c r="AE967" i="79"/>
  <c r="AF967" i="79"/>
  <c r="AG967" i="79"/>
  <c r="AH967" i="79"/>
  <c r="AI967" i="79"/>
  <c r="AJ967" i="79"/>
  <c r="AK967" i="79"/>
  <c r="AL967" i="79"/>
  <c r="AM967" i="79"/>
  <c r="AN967" i="79"/>
  <c r="AO967" i="79"/>
  <c r="AP967" i="79"/>
  <c r="AQ967" i="79"/>
  <c r="AR967" i="79"/>
  <c r="AS967" i="79"/>
  <c r="AT967" i="79"/>
  <c r="AU967" i="79"/>
  <c r="AV967" i="79"/>
  <c r="AW967" i="79"/>
  <c r="AX967" i="79"/>
  <c r="AY967" i="79"/>
  <c r="AZ967" i="79"/>
  <c r="J968" i="79"/>
  <c r="K968" i="79"/>
  <c r="L968" i="79"/>
  <c r="M968" i="79"/>
  <c r="N968" i="79"/>
  <c r="O968" i="79"/>
  <c r="P968" i="79"/>
  <c r="Q968" i="79"/>
  <c r="R968" i="79"/>
  <c r="S968" i="79"/>
  <c r="T968" i="79"/>
  <c r="U968" i="79"/>
  <c r="V968" i="79"/>
  <c r="W968" i="79"/>
  <c r="X968" i="79"/>
  <c r="Y968" i="79"/>
  <c r="Z968" i="79"/>
  <c r="AA968" i="79"/>
  <c r="AB968" i="79"/>
  <c r="AC968" i="79"/>
  <c r="AD968" i="79"/>
  <c r="AE968" i="79"/>
  <c r="AF968" i="79"/>
  <c r="AG968" i="79"/>
  <c r="AH968" i="79"/>
  <c r="AI968" i="79"/>
  <c r="AJ968" i="79"/>
  <c r="AK968" i="79"/>
  <c r="AL968" i="79"/>
  <c r="AM968" i="79"/>
  <c r="AN968" i="79"/>
  <c r="AO968" i="79"/>
  <c r="AP968" i="79"/>
  <c r="AQ968" i="79"/>
  <c r="AR968" i="79"/>
  <c r="AS968" i="79"/>
  <c r="AT968" i="79"/>
  <c r="AU968" i="79"/>
  <c r="AV968" i="79"/>
  <c r="AW968" i="79"/>
  <c r="AX968" i="79"/>
  <c r="AY968" i="79"/>
  <c r="AZ968" i="79"/>
  <c r="J969" i="79"/>
  <c r="K969" i="79"/>
  <c r="L969" i="79"/>
  <c r="M969" i="79"/>
  <c r="N969" i="79"/>
  <c r="O969" i="79"/>
  <c r="P969" i="79"/>
  <c r="Q969" i="79"/>
  <c r="R969" i="79"/>
  <c r="S969" i="79"/>
  <c r="T969" i="79"/>
  <c r="U969" i="79"/>
  <c r="V969" i="79"/>
  <c r="W969" i="79"/>
  <c r="X969" i="79"/>
  <c r="Y969" i="79"/>
  <c r="Z969" i="79"/>
  <c r="AA969" i="79"/>
  <c r="AB969" i="79"/>
  <c r="AC969" i="79"/>
  <c r="AD969" i="79"/>
  <c r="AE969" i="79"/>
  <c r="AF969" i="79"/>
  <c r="AG969" i="79"/>
  <c r="AH969" i="79"/>
  <c r="AI969" i="79"/>
  <c r="AJ969" i="79"/>
  <c r="AK969" i="79"/>
  <c r="AL969" i="79"/>
  <c r="AM969" i="79"/>
  <c r="AN969" i="79"/>
  <c r="AO969" i="79"/>
  <c r="AP969" i="79"/>
  <c r="AQ969" i="79"/>
  <c r="AR969" i="79"/>
  <c r="AS969" i="79"/>
  <c r="AT969" i="79"/>
  <c r="AU969" i="79"/>
  <c r="AV969" i="79"/>
  <c r="AW969" i="79"/>
  <c r="AX969" i="79"/>
  <c r="AY969" i="79"/>
  <c r="AZ969" i="79"/>
  <c r="J970" i="79"/>
  <c r="K970" i="79"/>
  <c r="L970" i="79"/>
  <c r="M970" i="79"/>
  <c r="N970" i="79"/>
  <c r="O970" i="79"/>
  <c r="P970" i="79"/>
  <c r="Q970" i="79"/>
  <c r="R970" i="79"/>
  <c r="S970" i="79"/>
  <c r="T970" i="79"/>
  <c r="U970" i="79"/>
  <c r="V970" i="79"/>
  <c r="W970" i="79"/>
  <c r="X970" i="79"/>
  <c r="Y970" i="79"/>
  <c r="Z970" i="79"/>
  <c r="AA970" i="79"/>
  <c r="AB970" i="79"/>
  <c r="AC970" i="79"/>
  <c r="AD970" i="79"/>
  <c r="AE970" i="79"/>
  <c r="AF970" i="79"/>
  <c r="AG970" i="79"/>
  <c r="AH970" i="79"/>
  <c r="AI970" i="79"/>
  <c r="AJ970" i="79"/>
  <c r="AK970" i="79"/>
  <c r="AL970" i="79"/>
  <c r="AM970" i="79"/>
  <c r="AN970" i="79"/>
  <c r="AO970" i="79"/>
  <c r="AP970" i="79"/>
  <c r="AQ970" i="79"/>
  <c r="AR970" i="79"/>
  <c r="AS970" i="79"/>
  <c r="AT970" i="79"/>
  <c r="AU970" i="79"/>
  <c r="AV970" i="79"/>
  <c r="AW970" i="79"/>
  <c r="AX970" i="79"/>
  <c r="AY970" i="79"/>
  <c r="AZ970" i="79"/>
  <c r="J971" i="79"/>
  <c r="K971" i="79"/>
  <c r="L971" i="79"/>
  <c r="M971" i="79"/>
  <c r="N971" i="79"/>
  <c r="O971" i="79"/>
  <c r="P971" i="79"/>
  <c r="Q971" i="79"/>
  <c r="R971" i="79"/>
  <c r="S971" i="79"/>
  <c r="T971" i="79"/>
  <c r="U971" i="79"/>
  <c r="V971" i="79"/>
  <c r="W971" i="79"/>
  <c r="X971" i="79"/>
  <c r="Y971" i="79"/>
  <c r="Z971" i="79"/>
  <c r="AA971" i="79"/>
  <c r="AB971" i="79"/>
  <c r="AC971" i="79"/>
  <c r="AD971" i="79"/>
  <c r="AE971" i="79"/>
  <c r="AF971" i="79"/>
  <c r="AG971" i="79"/>
  <c r="AH971" i="79"/>
  <c r="AI971" i="79"/>
  <c r="AJ971" i="79"/>
  <c r="AK971" i="79"/>
  <c r="AL971" i="79"/>
  <c r="AM971" i="79"/>
  <c r="AN971" i="79"/>
  <c r="AO971" i="79"/>
  <c r="AP971" i="79"/>
  <c r="AQ971" i="79"/>
  <c r="AR971" i="79"/>
  <c r="AS971" i="79"/>
  <c r="AT971" i="79"/>
  <c r="AU971" i="79"/>
  <c r="AV971" i="79"/>
  <c r="AW971" i="79"/>
  <c r="AX971" i="79"/>
  <c r="AY971" i="79"/>
  <c r="AZ971" i="79"/>
  <c r="J972" i="79"/>
  <c r="K972" i="79"/>
  <c r="L972" i="79"/>
  <c r="M972" i="79"/>
  <c r="N972" i="79"/>
  <c r="O972" i="79"/>
  <c r="P972" i="79"/>
  <c r="Q972" i="79"/>
  <c r="R972" i="79"/>
  <c r="S972" i="79"/>
  <c r="T972" i="79"/>
  <c r="U972" i="79"/>
  <c r="V972" i="79"/>
  <c r="W972" i="79"/>
  <c r="X972" i="79"/>
  <c r="Y972" i="79"/>
  <c r="Z972" i="79"/>
  <c r="AA972" i="79"/>
  <c r="AB972" i="79"/>
  <c r="AC972" i="79"/>
  <c r="AD972" i="79"/>
  <c r="AE972" i="79"/>
  <c r="AF972" i="79"/>
  <c r="AG972" i="79"/>
  <c r="AH972" i="79"/>
  <c r="AI972" i="79"/>
  <c r="AJ972" i="79"/>
  <c r="AK972" i="79"/>
  <c r="AL972" i="79"/>
  <c r="AM972" i="79"/>
  <c r="AN972" i="79"/>
  <c r="AO972" i="79"/>
  <c r="AP972" i="79"/>
  <c r="AQ972" i="79"/>
  <c r="AR972" i="79"/>
  <c r="AS972" i="79"/>
  <c r="AT972" i="79"/>
  <c r="AU972" i="79"/>
  <c r="AV972" i="79"/>
  <c r="AW972" i="79"/>
  <c r="AX972" i="79"/>
  <c r="AY972" i="79"/>
  <c r="AZ972" i="79"/>
  <c r="J973" i="79"/>
  <c r="K973" i="79"/>
  <c r="L973" i="79"/>
  <c r="M973" i="79"/>
  <c r="N973" i="79"/>
  <c r="O973" i="79"/>
  <c r="P973" i="79"/>
  <c r="Q973" i="79"/>
  <c r="R973" i="79"/>
  <c r="S973" i="79"/>
  <c r="T973" i="79"/>
  <c r="U973" i="79"/>
  <c r="V973" i="79"/>
  <c r="W973" i="79"/>
  <c r="X973" i="79"/>
  <c r="Y973" i="79"/>
  <c r="Z973" i="79"/>
  <c r="AA973" i="79"/>
  <c r="AB973" i="79"/>
  <c r="AC973" i="79"/>
  <c r="AD973" i="79"/>
  <c r="AE973" i="79"/>
  <c r="AF973" i="79"/>
  <c r="AG973" i="79"/>
  <c r="AH973" i="79"/>
  <c r="AI973" i="79"/>
  <c r="AJ973" i="79"/>
  <c r="AK973" i="79"/>
  <c r="AL973" i="79"/>
  <c r="AM973" i="79"/>
  <c r="AN973" i="79"/>
  <c r="AO973" i="79"/>
  <c r="AP973" i="79"/>
  <c r="AQ973" i="79"/>
  <c r="AR973" i="79"/>
  <c r="AS973" i="79"/>
  <c r="AT973" i="79"/>
  <c r="AU973" i="79"/>
  <c r="AV973" i="79"/>
  <c r="AW973" i="79"/>
  <c r="AX973" i="79"/>
  <c r="AY973" i="79"/>
  <c r="AZ973" i="79"/>
  <c r="J974" i="79"/>
  <c r="K974" i="79"/>
  <c r="L974" i="79"/>
  <c r="M974" i="79"/>
  <c r="N974" i="79"/>
  <c r="O974" i="79"/>
  <c r="P974" i="79"/>
  <c r="Q974" i="79"/>
  <c r="R974" i="79"/>
  <c r="S974" i="79"/>
  <c r="T974" i="79"/>
  <c r="U974" i="79"/>
  <c r="V974" i="79"/>
  <c r="W974" i="79"/>
  <c r="X974" i="79"/>
  <c r="Y974" i="79"/>
  <c r="Z974" i="79"/>
  <c r="AA974" i="79"/>
  <c r="AB974" i="79"/>
  <c r="AC974" i="79"/>
  <c r="AD974" i="79"/>
  <c r="AE974" i="79"/>
  <c r="AF974" i="79"/>
  <c r="AG974" i="79"/>
  <c r="AH974" i="79"/>
  <c r="AI974" i="79"/>
  <c r="AJ974" i="79"/>
  <c r="AK974" i="79"/>
  <c r="AL974" i="79"/>
  <c r="AM974" i="79"/>
  <c r="AN974" i="79"/>
  <c r="AO974" i="79"/>
  <c r="AP974" i="79"/>
  <c r="AQ974" i="79"/>
  <c r="AR974" i="79"/>
  <c r="AS974" i="79"/>
  <c r="AT974" i="79"/>
  <c r="AU974" i="79"/>
  <c r="AV974" i="79"/>
  <c r="AW974" i="79"/>
  <c r="AX974" i="79"/>
  <c r="AY974" i="79"/>
  <c r="AZ974" i="79"/>
  <c r="J975" i="79"/>
  <c r="K975" i="79"/>
  <c r="L975" i="79"/>
  <c r="M975" i="79"/>
  <c r="N975" i="79"/>
  <c r="O975" i="79"/>
  <c r="P975" i="79"/>
  <c r="Q975" i="79"/>
  <c r="R975" i="79"/>
  <c r="S975" i="79"/>
  <c r="T975" i="79"/>
  <c r="U975" i="79"/>
  <c r="V975" i="79"/>
  <c r="W975" i="79"/>
  <c r="X975" i="79"/>
  <c r="Y975" i="79"/>
  <c r="Z975" i="79"/>
  <c r="AA975" i="79"/>
  <c r="AB975" i="79"/>
  <c r="AC975" i="79"/>
  <c r="AD975" i="79"/>
  <c r="AE975" i="79"/>
  <c r="AF975" i="79"/>
  <c r="AG975" i="79"/>
  <c r="AH975" i="79"/>
  <c r="AI975" i="79"/>
  <c r="AJ975" i="79"/>
  <c r="AK975" i="79"/>
  <c r="AL975" i="79"/>
  <c r="AM975" i="79"/>
  <c r="AN975" i="79"/>
  <c r="AO975" i="79"/>
  <c r="AP975" i="79"/>
  <c r="AQ975" i="79"/>
  <c r="AR975" i="79"/>
  <c r="AS975" i="79"/>
  <c r="AT975" i="79"/>
  <c r="AU975" i="79"/>
  <c r="AV975" i="79"/>
  <c r="AW975" i="79"/>
  <c r="AX975" i="79"/>
  <c r="AY975" i="79"/>
  <c r="AZ975" i="79"/>
  <c r="J976" i="79"/>
  <c r="K976" i="79"/>
  <c r="L976" i="79"/>
  <c r="M976" i="79"/>
  <c r="N976" i="79"/>
  <c r="O976" i="79"/>
  <c r="P976" i="79"/>
  <c r="Q976" i="79"/>
  <c r="R976" i="79"/>
  <c r="S976" i="79"/>
  <c r="T976" i="79"/>
  <c r="U976" i="79"/>
  <c r="V976" i="79"/>
  <c r="W976" i="79"/>
  <c r="X976" i="79"/>
  <c r="Y976" i="79"/>
  <c r="Z976" i="79"/>
  <c r="AA976" i="79"/>
  <c r="AB976" i="79"/>
  <c r="AC976" i="79"/>
  <c r="AD976" i="79"/>
  <c r="AE976" i="79"/>
  <c r="AF976" i="79"/>
  <c r="AG976" i="79"/>
  <c r="AH976" i="79"/>
  <c r="AI976" i="79"/>
  <c r="AJ976" i="79"/>
  <c r="AK976" i="79"/>
  <c r="AL976" i="79"/>
  <c r="AM976" i="79"/>
  <c r="AN976" i="79"/>
  <c r="AO976" i="79"/>
  <c r="AP976" i="79"/>
  <c r="AQ976" i="79"/>
  <c r="AR976" i="79"/>
  <c r="AS976" i="79"/>
  <c r="AT976" i="79"/>
  <c r="AU976" i="79"/>
  <c r="AV976" i="79"/>
  <c r="AW976" i="79"/>
  <c r="AX976" i="79"/>
  <c r="AY976" i="79"/>
  <c r="AZ976" i="79"/>
  <c r="J977" i="79"/>
  <c r="K977" i="79"/>
  <c r="L977" i="79"/>
  <c r="M977" i="79"/>
  <c r="N977" i="79"/>
  <c r="O977" i="79"/>
  <c r="P977" i="79"/>
  <c r="Q977" i="79"/>
  <c r="R977" i="79"/>
  <c r="S977" i="79"/>
  <c r="T977" i="79"/>
  <c r="U977" i="79"/>
  <c r="V977" i="79"/>
  <c r="W977" i="79"/>
  <c r="X977" i="79"/>
  <c r="Y977" i="79"/>
  <c r="Z977" i="79"/>
  <c r="AA977" i="79"/>
  <c r="AB977" i="79"/>
  <c r="AC977" i="79"/>
  <c r="AD977" i="79"/>
  <c r="AE977" i="79"/>
  <c r="AF977" i="79"/>
  <c r="AG977" i="79"/>
  <c r="AH977" i="79"/>
  <c r="AI977" i="79"/>
  <c r="AJ977" i="79"/>
  <c r="AK977" i="79"/>
  <c r="AL977" i="79"/>
  <c r="AM977" i="79"/>
  <c r="AN977" i="79"/>
  <c r="AO977" i="79"/>
  <c r="AP977" i="79"/>
  <c r="AQ977" i="79"/>
  <c r="AR977" i="79"/>
  <c r="AS977" i="79"/>
  <c r="AT977" i="79"/>
  <c r="AU977" i="79"/>
  <c r="AV977" i="79"/>
  <c r="AW977" i="79"/>
  <c r="AX977" i="79"/>
  <c r="AY977" i="79"/>
  <c r="AZ977" i="79"/>
  <c r="J978" i="79"/>
  <c r="K978" i="79"/>
  <c r="L978" i="79"/>
  <c r="M978" i="79"/>
  <c r="N978" i="79"/>
  <c r="O978" i="79"/>
  <c r="P978" i="79"/>
  <c r="Q978" i="79"/>
  <c r="R978" i="79"/>
  <c r="S978" i="79"/>
  <c r="T978" i="79"/>
  <c r="U978" i="79"/>
  <c r="V978" i="79"/>
  <c r="W978" i="79"/>
  <c r="X978" i="79"/>
  <c r="Y978" i="79"/>
  <c r="Z978" i="79"/>
  <c r="AA978" i="79"/>
  <c r="AB978" i="79"/>
  <c r="AC978" i="79"/>
  <c r="AD978" i="79"/>
  <c r="AE978" i="79"/>
  <c r="AF978" i="79"/>
  <c r="AG978" i="79"/>
  <c r="AH978" i="79"/>
  <c r="AI978" i="79"/>
  <c r="AJ978" i="79"/>
  <c r="AK978" i="79"/>
  <c r="AL978" i="79"/>
  <c r="AM978" i="79"/>
  <c r="AN978" i="79"/>
  <c r="AO978" i="79"/>
  <c r="AP978" i="79"/>
  <c r="AQ978" i="79"/>
  <c r="AR978" i="79"/>
  <c r="AS978" i="79"/>
  <c r="AT978" i="79"/>
  <c r="AU978" i="79"/>
  <c r="AV978" i="79"/>
  <c r="AW978" i="79"/>
  <c r="AX978" i="79"/>
  <c r="AY978" i="79"/>
  <c r="AZ978" i="79"/>
  <c r="J979" i="79"/>
  <c r="K979" i="79"/>
  <c r="L979" i="79"/>
  <c r="M979" i="79"/>
  <c r="N979" i="79"/>
  <c r="O979" i="79"/>
  <c r="P979" i="79"/>
  <c r="Q979" i="79"/>
  <c r="R979" i="79"/>
  <c r="S979" i="79"/>
  <c r="T979" i="79"/>
  <c r="U979" i="79"/>
  <c r="V979" i="79"/>
  <c r="W979" i="79"/>
  <c r="X979" i="79"/>
  <c r="Y979" i="79"/>
  <c r="Z979" i="79"/>
  <c r="AA979" i="79"/>
  <c r="AB979" i="79"/>
  <c r="AC979" i="79"/>
  <c r="AD979" i="79"/>
  <c r="AE979" i="79"/>
  <c r="AF979" i="79"/>
  <c r="AG979" i="79"/>
  <c r="AH979" i="79"/>
  <c r="AI979" i="79"/>
  <c r="AJ979" i="79"/>
  <c r="AK979" i="79"/>
  <c r="AL979" i="79"/>
  <c r="AM979" i="79"/>
  <c r="AN979" i="79"/>
  <c r="AO979" i="79"/>
  <c r="AP979" i="79"/>
  <c r="AQ979" i="79"/>
  <c r="AR979" i="79"/>
  <c r="AS979" i="79"/>
  <c r="AT979" i="79"/>
  <c r="AU979" i="79"/>
  <c r="AV979" i="79"/>
  <c r="AW979" i="79"/>
  <c r="AX979" i="79"/>
  <c r="AY979" i="79"/>
  <c r="AZ979" i="79"/>
  <c r="J980" i="79"/>
  <c r="K980" i="79"/>
  <c r="L980" i="79"/>
  <c r="M980" i="79"/>
  <c r="N980" i="79"/>
  <c r="O980" i="79"/>
  <c r="P980" i="79"/>
  <c r="Q980" i="79"/>
  <c r="R980" i="79"/>
  <c r="S980" i="79"/>
  <c r="T980" i="79"/>
  <c r="U980" i="79"/>
  <c r="V980" i="79"/>
  <c r="W980" i="79"/>
  <c r="X980" i="79"/>
  <c r="Y980" i="79"/>
  <c r="Z980" i="79"/>
  <c r="AA980" i="79"/>
  <c r="AB980" i="79"/>
  <c r="AC980" i="79"/>
  <c r="AD980" i="79"/>
  <c r="AE980" i="79"/>
  <c r="AF980" i="79"/>
  <c r="AG980" i="79"/>
  <c r="AH980" i="79"/>
  <c r="AI980" i="79"/>
  <c r="AJ980" i="79"/>
  <c r="AK980" i="79"/>
  <c r="AL980" i="79"/>
  <c r="AM980" i="79"/>
  <c r="AN980" i="79"/>
  <c r="AO980" i="79"/>
  <c r="AP980" i="79"/>
  <c r="AQ980" i="79"/>
  <c r="AR980" i="79"/>
  <c r="AS980" i="79"/>
  <c r="AT980" i="79"/>
  <c r="AU980" i="79"/>
  <c r="AV980" i="79"/>
  <c r="AW980" i="79"/>
  <c r="AX980" i="79"/>
  <c r="AY980" i="79"/>
  <c r="AZ980" i="79"/>
  <c r="J981" i="79"/>
  <c r="K981" i="79"/>
  <c r="L981" i="79"/>
  <c r="M981" i="79"/>
  <c r="N981" i="79"/>
  <c r="O981" i="79"/>
  <c r="P981" i="79"/>
  <c r="Q981" i="79"/>
  <c r="R981" i="79"/>
  <c r="S981" i="79"/>
  <c r="T981" i="79"/>
  <c r="U981" i="79"/>
  <c r="V981" i="79"/>
  <c r="W981" i="79"/>
  <c r="X981" i="79"/>
  <c r="Y981" i="79"/>
  <c r="Z981" i="79"/>
  <c r="AA981" i="79"/>
  <c r="AB981" i="79"/>
  <c r="AC981" i="79"/>
  <c r="AD981" i="79"/>
  <c r="AE981" i="79"/>
  <c r="AF981" i="79"/>
  <c r="AG981" i="79"/>
  <c r="AH981" i="79"/>
  <c r="AI981" i="79"/>
  <c r="AJ981" i="79"/>
  <c r="AK981" i="79"/>
  <c r="AL981" i="79"/>
  <c r="AM981" i="79"/>
  <c r="AN981" i="79"/>
  <c r="AO981" i="79"/>
  <c r="AP981" i="79"/>
  <c r="AQ981" i="79"/>
  <c r="AR981" i="79"/>
  <c r="AS981" i="79"/>
  <c r="AT981" i="79"/>
  <c r="AU981" i="79"/>
  <c r="AV981" i="79"/>
  <c r="AW981" i="79"/>
  <c r="AX981" i="79"/>
  <c r="AY981" i="79"/>
  <c r="AZ981" i="79"/>
  <c r="J982" i="79"/>
  <c r="K982" i="79"/>
  <c r="L982" i="79"/>
  <c r="M982" i="79"/>
  <c r="N982" i="79"/>
  <c r="O982" i="79"/>
  <c r="P982" i="79"/>
  <c r="Q982" i="79"/>
  <c r="R982" i="79"/>
  <c r="S982" i="79"/>
  <c r="T982" i="79"/>
  <c r="U982" i="79"/>
  <c r="V982" i="79"/>
  <c r="W982" i="79"/>
  <c r="X982" i="79"/>
  <c r="Y982" i="79"/>
  <c r="Z982" i="79"/>
  <c r="AA982" i="79"/>
  <c r="AB982" i="79"/>
  <c r="AC982" i="79"/>
  <c r="AD982" i="79"/>
  <c r="AE982" i="79"/>
  <c r="AF982" i="79"/>
  <c r="AG982" i="79"/>
  <c r="AH982" i="79"/>
  <c r="AI982" i="79"/>
  <c r="AJ982" i="79"/>
  <c r="AK982" i="79"/>
  <c r="AL982" i="79"/>
  <c r="AM982" i="79"/>
  <c r="AN982" i="79"/>
  <c r="AO982" i="79"/>
  <c r="AP982" i="79"/>
  <c r="AQ982" i="79"/>
  <c r="AR982" i="79"/>
  <c r="AS982" i="79"/>
  <c r="AT982" i="79"/>
  <c r="AU982" i="79"/>
  <c r="AV982" i="79"/>
  <c r="AW982" i="79"/>
  <c r="AX982" i="79"/>
  <c r="AY982" i="79"/>
  <c r="AZ982" i="79"/>
  <c r="J983" i="79"/>
  <c r="K983" i="79"/>
  <c r="L983" i="79"/>
  <c r="M983" i="79"/>
  <c r="N983" i="79"/>
  <c r="O983" i="79"/>
  <c r="P983" i="79"/>
  <c r="Q983" i="79"/>
  <c r="R983" i="79"/>
  <c r="S983" i="79"/>
  <c r="T983" i="79"/>
  <c r="U983" i="79"/>
  <c r="V983" i="79"/>
  <c r="W983" i="79"/>
  <c r="X983" i="79"/>
  <c r="Y983" i="79"/>
  <c r="Z983" i="79"/>
  <c r="AA983" i="79"/>
  <c r="AB983" i="79"/>
  <c r="AC983" i="79"/>
  <c r="AD983" i="79"/>
  <c r="AE983" i="79"/>
  <c r="AF983" i="79"/>
  <c r="AG983" i="79"/>
  <c r="AH983" i="79"/>
  <c r="AI983" i="79"/>
  <c r="AJ983" i="79"/>
  <c r="AK983" i="79"/>
  <c r="AL983" i="79"/>
  <c r="AM983" i="79"/>
  <c r="AN983" i="79"/>
  <c r="AO983" i="79"/>
  <c r="AP983" i="79"/>
  <c r="AQ983" i="79"/>
  <c r="AR983" i="79"/>
  <c r="AS983" i="79"/>
  <c r="AT983" i="79"/>
  <c r="AU983" i="79"/>
  <c r="AV983" i="79"/>
  <c r="AW983" i="79"/>
  <c r="AX983" i="79"/>
  <c r="AY983" i="79"/>
  <c r="AZ983" i="79"/>
  <c r="J984" i="79"/>
  <c r="K984" i="79"/>
  <c r="L984" i="79"/>
  <c r="M984" i="79"/>
  <c r="N984" i="79"/>
  <c r="O984" i="79"/>
  <c r="P984" i="79"/>
  <c r="Q984" i="79"/>
  <c r="R984" i="79"/>
  <c r="S984" i="79"/>
  <c r="T984" i="79"/>
  <c r="U984" i="79"/>
  <c r="V984" i="79"/>
  <c r="W984" i="79"/>
  <c r="X984" i="79"/>
  <c r="Y984" i="79"/>
  <c r="Z984" i="79"/>
  <c r="AA984" i="79"/>
  <c r="AB984" i="79"/>
  <c r="AC984" i="79"/>
  <c r="AD984" i="79"/>
  <c r="AE984" i="79"/>
  <c r="AF984" i="79"/>
  <c r="AG984" i="79"/>
  <c r="AH984" i="79"/>
  <c r="AI984" i="79"/>
  <c r="AJ984" i="79"/>
  <c r="AK984" i="79"/>
  <c r="AL984" i="79"/>
  <c r="AM984" i="79"/>
  <c r="AN984" i="79"/>
  <c r="AO984" i="79"/>
  <c r="AP984" i="79"/>
  <c r="AQ984" i="79"/>
  <c r="AR984" i="79"/>
  <c r="AS984" i="79"/>
  <c r="AT984" i="79"/>
  <c r="AU984" i="79"/>
  <c r="AV984" i="79"/>
  <c r="AW984" i="79"/>
  <c r="AX984" i="79"/>
  <c r="AY984" i="79"/>
  <c r="AZ984" i="79"/>
  <c r="J985" i="79"/>
  <c r="K985" i="79"/>
  <c r="L985" i="79"/>
  <c r="M985" i="79"/>
  <c r="N985" i="79"/>
  <c r="O985" i="79"/>
  <c r="P985" i="79"/>
  <c r="Q985" i="79"/>
  <c r="R985" i="79"/>
  <c r="S985" i="79"/>
  <c r="T985" i="79"/>
  <c r="U985" i="79"/>
  <c r="V985" i="79"/>
  <c r="W985" i="79"/>
  <c r="X985" i="79"/>
  <c r="Y985" i="79"/>
  <c r="Z985" i="79"/>
  <c r="AA985" i="79"/>
  <c r="AB985" i="79"/>
  <c r="AC985" i="79"/>
  <c r="AD985" i="79"/>
  <c r="AE985" i="79"/>
  <c r="AF985" i="79"/>
  <c r="AG985" i="79"/>
  <c r="AH985" i="79"/>
  <c r="AI985" i="79"/>
  <c r="AJ985" i="79"/>
  <c r="AK985" i="79"/>
  <c r="AL985" i="79"/>
  <c r="AM985" i="79"/>
  <c r="AN985" i="79"/>
  <c r="AO985" i="79"/>
  <c r="AP985" i="79"/>
  <c r="AQ985" i="79"/>
  <c r="AR985" i="79"/>
  <c r="AS985" i="79"/>
  <c r="AT985" i="79"/>
  <c r="AU985" i="79"/>
  <c r="AV985" i="79"/>
  <c r="AW985" i="79"/>
  <c r="AX985" i="79"/>
  <c r="AY985" i="79"/>
  <c r="AZ985" i="79"/>
  <c r="J986" i="79"/>
  <c r="K986" i="79"/>
  <c r="L986" i="79"/>
  <c r="M986" i="79"/>
  <c r="N986" i="79"/>
  <c r="O986" i="79"/>
  <c r="P986" i="79"/>
  <c r="Q986" i="79"/>
  <c r="R986" i="79"/>
  <c r="S986" i="79"/>
  <c r="T986" i="79"/>
  <c r="U986" i="79"/>
  <c r="V986" i="79"/>
  <c r="W986" i="79"/>
  <c r="X986" i="79"/>
  <c r="Y986" i="79"/>
  <c r="Z986" i="79"/>
  <c r="AA986" i="79"/>
  <c r="AB986" i="79"/>
  <c r="AC986" i="79"/>
  <c r="AD986" i="79"/>
  <c r="AE986" i="79"/>
  <c r="AF986" i="79"/>
  <c r="AG986" i="79"/>
  <c r="AH986" i="79"/>
  <c r="AI986" i="79"/>
  <c r="AJ986" i="79"/>
  <c r="AK986" i="79"/>
  <c r="AL986" i="79"/>
  <c r="AM986" i="79"/>
  <c r="AN986" i="79"/>
  <c r="AO986" i="79"/>
  <c r="AP986" i="79"/>
  <c r="AQ986" i="79"/>
  <c r="AR986" i="79"/>
  <c r="AS986" i="79"/>
  <c r="AT986" i="79"/>
  <c r="AU986" i="79"/>
  <c r="AV986" i="79"/>
  <c r="AW986" i="79"/>
  <c r="AX986" i="79"/>
  <c r="AY986" i="79"/>
  <c r="AZ986" i="79"/>
  <c r="J987" i="79"/>
  <c r="K987" i="79"/>
  <c r="L987" i="79"/>
  <c r="M987" i="79"/>
  <c r="N987" i="79"/>
  <c r="O987" i="79"/>
  <c r="P987" i="79"/>
  <c r="Q987" i="79"/>
  <c r="R987" i="79"/>
  <c r="S987" i="79"/>
  <c r="T987" i="79"/>
  <c r="U987" i="79"/>
  <c r="V987" i="79"/>
  <c r="W987" i="79"/>
  <c r="X987" i="79"/>
  <c r="Y987" i="79"/>
  <c r="Z987" i="79"/>
  <c r="AA987" i="79"/>
  <c r="AB987" i="79"/>
  <c r="AC987" i="79"/>
  <c r="AD987" i="79"/>
  <c r="AE987" i="79"/>
  <c r="AF987" i="79"/>
  <c r="AG987" i="79"/>
  <c r="AH987" i="79"/>
  <c r="AI987" i="79"/>
  <c r="AJ987" i="79"/>
  <c r="AK987" i="79"/>
  <c r="AL987" i="79"/>
  <c r="AM987" i="79"/>
  <c r="AN987" i="79"/>
  <c r="AO987" i="79"/>
  <c r="AP987" i="79"/>
  <c r="AQ987" i="79"/>
  <c r="AR987" i="79"/>
  <c r="AS987" i="79"/>
  <c r="AT987" i="79"/>
  <c r="AU987" i="79"/>
  <c r="AV987" i="79"/>
  <c r="AW987" i="79"/>
  <c r="AX987" i="79"/>
  <c r="AY987" i="79"/>
  <c r="AZ987" i="79"/>
  <c r="J988" i="79"/>
  <c r="K988" i="79"/>
  <c r="L988" i="79"/>
  <c r="M988" i="79"/>
  <c r="N988" i="79"/>
  <c r="O988" i="79"/>
  <c r="P988" i="79"/>
  <c r="Q988" i="79"/>
  <c r="R988" i="79"/>
  <c r="S988" i="79"/>
  <c r="T988" i="79"/>
  <c r="U988" i="79"/>
  <c r="V988" i="79"/>
  <c r="W988" i="79"/>
  <c r="X988" i="79"/>
  <c r="Y988" i="79"/>
  <c r="Z988" i="79"/>
  <c r="AA988" i="79"/>
  <c r="AB988" i="79"/>
  <c r="AC988" i="79"/>
  <c r="AD988" i="79"/>
  <c r="AE988" i="79"/>
  <c r="AF988" i="79"/>
  <c r="AG988" i="79"/>
  <c r="AH988" i="79"/>
  <c r="AI988" i="79"/>
  <c r="AJ988" i="79"/>
  <c r="AK988" i="79"/>
  <c r="AL988" i="79"/>
  <c r="AM988" i="79"/>
  <c r="AN988" i="79"/>
  <c r="AO988" i="79"/>
  <c r="AP988" i="79"/>
  <c r="AQ988" i="79"/>
  <c r="AR988" i="79"/>
  <c r="AS988" i="79"/>
  <c r="AT988" i="79"/>
  <c r="AU988" i="79"/>
  <c r="AV988" i="79"/>
  <c r="AW988" i="79"/>
  <c r="AX988" i="79"/>
  <c r="AY988" i="79"/>
  <c r="AZ988" i="79"/>
  <c r="J989" i="79"/>
  <c r="K989" i="79"/>
  <c r="L989" i="79"/>
  <c r="M989" i="79"/>
  <c r="N989" i="79"/>
  <c r="O989" i="79"/>
  <c r="P989" i="79"/>
  <c r="Q989" i="79"/>
  <c r="R989" i="79"/>
  <c r="S989" i="79"/>
  <c r="T989" i="79"/>
  <c r="U989" i="79"/>
  <c r="V989" i="79"/>
  <c r="W989" i="79"/>
  <c r="X989" i="79"/>
  <c r="Y989" i="79"/>
  <c r="Z989" i="79"/>
  <c r="AA989" i="79"/>
  <c r="AB989" i="79"/>
  <c r="AC989" i="79"/>
  <c r="AD989" i="79"/>
  <c r="AE989" i="79"/>
  <c r="AF989" i="79"/>
  <c r="AG989" i="79"/>
  <c r="AH989" i="79"/>
  <c r="AI989" i="79"/>
  <c r="AJ989" i="79"/>
  <c r="AK989" i="79"/>
  <c r="AL989" i="79"/>
  <c r="AM989" i="79"/>
  <c r="AN989" i="79"/>
  <c r="AO989" i="79"/>
  <c r="AP989" i="79"/>
  <c r="AQ989" i="79"/>
  <c r="AR989" i="79"/>
  <c r="AS989" i="79"/>
  <c r="AT989" i="79"/>
  <c r="AU989" i="79"/>
  <c r="AV989" i="79"/>
  <c r="AW989" i="79"/>
  <c r="AX989" i="79"/>
  <c r="AY989" i="79"/>
  <c r="AZ989" i="79"/>
  <c r="J990" i="79"/>
  <c r="K990" i="79"/>
  <c r="L990" i="79"/>
  <c r="M990" i="79"/>
  <c r="N990" i="79"/>
  <c r="O990" i="79"/>
  <c r="P990" i="79"/>
  <c r="Q990" i="79"/>
  <c r="R990" i="79"/>
  <c r="S990" i="79"/>
  <c r="T990" i="79"/>
  <c r="U990" i="79"/>
  <c r="V990" i="79"/>
  <c r="W990" i="79"/>
  <c r="X990" i="79"/>
  <c r="Y990" i="79"/>
  <c r="Z990" i="79"/>
  <c r="AA990" i="79"/>
  <c r="AB990" i="79"/>
  <c r="AC990" i="79"/>
  <c r="AD990" i="79"/>
  <c r="AE990" i="79"/>
  <c r="AF990" i="79"/>
  <c r="AG990" i="79"/>
  <c r="AH990" i="79"/>
  <c r="AI990" i="79"/>
  <c r="AJ990" i="79"/>
  <c r="AK990" i="79"/>
  <c r="AL990" i="79"/>
  <c r="AM990" i="79"/>
  <c r="AN990" i="79"/>
  <c r="AO990" i="79"/>
  <c r="AP990" i="79"/>
  <c r="AQ990" i="79"/>
  <c r="AR990" i="79"/>
  <c r="AS990" i="79"/>
  <c r="AT990" i="79"/>
  <c r="AU990" i="79"/>
  <c r="AV990" i="79"/>
  <c r="AW990" i="79"/>
  <c r="AX990" i="79"/>
  <c r="AY990" i="79"/>
  <c r="AZ990" i="79"/>
  <c r="J991" i="79"/>
  <c r="K991" i="79"/>
  <c r="L991" i="79"/>
  <c r="M991" i="79"/>
  <c r="N991" i="79"/>
  <c r="O991" i="79"/>
  <c r="P991" i="79"/>
  <c r="Q991" i="79"/>
  <c r="R991" i="79"/>
  <c r="S991" i="79"/>
  <c r="T991" i="79"/>
  <c r="U991" i="79"/>
  <c r="V991" i="79"/>
  <c r="W991" i="79"/>
  <c r="X991" i="79"/>
  <c r="Y991" i="79"/>
  <c r="Z991" i="79"/>
  <c r="AA991" i="79"/>
  <c r="AB991" i="79"/>
  <c r="AC991" i="79"/>
  <c r="AD991" i="79"/>
  <c r="AE991" i="79"/>
  <c r="AF991" i="79"/>
  <c r="AG991" i="79"/>
  <c r="AH991" i="79"/>
  <c r="AI991" i="79"/>
  <c r="AJ991" i="79"/>
  <c r="AK991" i="79"/>
  <c r="AL991" i="79"/>
  <c r="AM991" i="79"/>
  <c r="AN991" i="79"/>
  <c r="AO991" i="79"/>
  <c r="AP991" i="79"/>
  <c r="AQ991" i="79"/>
  <c r="AR991" i="79"/>
  <c r="AS991" i="79"/>
  <c r="AT991" i="79"/>
  <c r="AU991" i="79"/>
  <c r="AV991" i="79"/>
  <c r="AW991" i="79"/>
  <c r="AX991" i="79"/>
  <c r="AY991" i="79"/>
  <c r="AZ991" i="79"/>
  <c r="J992" i="79"/>
  <c r="K992" i="79"/>
  <c r="L992" i="79"/>
  <c r="M992" i="79"/>
  <c r="N992" i="79"/>
  <c r="O992" i="79"/>
  <c r="P992" i="79"/>
  <c r="Q992" i="79"/>
  <c r="R992" i="79"/>
  <c r="S992" i="79"/>
  <c r="T992" i="79"/>
  <c r="U992" i="79"/>
  <c r="V992" i="79"/>
  <c r="W992" i="79"/>
  <c r="X992" i="79"/>
  <c r="Y992" i="79"/>
  <c r="Z992" i="79"/>
  <c r="AA992" i="79"/>
  <c r="AB992" i="79"/>
  <c r="AC992" i="79"/>
  <c r="AD992" i="79"/>
  <c r="AE992" i="79"/>
  <c r="AF992" i="79"/>
  <c r="AG992" i="79"/>
  <c r="AH992" i="79"/>
  <c r="AI992" i="79"/>
  <c r="AJ992" i="79"/>
  <c r="AK992" i="79"/>
  <c r="AL992" i="79"/>
  <c r="AM992" i="79"/>
  <c r="AN992" i="79"/>
  <c r="AO992" i="79"/>
  <c r="AP992" i="79"/>
  <c r="AQ992" i="79"/>
  <c r="AR992" i="79"/>
  <c r="AS992" i="79"/>
  <c r="AT992" i="79"/>
  <c r="AU992" i="79"/>
  <c r="AV992" i="79"/>
  <c r="AW992" i="79"/>
  <c r="AX992" i="79"/>
  <c r="AY992" i="79"/>
  <c r="AZ992" i="79"/>
  <c r="J993" i="79"/>
  <c r="K993" i="79"/>
  <c r="L993" i="79"/>
  <c r="M993" i="79"/>
  <c r="N993" i="79"/>
  <c r="O993" i="79"/>
  <c r="P993" i="79"/>
  <c r="Q993" i="79"/>
  <c r="R993" i="79"/>
  <c r="S993" i="79"/>
  <c r="T993" i="79"/>
  <c r="U993" i="79"/>
  <c r="V993" i="79"/>
  <c r="W993" i="79"/>
  <c r="X993" i="79"/>
  <c r="Y993" i="79"/>
  <c r="Z993" i="79"/>
  <c r="AA993" i="79"/>
  <c r="AB993" i="79"/>
  <c r="AC993" i="79"/>
  <c r="AD993" i="79"/>
  <c r="AE993" i="79"/>
  <c r="AF993" i="79"/>
  <c r="AG993" i="79"/>
  <c r="AH993" i="79"/>
  <c r="AI993" i="79"/>
  <c r="AJ993" i="79"/>
  <c r="AK993" i="79"/>
  <c r="AL993" i="79"/>
  <c r="AM993" i="79"/>
  <c r="AN993" i="79"/>
  <c r="AO993" i="79"/>
  <c r="AP993" i="79"/>
  <c r="AQ993" i="79"/>
  <c r="AR993" i="79"/>
  <c r="AS993" i="79"/>
  <c r="AT993" i="79"/>
  <c r="AU993" i="79"/>
  <c r="AV993" i="79"/>
  <c r="AW993" i="79"/>
  <c r="AX993" i="79"/>
  <c r="AY993" i="79"/>
  <c r="AZ993" i="79"/>
  <c r="J994" i="79"/>
  <c r="K994" i="79"/>
  <c r="L994" i="79"/>
  <c r="M994" i="79"/>
  <c r="N994" i="79"/>
  <c r="O994" i="79"/>
  <c r="P994" i="79"/>
  <c r="Q994" i="79"/>
  <c r="R994" i="79"/>
  <c r="S994" i="79"/>
  <c r="T994" i="79"/>
  <c r="U994" i="79"/>
  <c r="V994" i="79"/>
  <c r="W994" i="79"/>
  <c r="X994" i="79"/>
  <c r="Y994" i="79"/>
  <c r="Z994" i="79"/>
  <c r="AA994" i="79"/>
  <c r="AB994" i="79"/>
  <c r="AC994" i="79"/>
  <c r="AD994" i="79"/>
  <c r="AE994" i="79"/>
  <c r="AF994" i="79"/>
  <c r="AG994" i="79"/>
  <c r="AH994" i="79"/>
  <c r="AI994" i="79"/>
  <c r="AJ994" i="79"/>
  <c r="AK994" i="79"/>
  <c r="AL994" i="79"/>
  <c r="AM994" i="79"/>
  <c r="AN994" i="79"/>
  <c r="AO994" i="79"/>
  <c r="AP994" i="79"/>
  <c r="AQ994" i="79"/>
  <c r="AR994" i="79"/>
  <c r="AS994" i="79"/>
  <c r="AT994" i="79"/>
  <c r="AU994" i="79"/>
  <c r="AV994" i="79"/>
  <c r="AW994" i="79"/>
  <c r="AX994" i="79"/>
  <c r="AY994" i="79"/>
  <c r="AZ994" i="79"/>
  <c r="J995" i="79"/>
  <c r="K995" i="79"/>
  <c r="L995" i="79"/>
  <c r="M995" i="79"/>
  <c r="N995" i="79"/>
  <c r="O995" i="79"/>
  <c r="P995" i="79"/>
  <c r="Q995" i="79"/>
  <c r="R995" i="79"/>
  <c r="S995" i="79"/>
  <c r="T995" i="79"/>
  <c r="U995" i="79"/>
  <c r="V995" i="79"/>
  <c r="W995" i="79"/>
  <c r="X995" i="79"/>
  <c r="Y995" i="79"/>
  <c r="Z995" i="79"/>
  <c r="AA995" i="79"/>
  <c r="AB995" i="79"/>
  <c r="AC995" i="79"/>
  <c r="AD995" i="79"/>
  <c r="AE995" i="79"/>
  <c r="AF995" i="79"/>
  <c r="AG995" i="79"/>
  <c r="AH995" i="79"/>
  <c r="AI995" i="79"/>
  <c r="AJ995" i="79"/>
  <c r="AK995" i="79"/>
  <c r="AL995" i="79"/>
  <c r="AM995" i="79"/>
  <c r="AN995" i="79"/>
  <c r="AO995" i="79"/>
  <c r="AP995" i="79"/>
  <c r="AQ995" i="79"/>
  <c r="AR995" i="79"/>
  <c r="AS995" i="79"/>
  <c r="AT995" i="79"/>
  <c r="AU995" i="79"/>
  <c r="AV995" i="79"/>
  <c r="AW995" i="79"/>
  <c r="AX995" i="79"/>
  <c r="AY995" i="79"/>
  <c r="AZ995" i="79"/>
  <c r="J996" i="79"/>
  <c r="K996" i="79"/>
  <c r="L996" i="79"/>
  <c r="M996" i="79"/>
  <c r="N996" i="79"/>
  <c r="O996" i="79"/>
  <c r="P996" i="79"/>
  <c r="Q996" i="79"/>
  <c r="R996" i="79"/>
  <c r="S996" i="79"/>
  <c r="T996" i="79"/>
  <c r="U996" i="79"/>
  <c r="V996" i="79"/>
  <c r="W996" i="79"/>
  <c r="X996" i="79"/>
  <c r="Y996" i="79"/>
  <c r="Z996" i="79"/>
  <c r="AA996" i="79"/>
  <c r="AB996" i="79"/>
  <c r="AC996" i="79"/>
  <c r="AD996" i="79"/>
  <c r="AE996" i="79"/>
  <c r="AF996" i="79"/>
  <c r="AG996" i="79"/>
  <c r="AH996" i="79"/>
  <c r="AI996" i="79"/>
  <c r="AJ996" i="79"/>
  <c r="AK996" i="79"/>
  <c r="AL996" i="79"/>
  <c r="AM996" i="79"/>
  <c r="AN996" i="79"/>
  <c r="AO996" i="79"/>
  <c r="AP996" i="79"/>
  <c r="AQ996" i="79"/>
  <c r="AR996" i="79"/>
  <c r="AS996" i="79"/>
  <c r="AT996" i="79"/>
  <c r="AU996" i="79"/>
  <c r="AV996" i="79"/>
  <c r="AW996" i="79"/>
  <c r="AX996" i="79"/>
  <c r="AY996" i="79"/>
  <c r="AZ996" i="79"/>
  <c r="J997" i="79"/>
  <c r="K997" i="79"/>
  <c r="L997" i="79"/>
  <c r="M997" i="79"/>
  <c r="N997" i="79"/>
  <c r="O997" i="79"/>
  <c r="P997" i="79"/>
  <c r="Q997" i="79"/>
  <c r="R997" i="79"/>
  <c r="S997" i="79"/>
  <c r="T997" i="79"/>
  <c r="U997" i="79"/>
  <c r="V997" i="79"/>
  <c r="W997" i="79"/>
  <c r="X997" i="79"/>
  <c r="Y997" i="79"/>
  <c r="Z997" i="79"/>
  <c r="AA997" i="79"/>
  <c r="AB997" i="79"/>
  <c r="AC997" i="79"/>
  <c r="AD997" i="79"/>
  <c r="AE997" i="79"/>
  <c r="AF997" i="79"/>
  <c r="AG997" i="79"/>
  <c r="AH997" i="79"/>
  <c r="AI997" i="79"/>
  <c r="AJ997" i="79"/>
  <c r="AK997" i="79"/>
  <c r="AL997" i="79"/>
  <c r="AM997" i="79"/>
  <c r="AN997" i="79"/>
  <c r="AO997" i="79"/>
  <c r="AP997" i="79"/>
  <c r="AQ997" i="79"/>
  <c r="AR997" i="79"/>
  <c r="AS997" i="79"/>
  <c r="AT997" i="79"/>
  <c r="AU997" i="79"/>
  <c r="AV997" i="79"/>
  <c r="AW997" i="79"/>
  <c r="AX997" i="79"/>
  <c r="AY997" i="79"/>
  <c r="AZ997" i="79"/>
  <c r="J998" i="79"/>
  <c r="K998" i="79"/>
  <c r="L998" i="79"/>
  <c r="M998" i="79"/>
  <c r="N998" i="79"/>
  <c r="O998" i="79"/>
  <c r="P998" i="79"/>
  <c r="Q998" i="79"/>
  <c r="R998" i="79"/>
  <c r="S998" i="79"/>
  <c r="T998" i="79"/>
  <c r="U998" i="79"/>
  <c r="V998" i="79"/>
  <c r="W998" i="79"/>
  <c r="X998" i="79"/>
  <c r="Y998" i="79"/>
  <c r="Z998" i="79"/>
  <c r="AA998" i="79"/>
  <c r="AB998" i="79"/>
  <c r="AC998" i="79"/>
  <c r="AD998" i="79"/>
  <c r="AE998" i="79"/>
  <c r="AF998" i="79"/>
  <c r="AG998" i="79"/>
  <c r="AH998" i="79"/>
  <c r="AI998" i="79"/>
  <c r="AJ998" i="79"/>
  <c r="AK998" i="79"/>
  <c r="AL998" i="79"/>
  <c r="AM998" i="79"/>
  <c r="AN998" i="79"/>
  <c r="AO998" i="79"/>
  <c r="AP998" i="79"/>
  <c r="AQ998" i="79"/>
  <c r="AR998" i="79"/>
  <c r="AS998" i="79"/>
  <c r="AT998" i="79"/>
  <c r="AU998" i="79"/>
  <c r="AV998" i="79"/>
  <c r="AW998" i="79"/>
  <c r="AX998" i="79"/>
  <c r="AY998" i="79"/>
  <c r="AZ998" i="79"/>
  <c r="BA955" i="79"/>
  <c r="BA956" i="79"/>
  <c r="BA957" i="79"/>
  <c r="BA958" i="79"/>
  <c r="BA959" i="79"/>
  <c r="BA960" i="79"/>
  <c r="BA961" i="79"/>
  <c r="BA962" i="79"/>
  <c r="BA963" i="79"/>
  <c r="BA964" i="79"/>
  <c r="BA965" i="79"/>
  <c r="BA966" i="79"/>
  <c r="BA967" i="79"/>
  <c r="BA968" i="79"/>
  <c r="BA969" i="79"/>
  <c r="BA970" i="79"/>
  <c r="BA971" i="79"/>
  <c r="BA972" i="79"/>
  <c r="BA973" i="79"/>
  <c r="BA974" i="79"/>
  <c r="BA975" i="79"/>
  <c r="BA976" i="79"/>
  <c r="BA977" i="79"/>
  <c r="BA978" i="79"/>
  <c r="BA979" i="79"/>
  <c r="BA980" i="79"/>
  <c r="BA981" i="79"/>
  <c r="BA982" i="79"/>
  <c r="BA983" i="79"/>
  <c r="BA984" i="79"/>
  <c r="BA985" i="79"/>
  <c r="BA986" i="79"/>
  <c r="BA987" i="79"/>
  <c r="BA988" i="79"/>
  <c r="BA989" i="79"/>
  <c r="BA990" i="79"/>
  <c r="BA991" i="79"/>
  <c r="BA992" i="79"/>
  <c r="BA993" i="79"/>
  <c r="BA994" i="79"/>
  <c r="BA995" i="79"/>
  <c r="BA996" i="79"/>
  <c r="BA997" i="79"/>
  <c r="F3" i="79"/>
  <c r="F4" i="79"/>
  <c r="F5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F33" i="79"/>
  <c r="F34" i="79"/>
  <c r="F35" i="79"/>
  <c r="F36" i="79"/>
  <c r="F37" i="79"/>
  <c r="F38" i="79"/>
  <c r="F39" i="79"/>
  <c r="F40" i="79"/>
  <c r="F41" i="79"/>
  <c r="F42" i="79"/>
  <c r="F43" i="79"/>
  <c r="F44" i="79"/>
  <c r="F45" i="79"/>
  <c r="F46" i="79"/>
  <c r="F47" i="79"/>
  <c r="F48" i="79"/>
  <c r="F49" i="79"/>
  <c r="F50" i="79"/>
  <c r="F51" i="79"/>
  <c r="F52" i="79"/>
  <c r="F53" i="79"/>
  <c r="F54" i="79"/>
  <c r="F55" i="79"/>
  <c r="F56" i="79"/>
  <c r="F57" i="79"/>
  <c r="F58" i="79"/>
  <c r="F59" i="79"/>
  <c r="F60" i="79"/>
  <c r="F61" i="79"/>
  <c r="F62" i="79"/>
  <c r="F63" i="79"/>
  <c r="F64" i="79"/>
  <c r="F65" i="79"/>
  <c r="F66" i="79"/>
  <c r="F67" i="79"/>
  <c r="F68" i="79"/>
  <c r="F69" i="79"/>
  <c r="F70" i="79"/>
  <c r="F71" i="79"/>
  <c r="F72" i="79"/>
  <c r="F73" i="79"/>
  <c r="F74" i="79"/>
  <c r="F75" i="79"/>
  <c r="F76" i="79"/>
  <c r="F77" i="79"/>
  <c r="F78" i="79"/>
  <c r="F79" i="79"/>
  <c r="F80" i="79"/>
  <c r="F81" i="79"/>
  <c r="F82" i="79"/>
  <c r="F83" i="79"/>
  <c r="F84" i="79"/>
  <c r="F85" i="79"/>
  <c r="F86" i="79"/>
  <c r="F87" i="79"/>
  <c r="F88" i="79"/>
  <c r="F89" i="79"/>
  <c r="F90" i="79"/>
  <c r="F91" i="79"/>
  <c r="F92" i="79"/>
  <c r="F93" i="79"/>
  <c r="F94" i="79"/>
  <c r="F95" i="79"/>
  <c r="F96" i="79"/>
  <c r="F97" i="79"/>
  <c r="F98" i="79"/>
  <c r="F99" i="79"/>
  <c r="F100" i="79"/>
  <c r="F101" i="79"/>
  <c r="F102" i="79"/>
  <c r="F103" i="79"/>
  <c r="F104" i="79"/>
  <c r="F105" i="79"/>
  <c r="F106" i="79"/>
  <c r="F107" i="79"/>
  <c r="F108" i="79"/>
  <c r="F109" i="79"/>
  <c r="F110" i="79"/>
  <c r="F111" i="79"/>
  <c r="F112" i="79"/>
  <c r="F113" i="79"/>
  <c r="F114" i="79"/>
  <c r="F115" i="79"/>
  <c r="F116" i="79"/>
  <c r="F117" i="79"/>
  <c r="F118" i="79"/>
  <c r="F119" i="79"/>
  <c r="F120" i="79"/>
  <c r="F121" i="79"/>
  <c r="F122" i="79"/>
  <c r="F123" i="79"/>
  <c r="F124" i="79"/>
  <c r="F125" i="79"/>
  <c r="F126" i="79"/>
  <c r="F127" i="79"/>
  <c r="F128" i="79"/>
  <c r="F129" i="79"/>
  <c r="F130" i="79"/>
  <c r="F131" i="79"/>
  <c r="F132" i="79"/>
  <c r="F133" i="79"/>
  <c r="F134" i="79"/>
  <c r="F135" i="79"/>
  <c r="F136" i="79"/>
  <c r="F137" i="79"/>
  <c r="F138" i="79"/>
  <c r="F139" i="79"/>
  <c r="F140" i="79"/>
  <c r="F141" i="79"/>
  <c r="F142" i="79"/>
  <c r="F143" i="79"/>
  <c r="F144" i="79"/>
  <c r="F145" i="79"/>
  <c r="F146" i="79"/>
  <c r="F147" i="79"/>
  <c r="F148" i="79"/>
  <c r="F149" i="79"/>
  <c r="F150" i="79"/>
  <c r="F151" i="79"/>
  <c r="F152" i="79"/>
  <c r="F153" i="79"/>
  <c r="F154" i="79"/>
  <c r="F155" i="79"/>
  <c r="F156" i="79"/>
  <c r="F157" i="79"/>
  <c r="F158" i="79"/>
  <c r="F159" i="79"/>
  <c r="F160" i="79"/>
  <c r="F161" i="79"/>
  <c r="F162" i="79"/>
  <c r="F163" i="79"/>
  <c r="F164" i="79"/>
  <c r="F165" i="79"/>
  <c r="F166" i="79"/>
  <c r="F167" i="79"/>
  <c r="F168" i="79"/>
  <c r="F169" i="79"/>
  <c r="F170" i="79"/>
  <c r="F171" i="79"/>
  <c r="F172" i="79"/>
  <c r="F173" i="79"/>
  <c r="F174" i="79"/>
  <c r="F175" i="79"/>
  <c r="F176" i="79"/>
  <c r="F177" i="79"/>
  <c r="F178" i="79"/>
  <c r="F179" i="79"/>
  <c r="F180" i="79"/>
  <c r="F181" i="79"/>
  <c r="F182" i="79"/>
  <c r="F183" i="79"/>
  <c r="F184" i="79"/>
  <c r="F185" i="79"/>
  <c r="F186" i="79"/>
  <c r="F187" i="79"/>
  <c r="F188" i="79"/>
  <c r="F189" i="79"/>
  <c r="F190" i="79"/>
  <c r="F191" i="79"/>
  <c r="F192" i="79"/>
  <c r="F193" i="79"/>
  <c r="F194" i="79"/>
  <c r="F195" i="79"/>
  <c r="F196" i="79"/>
  <c r="F197" i="79"/>
  <c r="F198" i="79"/>
  <c r="F199" i="79"/>
  <c r="F200" i="79"/>
  <c r="F201" i="79"/>
  <c r="F202" i="79"/>
  <c r="F203" i="79"/>
  <c r="F204" i="79"/>
  <c r="F205" i="79"/>
  <c r="F206" i="79"/>
  <c r="F207" i="79"/>
  <c r="F208" i="79"/>
  <c r="F209" i="79"/>
  <c r="F210" i="79"/>
  <c r="F211" i="79"/>
  <c r="F212" i="79"/>
  <c r="F213" i="79"/>
  <c r="F214" i="79"/>
  <c r="F215" i="79"/>
  <c r="F216" i="79"/>
  <c r="F217" i="79"/>
  <c r="F218" i="79"/>
  <c r="F219" i="79"/>
  <c r="F220" i="79"/>
  <c r="F221" i="79"/>
  <c r="F222" i="79"/>
  <c r="F223" i="79"/>
  <c r="F224" i="79"/>
  <c r="F225" i="79"/>
  <c r="F226" i="79"/>
  <c r="F227" i="79"/>
  <c r="F228" i="79"/>
  <c r="F229" i="79"/>
  <c r="F230" i="79"/>
  <c r="F231" i="79"/>
  <c r="F232" i="79"/>
  <c r="F233" i="79"/>
  <c r="F234" i="79"/>
  <c r="F235" i="79"/>
  <c r="F236" i="79"/>
  <c r="F237" i="79"/>
  <c r="F238" i="79"/>
  <c r="F239" i="79"/>
  <c r="F240" i="79"/>
  <c r="F241" i="79"/>
  <c r="F242" i="79"/>
  <c r="F243" i="79"/>
  <c r="F244" i="79"/>
  <c r="F245" i="79"/>
  <c r="F246" i="79"/>
  <c r="F247" i="79"/>
  <c r="F248" i="79"/>
  <c r="F249" i="79"/>
  <c r="F250" i="79"/>
  <c r="F251" i="79"/>
  <c r="F252" i="79"/>
  <c r="F253" i="79"/>
  <c r="F254" i="79"/>
  <c r="F255" i="79"/>
  <c r="F256" i="79"/>
  <c r="F257" i="79"/>
  <c r="F258" i="79"/>
  <c r="F259" i="79"/>
  <c r="F260" i="79"/>
  <c r="F261" i="79"/>
  <c r="F262" i="79"/>
  <c r="F263" i="79"/>
  <c r="F264" i="79"/>
  <c r="F265" i="79"/>
  <c r="F266" i="79"/>
  <c r="F267" i="79"/>
  <c r="F268" i="79"/>
  <c r="F269" i="79"/>
  <c r="F270" i="79"/>
  <c r="F271" i="79"/>
  <c r="F272" i="79"/>
  <c r="F273" i="79"/>
  <c r="F274" i="79"/>
  <c r="F275" i="79"/>
  <c r="F276" i="79"/>
  <c r="F277" i="79"/>
  <c r="F278" i="79"/>
  <c r="F279" i="79"/>
  <c r="F280" i="79"/>
  <c r="F281" i="79"/>
  <c r="F282" i="79"/>
  <c r="F283" i="79"/>
  <c r="F284" i="79"/>
  <c r="F285" i="79"/>
  <c r="F286" i="79"/>
  <c r="F287" i="79"/>
  <c r="F288" i="79"/>
  <c r="F289" i="79"/>
  <c r="F290" i="79"/>
  <c r="F291" i="79"/>
  <c r="F292" i="79"/>
  <c r="F293" i="79"/>
  <c r="F294" i="79"/>
  <c r="F295" i="79"/>
  <c r="F296" i="79"/>
  <c r="F297" i="79"/>
  <c r="F298" i="79"/>
  <c r="F299" i="79"/>
  <c r="F300" i="79"/>
  <c r="F301" i="79"/>
  <c r="F302" i="79"/>
  <c r="F303" i="79"/>
  <c r="F304" i="79"/>
  <c r="F305" i="79"/>
  <c r="F306" i="79"/>
  <c r="F307" i="79"/>
  <c r="F308" i="79"/>
  <c r="F309" i="79"/>
  <c r="F310" i="79"/>
  <c r="F311" i="79"/>
  <c r="F312" i="79"/>
  <c r="F313" i="79"/>
  <c r="F314" i="79"/>
  <c r="F315" i="79"/>
  <c r="F316" i="79"/>
  <c r="F317" i="79"/>
  <c r="F318" i="79"/>
  <c r="F319" i="79"/>
  <c r="F320" i="79"/>
  <c r="F321" i="79"/>
  <c r="F322" i="79"/>
  <c r="F323" i="79"/>
  <c r="F324" i="79"/>
  <c r="F325" i="79"/>
  <c r="F326" i="79"/>
  <c r="F327" i="79"/>
  <c r="F328" i="79"/>
  <c r="F329" i="79"/>
  <c r="F330" i="79"/>
  <c r="F331" i="79"/>
  <c r="F332" i="79"/>
  <c r="F333" i="79"/>
  <c r="F334" i="79"/>
  <c r="F335" i="79"/>
  <c r="F336" i="79"/>
  <c r="F337" i="79"/>
  <c r="F338" i="79"/>
  <c r="F339" i="79"/>
  <c r="F340" i="79"/>
  <c r="F341" i="79"/>
  <c r="F342" i="79"/>
  <c r="F343" i="79"/>
  <c r="F344" i="79"/>
  <c r="F345" i="79"/>
  <c r="F346" i="79"/>
  <c r="F347" i="79"/>
  <c r="F348" i="79"/>
  <c r="F349" i="79"/>
  <c r="F350" i="79"/>
  <c r="F351" i="79"/>
  <c r="F352" i="79"/>
  <c r="F353" i="79"/>
  <c r="F354" i="79"/>
  <c r="F355" i="79"/>
  <c r="F356" i="79"/>
  <c r="F357" i="79"/>
  <c r="F358" i="79"/>
  <c r="F359" i="79"/>
  <c r="F360" i="79"/>
  <c r="F361" i="79"/>
  <c r="F362" i="79"/>
  <c r="F363" i="79"/>
  <c r="F364" i="79"/>
  <c r="F365" i="79"/>
  <c r="F366" i="79"/>
  <c r="F367" i="79"/>
  <c r="F368" i="79"/>
  <c r="F369" i="79"/>
  <c r="F370" i="79"/>
  <c r="F371" i="79"/>
  <c r="F372" i="79"/>
  <c r="F373" i="79"/>
  <c r="F374" i="79"/>
  <c r="F375" i="79"/>
  <c r="F376" i="79"/>
  <c r="F377" i="79"/>
  <c r="F378" i="79"/>
  <c r="F379" i="79"/>
  <c r="F380" i="79"/>
  <c r="F381" i="79"/>
  <c r="F382" i="79"/>
  <c r="F383" i="79"/>
  <c r="F384" i="79"/>
  <c r="F385" i="79"/>
  <c r="F386" i="79"/>
  <c r="F387" i="79"/>
  <c r="F388" i="79"/>
  <c r="F389" i="79"/>
  <c r="F390" i="79"/>
  <c r="F391" i="79"/>
  <c r="F392" i="79"/>
  <c r="F393" i="79"/>
  <c r="F394" i="79"/>
  <c r="F395" i="79"/>
  <c r="F396" i="79"/>
  <c r="F397" i="79"/>
  <c r="F398" i="79"/>
  <c r="F399" i="79"/>
  <c r="F400" i="79"/>
  <c r="F401" i="79"/>
  <c r="F402" i="79"/>
  <c r="F403" i="79"/>
  <c r="F404" i="79"/>
  <c r="F405" i="79"/>
  <c r="F406" i="79"/>
  <c r="F407" i="79"/>
  <c r="F408" i="79"/>
  <c r="F409" i="79"/>
  <c r="F410" i="79"/>
  <c r="F411" i="79"/>
  <c r="F412" i="79"/>
  <c r="F413" i="79"/>
  <c r="F414" i="79"/>
  <c r="F415" i="79"/>
  <c r="F416" i="79"/>
  <c r="F417" i="79"/>
  <c r="F418" i="79"/>
  <c r="F419" i="79"/>
  <c r="F420" i="79"/>
  <c r="F421" i="79"/>
  <c r="F422" i="79"/>
  <c r="F423" i="79"/>
  <c r="F424" i="79"/>
  <c r="F425" i="79"/>
  <c r="F426" i="79"/>
  <c r="F427" i="79"/>
  <c r="F428" i="79"/>
  <c r="F429" i="79"/>
  <c r="F430" i="79"/>
  <c r="F431" i="79"/>
  <c r="F432" i="79"/>
  <c r="F433" i="79"/>
  <c r="F434" i="79"/>
  <c r="F435" i="79"/>
  <c r="F436" i="79"/>
  <c r="F437" i="79"/>
  <c r="F438" i="79"/>
  <c r="F439" i="79"/>
  <c r="F440" i="79"/>
  <c r="F441" i="79"/>
  <c r="F442" i="79"/>
  <c r="F443" i="79"/>
  <c r="F444" i="79"/>
  <c r="F445" i="79"/>
  <c r="F446" i="79"/>
  <c r="F447" i="79"/>
  <c r="F448" i="79"/>
  <c r="F449" i="79"/>
  <c r="F450" i="79"/>
  <c r="F451" i="79"/>
  <c r="F452" i="79"/>
  <c r="F453" i="79"/>
  <c r="F454" i="79"/>
  <c r="F455" i="79"/>
  <c r="F456" i="79"/>
  <c r="F457" i="79"/>
  <c r="F458" i="79"/>
  <c r="F459" i="79"/>
  <c r="F460" i="79"/>
  <c r="F461" i="79"/>
  <c r="F462" i="79"/>
  <c r="F463" i="79"/>
  <c r="F464" i="79"/>
  <c r="F465" i="79"/>
  <c r="F466" i="79"/>
  <c r="F467" i="79"/>
  <c r="F468" i="79"/>
  <c r="F469" i="79"/>
  <c r="F470" i="79"/>
  <c r="F471" i="79"/>
  <c r="F472" i="79"/>
  <c r="F473" i="79"/>
  <c r="F474" i="79"/>
  <c r="F475" i="79"/>
  <c r="F476" i="79"/>
  <c r="F477" i="79"/>
  <c r="F478" i="79"/>
  <c r="F479" i="79"/>
  <c r="F480" i="79"/>
  <c r="F481" i="79"/>
  <c r="F482" i="79"/>
  <c r="F483" i="79"/>
  <c r="F484" i="79"/>
  <c r="F485" i="79"/>
  <c r="F486" i="79"/>
  <c r="F487" i="79"/>
  <c r="F488" i="79"/>
  <c r="F489" i="79"/>
  <c r="F490" i="79"/>
  <c r="F491" i="79"/>
  <c r="F492" i="79"/>
  <c r="F493" i="79"/>
  <c r="F494" i="79"/>
  <c r="F495" i="79"/>
  <c r="F496" i="79"/>
  <c r="F497" i="79"/>
  <c r="F498" i="79"/>
  <c r="F499" i="79"/>
  <c r="F500" i="79"/>
  <c r="F501" i="79"/>
  <c r="F502" i="79"/>
  <c r="F503" i="79"/>
  <c r="F504" i="79"/>
  <c r="F505" i="79"/>
  <c r="F506" i="79"/>
  <c r="F507" i="79"/>
  <c r="F508" i="79"/>
  <c r="F509" i="79"/>
  <c r="F510" i="79"/>
  <c r="F511" i="79"/>
  <c r="F512" i="79"/>
  <c r="F513" i="79"/>
  <c r="F514" i="79"/>
  <c r="F515" i="79"/>
  <c r="F516" i="79"/>
  <c r="F517" i="79"/>
  <c r="F518" i="79"/>
  <c r="F519" i="79"/>
  <c r="F520" i="79"/>
  <c r="F521" i="79"/>
  <c r="F522" i="79"/>
  <c r="F523" i="79"/>
  <c r="F524" i="79"/>
  <c r="F525" i="79"/>
  <c r="F526" i="79"/>
  <c r="F527" i="79"/>
  <c r="F528" i="79"/>
  <c r="F529" i="79"/>
  <c r="F530" i="79"/>
  <c r="F531" i="79"/>
  <c r="F532" i="79"/>
  <c r="F533" i="79"/>
  <c r="F534" i="79"/>
  <c r="F535" i="79"/>
  <c r="F536" i="79"/>
  <c r="F537" i="79"/>
  <c r="F538" i="79"/>
  <c r="F539" i="79"/>
  <c r="F540" i="79"/>
  <c r="F541" i="79"/>
  <c r="F542" i="79"/>
  <c r="F543" i="79"/>
  <c r="F544" i="79"/>
  <c r="F545" i="79"/>
  <c r="F546" i="79"/>
  <c r="F547" i="79"/>
  <c r="F548" i="79"/>
  <c r="F549" i="79"/>
  <c r="F550" i="79"/>
  <c r="F551" i="79"/>
  <c r="F552" i="79"/>
  <c r="F553" i="79"/>
  <c r="F554" i="79"/>
  <c r="F555" i="79"/>
  <c r="F556" i="79"/>
  <c r="F557" i="79"/>
  <c r="F558" i="79"/>
  <c r="F559" i="79"/>
  <c r="F560" i="79"/>
  <c r="F561" i="79"/>
  <c r="F562" i="79"/>
  <c r="F563" i="79"/>
  <c r="F564" i="79"/>
  <c r="F565" i="79"/>
  <c r="F566" i="79"/>
  <c r="F567" i="79"/>
  <c r="F568" i="79"/>
  <c r="F569" i="79"/>
  <c r="F570" i="79"/>
  <c r="F571" i="79"/>
  <c r="F572" i="79"/>
  <c r="F573" i="79"/>
  <c r="F574" i="79"/>
  <c r="F575" i="79"/>
  <c r="F576" i="79"/>
  <c r="F577" i="79"/>
  <c r="F578" i="79"/>
  <c r="F579" i="79"/>
  <c r="F580" i="79"/>
  <c r="F581" i="79"/>
  <c r="F582" i="79"/>
  <c r="F583" i="79"/>
  <c r="F584" i="79"/>
  <c r="F585" i="79"/>
  <c r="F586" i="79"/>
  <c r="F587" i="79"/>
  <c r="F588" i="79"/>
  <c r="F589" i="79"/>
  <c r="F590" i="79"/>
  <c r="F591" i="79"/>
  <c r="F592" i="79"/>
  <c r="F593" i="79"/>
  <c r="F594" i="79"/>
  <c r="F595" i="79"/>
  <c r="F596" i="79"/>
  <c r="F597" i="79"/>
  <c r="F598" i="79"/>
  <c r="F599" i="79"/>
  <c r="F600" i="79"/>
  <c r="F601" i="79"/>
  <c r="F602" i="79"/>
  <c r="F603" i="79"/>
  <c r="F604" i="79"/>
  <c r="F605" i="79"/>
  <c r="F606" i="79"/>
  <c r="F607" i="79"/>
  <c r="F608" i="79"/>
  <c r="F609" i="79"/>
  <c r="F610" i="79"/>
  <c r="F611" i="79"/>
  <c r="F612" i="79"/>
  <c r="F613" i="79"/>
  <c r="F614" i="79"/>
  <c r="F615" i="79"/>
  <c r="F616" i="79"/>
  <c r="F617" i="79"/>
  <c r="F618" i="79"/>
  <c r="F619" i="79"/>
  <c r="F620" i="79"/>
  <c r="F621" i="79"/>
  <c r="F622" i="79"/>
  <c r="F623" i="79"/>
  <c r="F624" i="79"/>
  <c r="F625" i="79"/>
  <c r="F626" i="79"/>
  <c r="F627" i="79"/>
  <c r="F628" i="79"/>
  <c r="F629" i="79"/>
  <c r="F630" i="79"/>
  <c r="F631" i="79"/>
  <c r="F632" i="79"/>
  <c r="F633" i="79"/>
  <c r="F634" i="79"/>
  <c r="F635" i="79"/>
  <c r="F636" i="79"/>
  <c r="F637" i="79"/>
  <c r="F638" i="79"/>
  <c r="F639" i="79"/>
  <c r="F640" i="79"/>
  <c r="F641" i="79"/>
  <c r="F642" i="79"/>
  <c r="F643" i="79"/>
  <c r="F644" i="79"/>
  <c r="F645" i="79"/>
  <c r="F646" i="79"/>
  <c r="F647" i="79"/>
  <c r="F648" i="79"/>
  <c r="F649" i="79"/>
  <c r="F650" i="79"/>
  <c r="F651" i="79"/>
  <c r="F652" i="79"/>
  <c r="F653" i="79"/>
  <c r="F654" i="79"/>
  <c r="F655" i="79"/>
  <c r="F656" i="79"/>
  <c r="F657" i="79"/>
  <c r="F658" i="79"/>
  <c r="F659" i="79"/>
  <c r="F660" i="79"/>
  <c r="F661" i="79"/>
  <c r="F662" i="79"/>
  <c r="F663" i="79"/>
  <c r="F664" i="79"/>
  <c r="F665" i="79"/>
  <c r="F666" i="79"/>
  <c r="F667" i="79"/>
  <c r="F668" i="79"/>
  <c r="F669" i="79"/>
  <c r="F670" i="79"/>
  <c r="F671" i="79"/>
  <c r="F672" i="79"/>
  <c r="F673" i="79"/>
  <c r="F674" i="79"/>
  <c r="F675" i="79"/>
  <c r="F676" i="79"/>
  <c r="F677" i="79"/>
  <c r="F678" i="79"/>
  <c r="F679" i="79"/>
  <c r="F680" i="79"/>
  <c r="F681" i="79"/>
  <c r="F682" i="79"/>
  <c r="F683" i="79"/>
  <c r="F684" i="79"/>
  <c r="F685" i="79"/>
  <c r="F686" i="79"/>
  <c r="F687" i="79"/>
  <c r="F688" i="79"/>
  <c r="F689" i="79"/>
  <c r="F690" i="79"/>
  <c r="F691" i="79"/>
  <c r="F692" i="79"/>
  <c r="F693" i="79"/>
  <c r="F694" i="79"/>
  <c r="F695" i="79"/>
  <c r="F696" i="79"/>
  <c r="F697" i="79"/>
  <c r="F698" i="79"/>
  <c r="F699" i="79"/>
  <c r="F700" i="79"/>
  <c r="F701" i="79"/>
  <c r="F702" i="79"/>
  <c r="F703" i="79"/>
  <c r="F704" i="79"/>
  <c r="F705" i="79"/>
  <c r="F706" i="79"/>
  <c r="F707" i="79"/>
  <c r="F708" i="79"/>
  <c r="F709" i="79"/>
  <c r="F710" i="79"/>
  <c r="F711" i="79"/>
  <c r="F712" i="79"/>
  <c r="F713" i="79"/>
  <c r="F714" i="79"/>
  <c r="F715" i="79"/>
  <c r="F716" i="79"/>
  <c r="F717" i="79"/>
  <c r="F718" i="79"/>
  <c r="F719" i="79"/>
  <c r="F720" i="79"/>
  <c r="F721" i="79"/>
  <c r="F722" i="79"/>
  <c r="F723" i="79"/>
  <c r="F724" i="79"/>
  <c r="F725" i="79"/>
  <c r="F726" i="79"/>
  <c r="F727" i="79"/>
  <c r="F728" i="79"/>
  <c r="F729" i="79"/>
  <c r="F730" i="79"/>
  <c r="F731" i="79"/>
  <c r="F732" i="79"/>
  <c r="F733" i="79"/>
  <c r="F734" i="79"/>
  <c r="F735" i="79"/>
  <c r="F736" i="79"/>
  <c r="F737" i="79"/>
  <c r="F738" i="79"/>
  <c r="F739" i="79"/>
  <c r="F740" i="79"/>
  <c r="F741" i="79"/>
  <c r="F742" i="79"/>
  <c r="F743" i="79"/>
  <c r="F744" i="79"/>
  <c r="F745" i="79"/>
  <c r="F746" i="79"/>
  <c r="F747" i="79"/>
  <c r="F748" i="79"/>
  <c r="F749" i="79"/>
  <c r="F750" i="79"/>
  <c r="F751" i="79"/>
  <c r="F752" i="79"/>
  <c r="F753" i="79"/>
  <c r="F754" i="79"/>
  <c r="F755" i="79"/>
  <c r="F756" i="79"/>
  <c r="F757" i="79"/>
  <c r="F758" i="79"/>
  <c r="F759" i="79"/>
  <c r="F760" i="79"/>
  <c r="F761" i="79"/>
  <c r="F762" i="79"/>
  <c r="F763" i="79"/>
  <c r="F764" i="79"/>
  <c r="F765" i="79"/>
  <c r="F766" i="79"/>
  <c r="F767" i="79"/>
  <c r="F768" i="79"/>
  <c r="F769" i="79"/>
  <c r="F770" i="79"/>
  <c r="F771" i="79"/>
  <c r="F772" i="79"/>
  <c r="F773" i="79"/>
  <c r="F774" i="79"/>
  <c r="F775" i="79"/>
  <c r="F776" i="79"/>
  <c r="F777" i="79"/>
  <c r="F778" i="79"/>
  <c r="F779" i="79"/>
  <c r="F780" i="79"/>
  <c r="F781" i="79"/>
  <c r="F782" i="79"/>
  <c r="F783" i="79"/>
  <c r="F784" i="79"/>
  <c r="F785" i="79"/>
  <c r="F786" i="79"/>
  <c r="F787" i="79"/>
  <c r="F788" i="79"/>
  <c r="F789" i="79"/>
  <c r="F790" i="79"/>
  <c r="F791" i="79"/>
  <c r="F792" i="79"/>
  <c r="F793" i="79"/>
  <c r="F794" i="79"/>
  <c r="F795" i="79"/>
  <c r="F796" i="79"/>
  <c r="F797" i="79"/>
  <c r="F798" i="79"/>
  <c r="F799" i="79"/>
  <c r="F800" i="79"/>
  <c r="F801" i="79"/>
  <c r="F802" i="79"/>
  <c r="F803" i="79"/>
  <c r="F804" i="79"/>
  <c r="F805" i="79"/>
  <c r="F806" i="79"/>
  <c r="F807" i="79"/>
  <c r="F808" i="79"/>
  <c r="F809" i="79"/>
  <c r="F810" i="79"/>
  <c r="F811" i="79"/>
  <c r="F812" i="79"/>
  <c r="F813" i="79"/>
  <c r="F814" i="79"/>
  <c r="F815" i="79"/>
  <c r="F816" i="79"/>
  <c r="F817" i="79"/>
  <c r="F818" i="79"/>
  <c r="F819" i="79"/>
  <c r="F820" i="79"/>
  <c r="F821" i="79"/>
  <c r="F822" i="79"/>
  <c r="F823" i="79"/>
  <c r="F824" i="79"/>
  <c r="F825" i="79"/>
  <c r="F826" i="79"/>
  <c r="F827" i="79"/>
  <c r="F828" i="79"/>
  <c r="F829" i="79"/>
  <c r="F830" i="79"/>
  <c r="F831" i="79"/>
  <c r="F832" i="79"/>
  <c r="F833" i="79"/>
  <c r="F834" i="79"/>
  <c r="F835" i="79"/>
  <c r="F836" i="79"/>
  <c r="F837" i="79"/>
  <c r="F838" i="79"/>
  <c r="F839" i="79"/>
  <c r="F840" i="79"/>
  <c r="F841" i="79"/>
  <c r="F842" i="79"/>
  <c r="F843" i="79"/>
  <c r="F844" i="79"/>
  <c r="F845" i="79"/>
  <c r="F846" i="79"/>
  <c r="F847" i="79"/>
  <c r="F848" i="79"/>
  <c r="F849" i="79"/>
  <c r="F850" i="79"/>
  <c r="F851" i="79"/>
  <c r="F852" i="79"/>
  <c r="F853" i="79"/>
  <c r="F854" i="79"/>
  <c r="F855" i="79"/>
  <c r="F856" i="79"/>
  <c r="F857" i="79"/>
  <c r="F858" i="79"/>
  <c r="F859" i="79"/>
  <c r="F860" i="79"/>
  <c r="F861" i="79"/>
  <c r="F862" i="79"/>
  <c r="F863" i="79"/>
  <c r="F864" i="79"/>
  <c r="F865" i="79"/>
  <c r="F866" i="79"/>
  <c r="F867" i="79"/>
  <c r="F868" i="79"/>
  <c r="F869" i="79"/>
  <c r="F870" i="79"/>
  <c r="F871" i="79"/>
  <c r="F872" i="79"/>
  <c r="F873" i="79"/>
  <c r="F874" i="79"/>
  <c r="F875" i="79"/>
  <c r="F876" i="79"/>
  <c r="F877" i="79"/>
  <c r="F878" i="79"/>
  <c r="F879" i="79"/>
  <c r="F880" i="79"/>
  <c r="F881" i="79"/>
  <c r="F882" i="79"/>
  <c r="F883" i="79"/>
  <c r="F884" i="79"/>
  <c r="F885" i="79"/>
  <c r="F886" i="79"/>
  <c r="F887" i="79"/>
  <c r="F888" i="79"/>
  <c r="F889" i="79"/>
  <c r="F890" i="79"/>
  <c r="F891" i="79"/>
  <c r="F892" i="79"/>
  <c r="F893" i="79"/>
  <c r="F894" i="79"/>
  <c r="F895" i="79"/>
  <c r="F896" i="79"/>
  <c r="F897" i="79"/>
  <c r="F898" i="79"/>
  <c r="F899" i="79"/>
  <c r="F900" i="79"/>
  <c r="F901" i="79"/>
  <c r="F902" i="79"/>
  <c r="F903" i="79"/>
  <c r="F904" i="79"/>
  <c r="F905" i="79"/>
  <c r="F906" i="79"/>
  <c r="F907" i="79"/>
  <c r="F908" i="79"/>
  <c r="F909" i="79"/>
  <c r="F910" i="79"/>
  <c r="F911" i="79"/>
  <c r="F912" i="79"/>
  <c r="F913" i="79"/>
  <c r="F914" i="79"/>
  <c r="F915" i="79"/>
  <c r="F916" i="79"/>
  <c r="F917" i="79"/>
  <c r="F918" i="79"/>
  <c r="F919" i="79"/>
  <c r="F920" i="79"/>
  <c r="F921" i="79"/>
  <c r="F922" i="79"/>
  <c r="F923" i="79"/>
  <c r="F924" i="79"/>
  <c r="F925" i="79"/>
  <c r="F926" i="79"/>
  <c r="F927" i="79"/>
  <c r="F928" i="79"/>
  <c r="F929" i="79"/>
  <c r="F930" i="79"/>
  <c r="F931" i="79"/>
  <c r="F932" i="79"/>
  <c r="F933" i="79"/>
  <c r="F934" i="79"/>
  <c r="F935" i="79"/>
  <c r="F936" i="79"/>
  <c r="F937" i="79"/>
  <c r="F938" i="79"/>
  <c r="F939" i="79"/>
  <c r="F2" i="79"/>
  <c r="E55" i="79"/>
  <c r="E56" i="79"/>
  <c r="E57" i="79"/>
  <c r="E58" i="79"/>
  <c r="E59" i="79"/>
  <c r="E60" i="79"/>
  <c r="E61" i="79"/>
  <c r="E62" i="79"/>
  <c r="E63" i="79"/>
  <c r="E64" i="79"/>
  <c r="E65" i="79"/>
  <c r="E66" i="79"/>
  <c r="E67" i="79"/>
  <c r="E68" i="79"/>
  <c r="E69" i="79"/>
  <c r="E70" i="79"/>
  <c r="E71" i="79"/>
  <c r="E72" i="79"/>
  <c r="E73" i="79"/>
  <c r="E74" i="79"/>
  <c r="E75" i="79"/>
  <c r="E76" i="79"/>
  <c r="E77" i="79"/>
  <c r="E78" i="79"/>
  <c r="E79" i="79"/>
  <c r="E80" i="79"/>
  <c r="E81" i="79"/>
  <c r="E82" i="79"/>
  <c r="E83" i="79"/>
  <c r="E84" i="79"/>
  <c r="E85" i="79"/>
  <c r="E86" i="79"/>
  <c r="E87" i="79"/>
  <c r="E88" i="79"/>
  <c r="E89" i="79"/>
  <c r="E90" i="79"/>
  <c r="E91" i="79"/>
  <c r="E92" i="79"/>
  <c r="E93" i="79"/>
  <c r="E94" i="79"/>
  <c r="E95" i="79"/>
  <c r="E96" i="79"/>
  <c r="E97" i="79"/>
  <c r="E98" i="79"/>
  <c r="E99" i="79"/>
  <c r="E100" i="79"/>
  <c r="E101" i="79"/>
  <c r="E102" i="79"/>
  <c r="E103" i="79"/>
  <c r="E104" i="79"/>
  <c r="E105" i="79"/>
  <c r="E106" i="79"/>
  <c r="E107" i="79"/>
  <c r="E108" i="79"/>
  <c r="E109" i="79"/>
  <c r="E110" i="79"/>
  <c r="E111" i="79"/>
  <c r="E112" i="79"/>
  <c r="E113" i="79"/>
  <c r="E114" i="79"/>
  <c r="E115" i="79"/>
  <c r="E116" i="79"/>
  <c r="E117" i="79"/>
  <c r="E118" i="79"/>
  <c r="E119" i="79"/>
  <c r="E120" i="79"/>
  <c r="E121" i="79"/>
  <c r="E122" i="79"/>
  <c r="E123" i="79"/>
  <c r="E124" i="79"/>
  <c r="E125" i="79"/>
  <c r="E126" i="79"/>
  <c r="E127" i="79"/>
  <c r="E128" i="79"/>
  <c r="E129" i="79"/>
  <c r="E130" i="79"/>
  <c r="E131" i="79"/>
  <c r="E132" i="79"/>
  <c r="E133" i="79"/>
  <c r="E134" i="79"/>
  <c r="E135" i="79"/>
  <c r="E136" i="79"/>
  <c r="E137" i="79"/>
  <c r="E138" i="79"/>
  <c r="E139" i="79"/>
  <c r="E140" i="79"/>
  <c r="E141" i="79"/>
  <c r="E142" i="79"/>
  <c r="E143" i="79"/>
  <c r="E144" i="79"/>
  <c r="E145" i="79"/>
  <c r="E146" i="79"/>
  <c r="E147" i="79"/>
  <c r="E148" i="79"/>
  <c r="E149" i="79"/>
  <c r="E150" i="79"/>
  <c r="E151" i="79"/>
  <c r="E152" i="79"/>
  <c r="E153" i="79"/>
  <c r="E154" i="79"/>
  <c r="E155" i="79"/>
  <c r="E156" i="79"/>
  <c r="E157" i="79"/>
  <c r="E158" i="79"/>
  <c r="E159" i="79"/>
  <c r="E160" i="79"/>
  <c r="E161" i="79"/>
  <c r="E162" i="79"/>
  <c r="E163" i="79"/>
  <c r="E164" i="79"/>
  <c r="E165" i="79"/>
  <c r="E166" i="79"/>
  <c r="E167" i="79"/>
  <c r="E168" i="79"/>
  <c r="E169" i="79"/>
  <c r="E170" i="79"/>
  <c r="E171" i="79"/>
  <c r="E172" i="79"/>
  <c r="E173" i="79"/>
  <c r="E174" i="79"/>
  <c r="E175" i="79"/>
  <c r="E176" i="79"/>
  <c r="E177" i="79"/>
  <c r="E178" i="79"/>
  <c r="E179" i="79"/>
  <c r="E180" i="79"/>
  <c r="E181" i="79"/>
  <c r="E182" i="79"/>
  <c r="E183" i="79"/>
  <c r="E184" i="79"/>
  <c r="E185" i="79"/>
  <c r="E186" i="79"/>
  <c r="E187" i="79"/>
  <c r="E188" i="79"/>
  <c r="E189" i="79"/>
  <c r="E190" i="79"/>
  <c r="E191" i="79"/>
  <c r="E192" i="79"/>
  <c r="E193" i="79"/>
  <c r="E194" i="79"/>
  <c r="E195" i="79"/>
  <c r="E196" i="79"/>
  <c r="E197" i="79"/>
  <c r="E198" i="79"/>
  <c r="E199" i="79"/>
  <c r="E200" i="79"/>
  <c r="E201" i="79"/>
  <c r="E202" i="79"/>
  <c r="E203" i="79"/>
  <c r="E204" i="79"/>
  <c r="E205" i="79"/>
  <c r="E206" i="79"/>
  <c r="E207" i="79"/>
  <c r="E208" i="79"/>
  <c r="E209" i="79"/>
  <c r="E210" i="79"/>
  <c r="E211" i="79"/>
  <c r="E212" i="79"/>
  <c r="E213" i="79"/>
  <c r="E214" i="79"/>
  <c r="E215" i="79"/>
  <c r="E216" i="79"/>
  <c r="E217" i="79"/>
  <c r="E218" i="79"/>
  <c r="E219" i="79"/>
  <c r="E220" i="79"/>
  <c r="E221" i="79"/>
  <c r="E222" i="79"/>
  <c r="E223" i="79"/>
  <c r="E224" i="79"/>
  <c r="E225" i="79"/>
  <c r="E226" i="79"/>
  <c r="E227" i="79"/>
  <c r="E228" i="79"/>
  <c r="E229" i="79"/>
  <c r="E230" i="79"/>
  <c r="E231" i="79"/>
  <c r="E232" i="79"/>
  <c r="E233" i="79"/>
  <c r="E234" i="79"/>
  <c r="E235" i="79"/>
  <c r="E236" i="79"/>
  <c r="E237" i="79"/>
  <c r="E238" i="79"/>
  <c r="E239" i="79"/>
  <c r="E240" i="79"/>
  <c r="E241" i="79"/>
  <c r="E242" i="79"/>
  <c r="E243" i="79"/>
  <c r="E244" i="79"/>
  <c r="E245" i="79"/>
  <c r="E246" i="79"/>
  <c r="E247" i="79"/>
  <c r="E248" i="79"/>
  <c r="E249" i="79"/>
  <c r="E250" i="79"/>
  <c r="E251" i="79"/>
  <c r="E252" i="79"/>
  <c r="E253" i="79"/>
  <c r="E254" i="79"/>
  <c r="E255" i="79"/>
  <c r="E256" i="79"/>
  <c r="E257" i="79"/>
  <c r="E258" i="79"/>
  <c r="E259" i="79"/>
  <c r="E260" i="79"/>
  <c r="E261" i="79"/>
  <c r="E262" i="79"/>
  <c r="E263" i="79"/>
  <c r="E264" i="79"/>
  <c r="E265" i="79"/>
  <c r="E266" i="79"/>
  <c r="E267" i="79"/>
  <c r="E268" i="79"/>
  <c r="E269" i="79"/>
  <c r="E270" i="79"/>
  <c r="E271" i="79"/>
  <c r="E272" i="79"/>
  <c r="E273" i="79"/>
  <c r="E274" i="79"/>
  <c r="E275" i="79"/>
  <c r="E276" i="79"/>
  <c r="E277" i="79"/>
  <c r="E278" i="79"/>
  <c r="E279" i="79"/>
  <c r="E280" i="79"/>
  <c r="E281" i="79"/>
  <c r="E282" i="79"/>
  <c r="E283" i="79"/>
  <c r="E284" i="79"/>
  <c r="E285" i="79"/>
  <c r="E286" i="79"/>
  <c r="E287" i="79"/>
  <c r="E288" i="79"/>
  <c r="E289" i="79"/>
  <c r="E290" i="79"/>
  <c r="E291" i="79"/>
  <c r="E292" i="79"/>
  <c r="E293" i="79"/>
  <c r="E294" i="79"/>
  <c r="E295" i="79"/>
  <c r="E296" i="79"/>
  <c r="E297" i="79"/>
  <c r="E298" i="79"/>
  <c r="E299" i="79"/>
  <c r="E300" i="79"/>
  <c r="E301" i="79"/>
  <c r="E302" i="79"/>
  <c r="E303" i="79"/>
  <c r="E304" i="79"/>
  <c r="E305" i="79"/>
  <c r="E306" i="79"/>
  <c r="E307" i="79"/>
  <c r="E308" i="79"/>
  <c r="E309" i="79"/>
  <c r="E310" i="79"/>
  <c r="E311" i="79"/>
  <c r="E312" i="79"/>
  <c r="E313" i="79"/>
  <c r="E314" i="79"/>
  <c r="E315" i="79"/>
  <c r="E316" i="79"/>
  <c r="E317" i="79"/>
  <c r="E318" i="79"/>
  <c r="E319" i="79"/>
  <c r="E320" i="79"/>
  <c r="E321" i="79"/>
  <c r="E322" i="79"/>
  <c r="E323" i="79"/>
  <c r="E324" i="79"/>
  <c r="E325" i="79"/>
  <c r="E326" i="79"/>
  <c r="E327" i="79"/>
  <c r="E328" i="79"/>
  <c r="E329" i="79"/>
  <c r="E330" i="79"/>
  <c r="E331" i="79"/>
  <c r="E332" i="79"/>
  <c r="E333" i="79"/>
  <c r="E334" i="79"/>
  <c r="E335" i="79"/>
  <c r="E336" i="79"/>
  <c r="E337" i="79"/>
  <c r="E338" i="79"/>
  <c r="E339" i="79"/>
  <c r="E340" i="79"/>
  <c r="E341" i="79"/>
  <c r="E342" i="79"/>
  <c r="E343" i="79"/>
  <c r="E344" i="79"/>
  <c r="E345" i="79"/>
  <c r="E346" i="79"/>
  <c r="E347" i="79"/>
  <c r="E348" i="79"/>
  <c r="E349" i="79"/>
  <c r="E350" i="79"/>
  <c r="E351" i="79"/>
  <c r="E352" i="79"/>
  <c r="E353" i="79"/>
  <c r="E354" i="79"/>
  <c r="E355" i="79"/>
  <c r="E356" i="79"/>
  <c r="E357" i="79"/>
  <c r="E358" i="79"/>
  <c r="E359" i="79"/>
  <c r="E360" i="79"/>
  <c r="E361" i="79"/>
  <c r="E362" i="79"/>
  <c r="E363" i="79"/>
  <c r="E364" i="79"/>
  <c r="E365" i="79"/>
  <c r="E366" i="79"/>
  <c r="E367" i="79"/>
  <c r="E368" i="79"/>
  <c r="E369" i="79"/>
  <c r="E370" i="79"/>
  <c r="E371" i="79"/>
  <c r="E372" i="79"/>
  <c r="E373" i="79"/>
  <c r="E374" i="79"/>
  <c r="E375" i="79"/>
  <c r="E376" i="79"/>
  <c r="E377" i="79"/>
  <c r="E378" i="79"/>
  <c r="E379" i="79"/>
  <c r="E380" i="79"/>
  <c r="E381" i="79"/>
  <c r="E382" i="79"/>
  <c r="E383" i="79"/>
  <c r="E384" i="79"/>
  <c r="E385" i="79"/>
  <c r="E386" i="79"/>
  <c r="E387" i="79"/>
  <c r="E388" i="79"/>
  <c r="E389" i="79"/>
  <c r="E390" i="79"/>
  <c r="E391" i="79"/>
  <c r="E392" i="79"/>
  <c r="E393" i="79"/>
  <c r="E394" i="79"/>
  <c r="E395" i="79"/>
  <c r="E396" i="79"/>
  <c r="E397" i="79"/>
  <c r="E398" i="79"/>
  <c r="E399" i="79"/>
  <c r="E400" i="79"/>
  <c r="E401" i="79"/>
  <c r="E402" i="79"/>
  <c r="E403" i="79"/>
  <c r="E404" i="79"/>
  <c r="E405" i="79"/>
  <c r="E406" i="79"/>
  <c r="E407" i="79"/>
  <c r="E408" i="79"/>
  <c r="E409" i="79"/>
  <c r="E410" i="79"/>
  <c r="E411" i="79"/>
  <c r="E412" i="79"/>
  <c r="E413" i="79"/>
  <c r="E414" i="79"/>
  <c r="E415" i="79"/>
  <c r="E416" i="79"/>
  <c r="E417" i="79"/>
  <c r="E418" i="79"/>
  <c r="E419" i="79"/>
  <c r="E420" i="79"/>
  <c r="E421" i="79"/>
  <c r="E422" i="79"/>
  <c r="E423" i="79"/>
  <c r="E424" i="79"/>
  <c r="E425" i="79"/>
  <c r="E426" i="79"/>
  <c r="E427" i="79"/>
  <c r="E428" i="79"/>
  <c r="E429" i="79"/>
  <c r="E430" i="79"/>
  <c r="E431" i="79"/>
  <c r="E432" i="79"/>
  <c r="E433" i="79"/>
  <c r="E434" i="79"/>
  <c r="E435" i="79"/>
  <c r="E436" i="79"/>
  <c r="E437" i="79"/>
  <c r="E438" i="79"/>
  <c r="E439" i="79"/>
  <c r="E440" i="79"/>
  <c r="E441" i="79"/>
  <c r="E442" i="79"/>
  <c r="E443" i="79"/>
  <c r="E444" i="79"/>
  <c r="E445" i="79"/>
  <c r="E446" i="79"/>
  <c r="E447" i="79"/>
  <c r="E448" i="79"/>
  <c r="E449" i="79"/>
  <c r="E450" i="79"/>
  <c r="E451" i="79"/>
  <c r="E452" i="79"/>
  <c r="E453" i="79"/>
  <c r="E454" i="79"/>
  <c r="E455" i="79"/>
  <c r="E456" i="79"/>
  <c r="E457" i="79"/>
  <c r="E458" i="79"/>
  <c r="E459" i="79"/>
  <c r="E460" i="79"/>
  <c r="E461" i="79"/>
  <c r="E462" i="79"/>
  <c r="E463" i="79"/>
  <c r="E464" i="79"/>
  <c r="E465" i="79"/>
  <c r="E466" i="79"/>
  <c r="E467" i="79"/>
  <c r="E468" i="79"/>
  <c r="E469" i="79"/>
  <c r="E470" i="79"/>
  <c r="E471" i="79"/>
  <c r="E472" i="79"/>
  <c r="E473" i="79"/>
  <c r="E474" i="79"/>
  <c r="E475" i="79"/>
  <c r="E476" i="79"/>
  <c r="E477" i="79"/>
  <c r="E478" i="79"/>
  <c r="E479" i="79"/>
  <c r="E480" i="79"/>
  <c r="E481" i="79"/>
  <c r="E482" i="79"/>
  <c r="E483" i="79"/>
  <c r="E484" i="79"/>
  <c r="E485" i="79"/>
  <c r="E486" i="79"/>
  <c r="E487" i="79"/>
  <c r="E488" i="79"/>
  <c r="E489" i="79"/>
  <c r="E490" i="79"/>
  <c r="E491" i="79"/>
  <c r="E492" i="79"/>
  <c r="E493" i="79"/>
  <c r="E494" i="79"/>
  <c r="E495" i="79"/>
  <c r="E496" i="79"/>
  <c r="E497" i="79"/>
  <c r="E498" i="79"/>
  <c r="E499" i="79"/>
  <c r="E500" i="79"/>
  <c r="E501" i="79"/>
  <c r="E502" i="79"/>
  <c r="E503" i="79"/>
  <c r="E504" i="79"/>
  <c r="E505" i="79"/>
  <c r="E506" i="79"/>
  <c r="E507" i="79"/>
  <c r="E508" i="79"/>
  <c r="E509" i="79"/>
  <c r="E510" i="79"/>
  <c r="E511" i="79"/>
  <c r="E512" i="79"/>
  <c r="E513" i="79"/>
  <c r="E514" i="79"/>
  <c r="E515" i="79"/>
  <c r="E516" i="79"/>
  <c r="E517" i="79"/>
  <c r="E518" i="79"/>
  <c r="E519" i="79"/>
  <c r="E520" i="79"/>
  <c r="E521" i="79"/>
  <c r="E522" i="79"/>
  <c r="E523" i="79"/>
  <c r="E524" i="79"/>
  <c r="E525" i="79"/>
  <c r="E526" i="79"/>
  <c r="E527" i="79"/>
  <c r="E528" i="79"/>
  <c r="E529" i="79"/>
  <c r="E530" i="79"/>
  <c r="E531" i="79"/>
  <c r="E532" i="79"/>
  <c r="E533" i="79"/>
  <c r="E534" i="79"/>
  <c r="E535" i="79"/>
  <c r="E536" i="79"/>
  <c r="E537" i="79"/>
  <c r="E538" i="79"/>
  <c r="E539" i="79"/>
  <c r="E540" i="79"/>
  <c r="E541" i="79"/>
  <c r="E542" i="79"/>
  <c r="E543" i="79"/>
  <c r="E544" i="79"/>
  <c r="E545" i="79"/>
  <c r="E546" i="79"/>
  <c r="E547" i="79"/>
  <c r="E548" i="79"/>
  <c r="E549" i="79"/>
  <c r="E550" i="79"/>
  <c r="E551" i="79"/>
  <c r="E552" i="79"/>
  <c r="E553" i="79"/>
  <c r="E554" i="79"/>
  <c r="E555" i="79"/>
  <c r="E556" i="79"/>
  <c r="E557" i="79"/>
  <c r="E558" i="79"/>
  <c r="E559" i="79"/>
  <c r="E560" i="79"/>
  <c r="E561" i="79"/>
  <c r="E562" i="79"/>
  <c r="E563" i="79"/>
  <c r="E564" i="79"/>
  <c r="E565" i="79"/>
  <c r="E566" i="79"/>
  <c r="E567" i="79"/>
  <c r="E568" i="79"/>
  <c r="E569" i="79"/>
  <c r="E570" i="79"/>
  <c r="E571" i="79"/>
  <c r="E572" i="79"/>
  <c r="E573" i="79"/>
  <c r="E574" i="79"/>
  <c r="E575" i="79"/>
  <c r="E576" i="79"/>
  <c r="E577" i="79"/>
  <c r="E578" i="79"/>
  <c r="E579" i="79"/>
  <c r="E580" i="79"/>
  <c r="E581" i="79"/>
  <c r="E582" i="79"/>
  <c r="E583" i="79"/>
  <c r="E584" i="79"/>
  <c r="E585" i="79"/>
  <c r="E586" i="79"/>
  <c r="E587" i="79"/>
  <c r="E588" i="79"/>
  <c r="E589" i="79"/>
  <c r="E590" i="79"/>
  <c r="E591" i="79"/>
  <c r="E592" i="79"/>
  <c r="E593" i="79"/>
  <c r="E594" i="79"/>
  <c r="E595" i="79"/>
  <c r="E596" i="79"/>
  <c r="E597" i="79"/>
  <c r="E598" i="79"/>
  <c r="E599" i="79"/>
  <c r="E600" i="79"/>
  <c r="E601" i="79"/>
  <c r="E602" i="79"/>
  <c r="E603" i="79"/>
  <c r="E604" i="79"/>
  <c r="E605" i="79"/>
  <c r="E606" i="79"/>
  <c r="E607" i="79"/>
  <c r="E608" i="79"/>
  <c r="E609" i="79"/>
  <c r="E610" i="79"/>
  <c r="E611" i="79"/>
  <c r="E612" i="79"/>
  <c r="E613" i="79"/>
  <c r="E614" i="79"/>
  <c r="E615" i="79"/>
  <c r="E616" i="79"/>
  <c r="E617" i="79"/>
  <c r="E618" i="79"/>
  <c r="E619" i="79"/>
  <c r="E620" i="79"/>
  <c r="E621" i="79"/>
  <c r="E622" i="79"/>
  <c r="E623" i="79"/>
  <c r="E624" i="79"/>
  <c r="E625" i="79"/>
  <c r="E626" i="79"/>
  <c r="E627" i="79"/>
  <c r="E628" i="79"/>
  <c r="E629" i="79"/>
  <c r="E630" i="79"/>
  <c r="E631" i="79"/>
  <c r="E632" i="79"/>
  <c r="E633" i="79"/>
  <c r="E634" i="79"/>
  <c r="E635" i="79"/>
  <c r="E636" i="79"/>
  <c r="E637" i="79"/>
  <c r="E638" i="79"/>
  <c r="E639" i="79"/>
  <c r="E640" i="79"/>
  <c r="E641" i="79"/>
  <c r="E642" i="79"/>
  <c r="E643" i="79"/>
  <c r="E644" i="79"/>
  <c r="E645" i="79"/>
  <c r="E646" i="79"/>
  <c r="E647" i="79"/>
  <c r="E648" i="79"/>
  <c r="E649" i="79"/>
  <c r="E650" i="79"/>
  <c r="E651" i="79"/>
  <c r="E652" i="79"/>
  <c r="E653" i="79"/>
  <c r="E654" i="79"/>
  <c r="E655" i="79"/>
  <c r="E656" i="79"/>
  <c r="E657" i="79"/>
  <c r="E658" i="79"/>
  <c r="E659" i="79"/>
  <c r="E660" i="79"/>
  <c r="E661" i="79"/>
  <c r="E662" i="79"/>
  <c r="E663" i="79"/>
  <c r="E664" i="79"/>
  <c r="E665" i="79"/>
  <c r="E666" i="79"/>
  <c r="E667" i="79"/>
  <c r="E668" i="79"/>
  <c r="E669" i="79"/>
  <c r="E670" i="79"/>
  <c r="E671" i="79"/>
  <c r="E672" i="79"/>
  <c r="E673" i="79"/>
  <c r="E674" i="79"/>
  <c r="E675" i="79"/>
  <c r="E676" i="79"/>
  <c r="E677" i="79"/>
  <c r="E678" i="79"/>
  <c r="E679" i="79"/>
  <c r="E680" i="79"/>
  <c r="E681" i="79"/>
  <c r="E682" i="79"/>
  <c r="E683" i="79"/>
  <c r="E684" i="79"/>
  <c r="E685" i="79"/>
  <c r="E686" i="79"/>
  <c r="E687" i="79"/>
  <c r="E688" i="79"/>
  <c r="E689" i="79"/>
  <c r="E690" i="79"/>
  <c r="E691" i="79"/>
  <c r="E692" i="79"/>
  <c r="E693" i="79"/>
  <c r="E694" i="79"/>
  <c r="E695" i="79"/>
  <c r="E696" i="79"/>
  <c r="E697" i="79"/>
  <c r="E698" i="79"/>
  <c r="E699" i="79"/>
  <c r="E700" i="79"/>
  <c r="E701" i="79"/>
  <c r="E702" i="79"/>
  <c r="E703" i="79"/>
  <c r="E704" i="79"/>
  <c r="E705" i="79"/>
  <c r="E706" i="79"/>
  <c r="E707" i="79"/>
  <c r="E708" i="79"/>
  <c r="E709" i="79"/>
  <c r="E710" i="79"/>
  <c r="E711" i="79"/>
  <c r="E712" i="79"/>
  <c r="E713" i="79"/>
  <c r="E714" i="79"/>
  <c r="E715" i="79"/>
  <c r="E716" i="79"/>
  <c r="E717" i="79"/>
  <c r="E718" i="79"/>
  <c r="E719" i="79"/>
  <c r="E720" i="79"/>
  <c r="E721" i="79"/>
  <c r="E722" i="79"/>
  <c r="E723" i="79"/>
  <c r="E724" i="79"/>
  <c r="E725" i="79"/>
  <c r="E726" i="79"/>
  <c r="E727" i="79"/>
  <c r="E728" i="79"/>
  <c r="E729" i="79"/>
  <c r="E730" i="79"/>
  <c r="E731" i="79"/>
  <c r="E732" i="79"/>
  <c r="E733" i="79"/>
  <c r="E734" i="79"/>
  <c r="E735" i="79"/>
  <c r="E736" i="79"/>
  <c r="E737" i="79"/>
  <c r="E738" i="79"/>
  <c r="E739" i="79"/>
  <c r="E740" i="79"/>
  <c r="E741" i="79"/>
  <c r="E742" i="79"/>
  <c r="E743" i="79"/>
  <c r="E744" i="79"/>
  <c r="E745" i="79"/>
  <c r="E746" i="79"/>
  <c r="E747" i="79"/>
  <c r="E748" i="79"/>
  <c r="E749" i="79"/>
  <c r="E750" i="79"/>
  <c r="E751" i="79"/>
  <c r="E752" i="79"/>
  <c r="E753" i="79"/>
  <c r="E754" i="79"/>
  <c r="E755" i="79"/>
  <c r="E756" i="79"/>
  <c r="E757" i="79"/>
  <c r="E758" i="79"/>
  <c r="E759" i="79"/>
  <c r="E760" i="79"/>
  <c r="E761" i="79"/>
  <c r="E762" i="79"/>
  <c r="E763" i="79"/>
  <c r="E764" i="79"/>
  <c r="E765" i="79"/>
  <c r="E766" i="79"/>
  <c r="E767" i="79"/>
  <c r="E768" i="79"/>
  <c r="E769" i="79"/>
  <c r="E770" i="79"/>
  <c r="E771" i="79"/>
  <c r="E772" i="79"/>
  <c r="E773" i="79"/>
  <c r="E774" i="79"/>
  <c r="E775" i="79"/>
  <c r="E776" i="79"/>
  <c r="E777" i="79"/>
  <c r="E778" i="79"/>
  <c r="E779" i="79"/>
  <c r="E780" i="79"/>
  <c r="E781" i="79"/>
  <c r="E782" i="79"/>
  <c r="E783" i="79"/>
  <c r="E784" i="79"/>
  <c r="E785" i="79"/>
  <c r="E786" i="79"/>
  <c r="E787" i="79"/>
  <c r="E788" i="79"/>
  <c r="E789" i="79"/>
  <c r="E790" i="79"/>
  <c r="E791" i="79"/>
  <c r="E792" i="79"/>
  <c r="E793" i="79"/>
  <c r="E794" i="79"/>
  <c r="E795" i="79"/>
  <c r="E796" i="79"/>
  <c r="E797" i="79"/>
  <c r="E798" i="79"/>
  <c r="E799" i="79"/>
  <c r="E800" i="79"/>
  <c r="E801" i="79"/>
  <c r="E802" i="79"/>
  <c r="E803" i="79"/>
  <c r="E804" i="79"/>
  <c r="E805" i="79"/>
  <c r="E806" i="79"/>
  <c r="E807" i="79"/>
  <c r="E808" i="79"/>
  <c r="E809" i="79"/>
  <c r="E810" i="79"/>
  <c r="E811" i="79"/>
  <c r="E812" i="79"/>
  <c r="E813" i="79"/>
  <c r="E814" i="79"/>
  <c r="E815" i="79"/>
  <c r="E816" i="79"/>
  <c r="E817" i="79"/>
  <c r="E818" i="79"/>
  <c r="E819" i="79"/>
  <c r="E820" i="79"/>
  <c r="E821" i="79"/>
  <c r="E822" i="79"/>
  <c r="E823" i="79"/>
  <c r="E824" i="79"/>
  <c r="E825" i="79"/>
  <c r="E826" i="79"/>
  <c r="E827" i="79"/>
  <c r="E828" i="79"/>
  <c r="E829" i="79"/>
  <c r="E830" i="79"/>
  <c r="E831" i="79"/>
  <c r="E832" i="79"/>
  <c r="E833" i="79"/>
  <c r="E834" i="79"/>
  <c r="E835" i="79"/>
  <c r="E836" i="79"/>
  <c r="E837" i="79"/>
  <c r="E838" i="79"/>
  <c r="E839" i="79"/>
  <c r="E840" i="79"/>
  <c r="E841" i="79"/>
  <c r="E842" i="79"/>
  <c r="E843" i="79"/>
  <c r="E844" i="79"/>
  <c r="E845" i="79"/>
  <c r="E846" i="79"/>
  <c r="E847" i="79"/>
  <c r="E848" i="79"/>
  <c r="E849" i="79"/>
  <c r="E850" i="79"/>
  <c r="E851" i="79"/>
  <c r="E852" i="79"/>
  <c r="E853" i="79"/>
  <c r="E854" i="79"/>
  <c r="E855" i="79"/>
  <c r="E856" i="79"/>
  <c r="E857" i="79"/>
  <c r="E858" i="79"/>
  <c r="E859" i="79"/>
  <c r="E860" i="79"/>
  <c r="E861" i="79"/>
  <c r="E862" i="79"/>
  <c r="E863" i="79"/>
  <c r="E864" i="79"/>
  <c r="E865" i="79"/>
  <c r="E866" i="79"/>
  <c r="E867" i="79"/>
  <c r="E868" i="79"/>
  <c r="E869" i="79"/>
  <c r="E870" i="79"/>
  <c r="E871" i="79"/>
  <c r="E872" i="79"/>
  <c r="E873" i="79"/>
  <c r="E874" i="79"/>
  <c r="E875" i="79"/>
  <c r="E876" i="79"/>
  <c r="E877" i="79"/>
  <c r="E878" i="79"/>
  <c r="E879" i="79"/>
  <c r="E880" i="79"/>
  <c r="E881" i="79"/>
  <c r="E882" i="79"/>
  <c r="E883" i="79"/>
  <c r="E884" i="79"/>
  <c r="E885" i="79"/>
  <c r="E886" i="79"/>
  <c r="E887" i="79"/>
  <c r="E888" i="79"/>
  <c r="E889" i="79"/>
  <c r="E890" i="79"/>
  <c r="E891" i="79"/>
  <c r="E892" i="79"/>
  <c r="E893" i="79"/>
  <c r="E894" i="79"/>
  <c r="E895" i="79"/>
  <c r="E896" i="79"/>
  <c r="E897" i="79"/>
  <c r="E898" i="79"/>
  <c r="E899" i="79"/>
  <c r="E900" i="79"/>
  <c r="E901" i="79"/>
  <c r="E902" i="79"/>
  <c r="E903" i="79"/>
  <c r="E904" i="79"/>
  <c r="E905" i="79"/>
  <c r="E906" i="79"/>
  <c r="E907" i="79"/>
  <c r="E908" i="79"/>
  <c r="E909" i="79"/>
  <c r="E910" i="79"/>
  <c r="E911" i="79"/>
  <c r="E912" i="79"/>
  <c r="E913" i="79"/>
  <c r="E914" i="79"/>
  <c r="E915" i="79"/>
  <c r="E916" i="79"/>
  <c r="E917" i="79"/>
  <c r="E918" i="79"/>
  <c r="E919" i="79"/>
  <c r="E920" i="79"/>
  <c r="E921" i="79"/>
  <c r="E922" i="79"/>
  <c r="E923" i="79"/>
  <c r="E924" i="79"/>
  <c r="E925" i="79"/>
  <c r="E926" i="79"/>
  <c r="E927" i="79"/>
  <c r="E928" i="79"/>
  <c r="E929" i="79"/>
  <c r="E930" i="79"/>
  <c r="E931" i="79"/>
  <c r="E932" i="79"/>
  <c r="E933" i="79"/>
  <c r="E934" i="79"/>
  <c r="E935" i="79"/>
  <c r="E936" i="79"/>
  <c r="E937" i="79"/>
  <c r="E938" i="79"/>
  <c r="E939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E33" i="79"/>
  <c r="E34" i="79"/>
  <c r="E35" i="79"/>
  <c r="E36" i="79"/>
  <c r="E37" i="79"/>
  <c r="E38" i="79"/>
  <c r="E39" i="79"/>
  <c r="E40" i="79"/>
  <c r="E41" i="79"/>
  <c r="E42" i="79"/>
  <c r="E43" i="79"/>
  <c r="E44" i="79"/>
  <c r="E45" i="79"/>
  <c r="E46" i="79"/>
  <c r="E47" i="79"/>
  <c r="E48" i="79"/>
  <c r="E49" i="79"/>
  <c r="E50" i="79"/>
  <c r="E51" i="79"/>
  <c r="E52" i="79"/>
  <c r="E53" i="79"/>
  <c r="E54" i="79"/>
  <c r="E3" i="79"/>
  <c r="E4" i="79"/>
  <c r="E5" i="79"/>
  <c r="E6" i="79"/>
  <c r="E7" i="79"/>
  <c r="E8" i="79"/>
  <c r="E9" i="79"/>
  <c r="E10" i="79"/>
  <c r="E2" i="79"/>
  <c r="D3" i="79"/>
  <c r="D4" i="79"/>
  <c r="D5" i="79"/>
  <c r="D6" i="79"/>
  <c r="D7" i="79"/>
  <c r="D8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D33" i="79"/>
  <c r="D34" i="79"/>
  <c r="D35" i="79"/>
  <c r="D36" i="79"/>
  <c r="D37" i="79"/>
  <c r="D38" i="79"/>
  <c r="D39" i="79"/>
  <c r="D40" i="79"/>
  <c r="D41" i="79"/>
  <c r="D42" i="79"/>
  <c r="D43" i="79"/>
  <c r="D44" i="79"/>
  <c r="D45" i="79"/>
  <c r="D46" i="79"/>
  <c r="D47" i="79"/>
  <c r="D48" i="79"/>
  <c r="D49" i="79"/>
  <c r="D50" i="79"/>
  <c r="D51" i="79"/>
  <c r="D52" i="79"/>
  <c r="D53" i="79"/>
  <c r="D54" i="79"/>
  <c r="D55" i="79"/>
  <c r="D56" i="79"/>
  <c r="D57" i="79"/>
  <c r="D58" i="79"/>
  <c r="D59" i="79"/>
  <c r="D60" i="79"/>
  <c r="D61" i="79"/>
  <c r="D62" i="79"/>
  <c r="D63" i="79"/>
  <c r="D64" i="79"/>
  <c r="D65" i="79"/>
  <c r="D66" i="79"/>
  <c r="D67" i="79"/>
  <c r="D68" i="79"/>
  <c r="D69" i="79"/>
  <c r="D70" i="79"/>
  <c r="D71" i="79"/>
  <c r="D72" i="79"/>
  <c r="D73" i="79"/>
  <c r="D74" i="79"/>
  <c r="D75" i="79"/>
  <c r="D76" i="79"/>
  <c r="D77" i="79"/>
  <c r="D78" i="79"/>
  <c r="D79" i="79"/>
  <c r="D80" i="79"/>
  <c r="D81" i="79"/>
  <c r="D82" i="79"/>
  <c r="D83" i="79"/>
  <c r="D84" i="79"/>
  <c r="D85" i="79"/>
  <c r="D86" i="79"/>
  <c r="D87" i="79"/>
  <c r="D88" i="79"/>
  <c r="D89" i="79"/>
  <c r="D90" i="79"/>
  <c r="D91" i="79"/>
  <c r="D92" i="79"/>
  <c r="D93" i="79"/>
  <c r="D94" i="79"/>
  <c r="D95" i="79"/>
  <c r="D96" i="79"/>
  <c r="D97" i="79"/>
  <c r="D98" i="79"/>
  <c r="D99" i="79"/>
  <c r="D100" i="79"/>
  <c r="D101" i="79"/>
  <c r="D102" i="79"/>
  <c r="D103" i="79"/>
  <c r="D104" i="79"/>
  <c r="D105" i="79"/>
  <c r="D106" i="79"/>
  <c r="D107" i="79"/>
  <c r="D108" i="79"/>
  <c r="D109" i="79"/>
  <c r="D110" i="79"/>
  <c r="D111" i="79"/>
  <c r="D112" i="79"/>
  <c r="D113" i="79"/>
  <c r="D114" i="79"/>
  <c r="D115" i="79"/>
  <c r="D116" i="79"/>
  <c r="D117" i="79"/>
  <c r="D118" i="79"/>
  <c r="D119" i="79"/>
  <c r="D120" i="79"/>
  <c r="D121" i="79"/>
  <c r="D122" i="79"/>
  <c r="D123" i="79"/>
  <c r="D124" i="79"/>
  <c r="D125" i="79"/>
  <c r="D126" i="79"/>
  <c r="D127" i="79"/>
  <c r="D128" i="79"/>
  <c r="D129" i="79"/>
  <c r="D130" i="79"/>
  <c r="D131" i="79"/>
  <c r="D132" i="79"/>
  <c r="D133" i="79"/>
  <c r="D134" i="79"/>
  <c r="D135" i="79"/>
  <c r="D136" i="79"/>
  <c r="D137" i="79"/>
  <c r="D138" i="79"/>
  <c r="D139" i="79"/>
  <c r="D140" i="79"/>
  <c r="D141" i="79"/>
  <c r="D142" i="79"/>
  <c r="D143" i="79"/>
  <c r="D144" i="79"/>
  <c r="D145" i="79"/>
  <c r="D146" i="79"/>
  <c r="D147" i="79"/>
  <c r="D148" i="79"/>
  <c r="D149" i="79"/>
  <c r="D150" i="79"/>
  <c r="D151" i="79"/>
  <c r="D152" i="79"/>
  <c r="D153" i="79"/>
  <c r="D154" i="79"/>
  <c r="D155" i="79"/>
  <c r="D156" i="79"/>
  <c r="D157" i="79"/>
  <c r="D158" i="79"/>
  <c r="D159" i="79"/>
  <c r="D160" i="79"/>
  <c r="D161" i="79"/>
  <c r="D162" i="79"/>
  <c r="D163" i="79"/>
  <c r="D164" i="79"/>
  <c r="D165" i="79"/>
  <c r="D166" i="79"/>
  <c r="D167" i="79"/>
  <c r="D168" i="79"/>
  <c r="D169" i="79"/>
  <c r="D170" i="79"/>
  <c r="D171" i="79"/>
  <c r="D172" i="79"/>
  <c r="D173" i="79"/>
  <c r="D174" i="79"/>
  <c r="D175" i="79"/>
  <c r="D176" i="79"/>
  <c r="D177" i="79"/>
  <c r="D178" i="79"/>
  <c r="D179" i="79"/>
  <c r="D180" i="79"/>
  <c r="D181" i="79"/>
  <c r="D182" i="79"/>
  <c r="D183" i="79"/>
  <c r="D184" i="79"/>
  <c r="D185" i="79"/>
  <c r="D186" i="79"/>
  <c r="D187" i="79"/>
  <c r="D188" i="79"/>
  <c r="D189" i="79"/>
  <c r="D190" i="79"/>
  <c r="D191" i="79"/>
  <c r="D192" i="79"/>
  <c r="D193" i="79"/>
  <c r="D194" i="79"/>
  <c r="D195" i="79"/>
  <c r="D196" i="79"/>
  <c r="D197" i="79"/>
  <c r="D198" i="79"/>
  <c r="D199" i="79"/>
  <c r="D200" i="79"/>
  <c r="D201" i="79"/>
  <c r="D202" i="79"/>
  <c r="D203" i="79"/>
  <c r="D204" i="79"/>
  <c r="D205" i="79"/>
  <c r="D206" i="79"/>
  <c r="D207" i="79"/>
  <c r="D208" i="79"/>
  <c r="D209" i="79"/>
  <c r="D210" i="79"/>
  <c r="D211" i="79"/>
  <c r="D212" i="79"/>
  <c r="D213" i="79"/>
  <c r="D214" i="79"/>
  <c r="D215" i="79"/>
  <c r="D216" i="79"/>
  <c r="D217" i="79"/>
  <c r="D218" i="79"/>
  <c r="D219" i="79"/>
  <c r="D220" i="79"/>
  <c r="D221" i="79"/>
  <c r="D222" i="79"/>
  <c r="D223" i="79"/>
  <c r="D224" i="79"/>
  <c r="D225" i="79"/>
  <c r="D226" i="79"/>
  <c r="D227" i="79"/>
  <c r="D228" i="79"/>
  <c r="D229" i="79"/>
  <c r="D230" i="79"/>
  <c r="D231" i="79"/>
  <c r="D232" i="79"/>
  <c r="D233" i="79"/>
  <c r="D234" i="79"/>
  <c r="D235" i="79"/>
  <c r="D236" i="79"/>
  <c r="D237" i="79"/>
  <c r="D238" i="79"/>
  <c r="D239" i="79"/>
  <c r="D240" i="79"/>
  <c r="D241" i="79"/>
  <c r="D242" i="79"/>
  <c r="D243" i="79"/>
  <c r="D244" i="79"/>
  <c r="D245" i="79"/>
  <c r="D246" i="79"/>
  <c r="D247" i="79"/>
  <c r="D248" i="79"/>
  <c r="D249" i="79"/>
  <c r="D250" i="79"/>
  <c r="D251" i="79"/>
  <c r="D252" i="79"/>
  <c r="D253" i="79"/>
  <c r="D254" i="79"/>
  <c r="D255" i="79"/>
  <c r="D256" i="79"/>
  <c r="D257" i="79"/>
  <c r="D258" i="79"/>
  <c r="D259" i="79"/>
  <c r="D260" i="79"/>
  <c r="D261" i="79"/>
  <c r="D262" i="79"/>
  <c r="D263" i="79"/>
  <c r="D264" i="79"/>
  <c r="D265" i="79"/>
  <c r="D266" i="79"/>
  <c r="D267" i="79"/>
  <c r="D268" i="79"/>
  <c r="D269" i="79"/>
  <c r="D270" i="79"/>
  <c r="D271" i="79"/>
  <c r="D272" i="79"/>
  <c r="D273" i="79"/>
  <c r="D274" i="79"/>
  <c r="D275" i="79"/>
  <c r="D276" i="79"/>
  <c r="D277" i="79"/>
  <c r="D278" i="79"/>
  <c r="D279" i="79"/>
  <c r="D280" i="79"/>
  <c r="D281" i="79"/>
  <c r="D282" i="79"/>
  <c r="D283" i="79"/>
  <c r="D284" i="79"/>
  <c r="D285" i="79"/>
  <c r="D286" i="79"/>
  <c r="D287" i="79"/>
  <c r="D288" i="79"/>
  <c r="D289" i="79"/>
  <c r="D290" i="79"/>
  <c r="D291" i="79"/>
  <c r="D292" i="79"/>
  <c r="D293" i="79"/>
  <c r="D294" i="79"/>
  <c r="D295" i="79"/>
  <c r="D296" i="79"/>
  <c r="D297" i="79"/>
  <c r="D298" i="79"/>
  <c r="D299" i="79"/>
  <c r="D300" i="79"/>
  <c r="D301" i="79"/>
  <c r="D302" i="79"/>
  <c r="D303" i="79"/>
  <c r="D304" i="79"/>
  <c r="D305" i="79"/>
  <c r="D306" i="79"/>
  <c r="D307" i="79"/>
  <c r="D308" i="79"/>
  <c r="D309" i="79"/>
  <c r="D310" i="79"/>
  <c r="D311" i="79"/>
  <c r="D312" i="79"/>
  <c r="D313" i="79"/>
  <c r="D314" i="79"/>
  <c r="D315" i="79"/>
  <c r="D316" i="79"/>
  <c r="D317" i="79"/>
  <c r="D318" i="79"/>
  <c r="D319" i="79"/>
  <c r="D320" i="79"/>
  <c r="D321" i="79"/>
  <c r="D322" i="79"/>
  <c r="D323" i="79"/>
  <c r="D324" i="79"/>
  <c r="D325" i="79"/>
  <c r="D326" i="79"/>
  <c r="D327" i="79"/>
  <c r="D328" i="79"/>
  <c r="D329" i="79"/>
  <c r="D330" i="79"/>
  <c r="D331" i="79"/>
  <c r="D332" i="79"/>
  <c r="D333" i="79"/>
  <c r="D334" i="79"/>
  <c r="D335" i="79"/>
  <c r="D336" i="79"/>
  <c r="D337" i="79"/>
  <c r="D338" i="79"/>
  <c r="D339" i="79"/>
  <c r="D340" i="79"/>
  <c r="D341" i="79"/>
  <c r="D342" i="79"/>
  <c r="D343" i="79"/>
  <c r="D344" i="79"/>
  <c r="D345" i="79"/>
  <c r="D346" i="79"/>
  <c r="D347" i="79"/>
  <c r="D348" i="79"/>
  <c r="D349" i="79"/>
  <c r="D350" i="79"/>
  <c r="D351" i="79"/>
  <c r="D352" i="79"/>
  <c r="D353" i="79"/>
  <c r="D354" i="79"/>
  <c r="D355" i="79"/>
  <c r="D356" i="79"/>
  <c r="D357" i="79"/>
  <c r="D358" i="79"/>
  <c r="D359" i="79"/>
  <c r="D360" i="79"/>
  <c r="D361" i="79"/>
  <c r="D362" i="79"/>
  <c r="D363" i="79"/>
  <c r="D364" i="79"/>
  <c r="D365" i="79"/>
  <c r="D366" i="79"/>
  <c r="D367" i="79"/>
  <c r="D368" i="79"/>
  <c r="D369" i="79"/>
  <c r="D370" i="79"/>
  <c r="D371" i="79"/>
  <c r="D372" i="79"/>
  <c r="D373" i="79"/>
  <c r="D374" i="79"/>
  <c r="D375" i="79"/>
  <c r="D376" i="79"/>
  <c r="D377" i="79"/>
  <c r="D378" i="79"/>
  <c r="D379" i="79"/>
  <c r="D380" i="79"/>
  <c r="D381" i="79"/>
  <c r="D382" i="79"/>
  <c r="D383" i="79"/>
  <c r="D384" i="79"/>
  <c r="D385" i="79"/>
  <c r="D386" i="79"/>
  <c r="D387" i="79"/>
  <c r="D388" i="79"/>
  <c r="D389" i="79"/>
  <c r="D390" i="79"/>
  <c r="D391" i="79"/>
  <c r="D392" i="79"/>
  <c r="D393" i="79"/>
  <c r="D394" i="79"/>
  <c r="D395" i="79"/>
  <c r="D396" i="79"/>
  <c r="D397" i="79"/>
  <c r="D398" i="79"/>
  <c r="D399" i="79"/>
  <c r="D400" i="79"/>
  <c r="D401" i="79"/>
  <c r="D402" i="79"/>
  <c r="D403" i="79"/>
  <c r="D404" i="79"/>
  <c r="D405" i="79"/>
  <c r="D406" i="79"/>
  <c r="D407" i="79"/>
  <c r="D408" i="79"/>
  <c r="D409" i="79"/>
  <c r="D410" i="79"/>
  <c r="D411" i="79"/>
  <c r="D412" i="79"/>
  <c r="D413" i="79"/>
  <c r="D414" i="79"/>
  <c r="D415" i="79"/>
  <c r="D416" i="79"/>
  <c r="D417" i="79"/>
  <c r="D418" i="79"/>
  <c r="D419" i="79"/>
  <c r="D420" i="79"/>
  <c r="D421" i="79"/>
  <c r="D422" i="79"/>
  <c r="D423" i="79"/>
  <c r="D424" i="79"/>
  <c r="D425" i="79"/>
  <c r="D426" i="79"/>
  <c r="D427" i="79"/>
  <c r="D428" i="79"/>
  <c r="D429" i="79"/>
  <c r="D430" i="79"/>
  <c r="D431" i="79"/>
  <c r="D432" i="79"/>
  <c r="D433" i="79"/>
  <c r="D434" i="79"/>
  <c r="D435" i="79"/>
  <c r="D436" i="79"/>
  <c r="D437" i="79"/>
  <c r="D438" i="79"/>
  <c r="D439" i="79"/>
  <c r="D440" i="79"/>
  <c r="D441" i="79"/>
  <c r="D442" i="79"/>
  <c r="D443" i="79"/>
  <c r="D444" i="79"/>
  <c r="D445" i="79"/>
  <c r="D446" i="79"/>
  <c r="D447" i="79"/>
  <c r="D448" i="79"/>
  <c r="D449" i="79"/>
  <c r="D450" i="79"/>
  <c r="D451" i="79"/>
  <c r="D452" i="79"/>
  <c r="D453" i="79"/>
  <c r="D454" i="79"/>
  <c r="D455" i="79"/>
  <c r="D456" i="79"/>
  <c r="D457" i="79"/>
  <c r="D458" i="79"/>
  <c r="D459" i="79"/>
  <c r="D460" i="79"/>
  <c r="D461" i="79"/>
  <c r="D462" i="79"/>
  <c r="D463" i="79"/>
  <c r="D464" i="79"/>
  <c r="D465" i="79"/>
  <c r="D466" i="79"/>
  <c r="D467" i="79"/>
  <c r="D468" i="79"/>
  <c r="D469" i="79"/>
  <c r="D470" i="79"/>
  <c r="D471" i="79"/>
  <c r="D472" i="79"/>
  <c r="D473" i="79"/>
  <c r="D474" i="79"/>
  <c r="D475" i="79"/>
  <c r="D476" i="79"/>
  <c r="D477" i="79"/>
  <c r="D478" i="79"/>
  <c r="D479" i="79"/>
  <c r="D480" i="79"/>
  <c r="D481" i="79"/>
  <c r="D482" i="79"/>
  <c r="D483" i="79"/>
  <c r="D484" i="79"/>
  <c r="D485" i="79"/>
  <c r="D486" i="79"/>
  <c r="D487" i="79"/>
  <c r="D488" i="79"/>
  <c r="D489" i="79"/>
  <c r="D490" i="79"/>
  <c r="D491" i="79"/>
  <c r="D492" i="79"/>
  <c r="D493" i="79"/>
  <c r="D494" i="79"/>
  <c r="D495" i="79"/>
  <c r="D496" i="79"/>
  <c r="D497" i="79"/>
  <c r="D498" i="79"/>
  <c r="D499" i="79"/>
  <c r="D500" i="79"/>
  <c r="D501" i="79"/>
  <c r="D502" i="79"/>
  <c r="D503" i="79"/>
  <c r="D504" i="79"/>
  <c r="D505" i="79"/>
  <c r="D506" i="79"/>
  <c r="D507" i="79"/>
  <c r="D508" i="79"/>
  <c r="D509" i="79"/>
  <c r="D510" i="79"/>
  <c r="D511" i="79"/>
  <c r="D512" i="79"/>
  <c r="D513" i="79"/>
  <c r="D514" i="79"/>
  <c r="D515" i="79"/>
  <c r="D516" i="79"/>
  <c r="D517" i="79"/>
  <c r="D518" i="79"/>
  <c r="D519" i="79"/>
  <c r="D520" i="79"/>
  <c r="D521" i="79"/>
  <c r="D522" i="79"/>
  <c r="D523" i="79"/>
  <c r="D524" i="79"/>
  <c r="D525" i="79"/>
  <c r="D526" i="79"/>
  <c r="D527" i="79"/>
  <c r="D528" i="79"/>
  <c r="D529" i="79"/>
  <c r="D530" i="79"/>
  <c r="D531" i="79"/>
  <c r="D532" i="79"/>
  <c r="D533" i="79"/>
  <c r="D534" i="79"/>
  <c r="D535" i="79"/>
  <c r="D536" i="79"/>
  <c r="D537" i="79"/>
  <c r="D538" i="79"/>
  <c r="D539" i="79"/>
  <c r="D540" i="79"/>
  <c r="D541" i="79"/>
  <c r="D542" i="79"/>
  <c r="D543" i="79"/>
  <c r="D544" i="79"/>
  <c r="D545" i="79"/>
  <c r="D546" i="79"/>
  <c r="D547" i="79"/>
  <c r="D548" i="79"/>
  <c r="D549" i="79"/>
  <c r="D550" i="79"/>
  <c r="D551" i="79"/>
  <c r="D552" i="79"/>
  <c r="D553" i="79"/>
  <c r="D554" i="79"/>
  <c r="D555" i="79"/>
  <c r="D556" i="79"/>
  <c r="D557" i="79"/>
  <c r="D558" i="79"/>
  <c r="D559" i="79"/>
  <c r="D560" i="79"/>
  <c r="D561" i="79"/>
  <c r="D562" i="79"/>
  <c r="D563" i="79"/>
  <c r="D564" i="79"/>
  <c r="D565" i="79"/>
  <c r="D566" i="79"/>
  <c r="D567" i="79"/>
  <c r="D568" i="79"/>
  <c r="D569" i="79"/>
  <c r="D570" i="79"/>
  <c r="D571" i="79"/>
  <c r="D572" i="79"/>
  <c r="D573" i="79"/>
  <c r="D574" i="79"/>
  <c r="D575" i="79"/>
  <c r="D576" i="79"/>
  <c r="D577" i="79"/>
  <c r="D578" i="79"/>
  <c r="D579" i="79"/>
  <c r="D580" i="79"/>
  <c r="D581" i="79"/>
  <c r="D582" i="79"/>
  <c r="D583" i="79"/>
  <c r="D584" i="79"/>
  <c r="D585" i="79"/>
  <c r="D586" i="79"/>
  <c r="D587" i="79"/>
  <c r="D588" i="79"/>
  <c r="D589" i="79"/>
  <c r="D590" i="79"/>
  <c r="D591" i="79"/>
  <c r="D592" i="79"/>
  <c r="D593" i="79"/>
  <c r="D594" i="79"/>
  <c r="D595" i="79"/>
  <c r="D596" i="79"/>
  <c r="D597" i="79"/>
  <c r="D598" i="79"/>
  <c r="D599" i="79"/>
  <c r="D600" i="79"/>
  <c r="D601" i="79"/>
  <c r="D602" i="79"/>
  <c r="D603" i="79"/>
  <c r="D604" i="79"/>
  <c r="D605" i="79"/>
  <c r="D606" i="79"/>
  <c r="D607" i="79"/>
  <c r="D608" i="79"/>
  <c r="D609" i="79"/>
  <c r="D610" i="79"/>
  <c r="D611" i="79"/>
  <c r="D612" i="79"/>
  <c r="D613" i="79"/>
  <c r="D614" i="79"/>
  <c r="D615" i="79"/>
  <c r="D616" i="79"/>
  <c r="D617" i="79"/>
  <c r="D618" i="79"/>
  <c r="D619" i="79"/>
  <c r="D620" i="79"/>
  <c r="D621" i="79"/>
  <c r="D622" i="79"/>
  <c r="D623" i="79"/>
  <c r="D624" i="79"/>
  <c r="D625" i="79"/>
  <c r="D626" i="79"/>
  <c r="D627" i="79"/>
  <c r="D628" i="79"/>
  <c r="D629" i="79"/>
  <c r="D630" i="79"/>
  <c r="D631" i="79"/>
  <c r="D632" i="79"/>
  <c r="D633" i="79"/>
  <c r="D634" i="79"/>
  <c r="D635" i="79"/>
  <c r="D636" i="79"/>
  <c r="D637" i="79"/>
  <c r="D638" i="79"/>
  <c r="D639" i="79"/>
  <c r="D640" i="79"/>
  <c r="D641" i="79"/>
  <c r="D642" i="79"/>
  <c r="D643" i="79"/>
  <c r="D644" i="79"/>
  <c r="D645" i="79"/>
  <c r="D646" i="79"/>
  <c r="D647" i="79"/>
  <c r="D648" i="79"/>
  <c r="D649" i="79"/>
  <c r="D650" i="79"/>
  <c r="D651" i="79"/>
  <c r="D652" i="79"/>
  <c r="D653" i="79"/>
  <c r="D654" i="79"/>
  <c r="D655" i="79"/>
  <c r="D656" i="79"/>
  <c r="D657" i="79"/>
  <c r="D658" i="79"/>
  <c r="D659" i="79"/>
  <c r="D660" i="79"/>
  <c r="D661" i="79"/>
  <c r="D662" i="79"/>
  <c r="D663" i="79"/>
  <c r="D664" i="79"/>
  <c r="D665" i="79"/>
  <c r="D666" i="79"/>
  <c r="D667" i="79"/>
  <c r="D668" i="79"/>
  <c r="D669" i="79"/>
  <c r="D670" i="79"/>
  <c r="D671" i="79"/>
  <c r="D672" i="79"/>
  <c r="D673" i="79"/>
  <c r="D674" i="79"/>
  <c r="D675" i="79"/>
  <c r="D676" i="79"/>
  <c r="D677" i="79"/>
  <c r="D678" i="79"/>
  <c r="D679" i="79"/>
  <c r="D680" i="79"/>
  <c r="D681" i="79"/>
  <c r="D682" i="79"/>
  <c r="D683" i="79"/>
  <c r="D684" i="79"/>
  <c r="D685" i="79"/>
  <c r="D686" i="79"/>
  <c r="D687" i="79"/>
  <c r="D688" i="79"/>
  <c r="D689" i="79"/>
  <c r="D690" i="79"/>
  <c r="D691" i="79"/>
  <c r="D692" i="79"/>
  <c r="D693" i="79"/>
  <c r="D694" i="79"/>
  <c r="D695" i="79"/>
  <c r="D696" i="79"/>
  <c r="D697" i="79"/>
  <c r="D698" i="79"/>
  <c r="D699" i="79"/>
  <c r="D700" i="79"/>
  <c r="D701" i="79"/>
  <c r="D702" i="79"/>
  <c r="D703" i="79"/>
  <c r="D704" i="79"/>
  <c r="D705" i="79"/>
  <c r="D706" i="79"/>
  <c r="D707" i="79"/>
  <c r="D708" i="79"/>
  <c r="D709" i="79"/>
  <c r="D710" i="79"/>
  <c r="D711" i="79"/>
  <c r="D712" i="79"/>
  <c r="D713" i="79"/>
  <c r="D714" i="79"/>
  <c r="D715" i="79"/>
  <c r="D716" i="79"/>
  <c r="D717" i="79"/>
  <c r="D718" i="79"/>
  <c r="D719" i="79"/>
  <c r="D720" i="79"/>
  <c r="D721" i="79"/>
  <c r="D722" i="79"/>
  <c r="D723" i="79"/>
  <c r="D724" i="79"/>
  <c r="D725" i="79"/>
  <c r="D726" i="79"/>
  <c r="D727" i="79"/>
  <c r="D728" i="79"/>
  <c r="D729" i="79"/>
  <c r="D730" i="79"/>
  <c r="D731" i="79"/>
  <c r="D732" i="79"/>
  <c r="D733" i="79"/>
  <c r="D734" i="79"/>
  <c r="D735" i="79"/>
  <c r="D736" i="79"/>
  <c r="D737" i="79"/>
  <c r="D738" i="79"/>
  <c r="D739" i="79"/>
  <c r="D740" i="79"/>
  <c r="D741" i="79"/>
  <c r="D742" i="79"/>
  <c r="D743" i="79"/>
  <c r="D744" i="79"/>
  <c r="D745" i="79"/>
  <c r="D746" i="79"/>
  <c r="D747" i="79"/>
  <c r="D748" i="79"/>
  <c r="D749" i="79"/>
  <c r="D750" i="79"/>
  <c r="D751" i="79"/>
  <c r="D752" i="79"/>
  <c r="D753" i="79"/>
  <c r="D754" i="79"/>
  <c r="D755" i="79"/>
  <c r="D756" i="79"/>
  <c r="D757" i="79"/>
  <c r="D758" i="79"/>
  <c r="D759" i="79"/>
  <c r="D760" i="79"/>
  <c r="D761" i="79"/>
  <c r="D762" i="79"/>
  <c r="D763" i="79"/>
  <c r="D764" i="79"/>
  <c r="D765" i="79"/>
  <c r="D766" i="79"/>
  <c r="D767" i="79"/>
  <c r="D768" i="79"/>
  <c r="D769" i="79"/>
  <c r="D770" i="79"/>
  <c r="D771" i="79"/>
  <c r="D772" i="79"/>
  <c r="D773" i="79"/>
  <c r="D774" i="79"/>
  <c r="D775" i="79"/>
  <c r="D776" i="79"/>
  <c r="D777" i="79"/>
  <c r="D778" i="79"/>
  <c r="D779" i="79"/>
  <c r="D780" i="79"/>
  <c r="D781" i="79"/>
  <c r="D782" i="79"/>
  <c r="D783" i="79"/>
  <c r="D784" i="79"/>
  <c r="D785" i="79"/>
  <c r="D786" i="79"/>
  <c r="D787" i="79"/>
  <c r="D788" i="79"/>
  <c r="D789" i="79"/>
  <c r="D790" i="79"/>
  <c r="D791" i="79"/>
  <c r="D792" i="79"/>
  <c r="D793" i="79"/>
  <c r="D794" i="79"/>
  <c r="D795" i="79"/>
  <c r="D796" i="79"/>
  <c r="D797" i="79"/>
  <c r="D798" i="79"/>
  <c r="D799" i="79"/>
  <c r="D800" i="79"/>
  <c r="D801" i="79"/>
  <c r="D802" i="79"/>
  <c r="D803" i="79"/>
  <c r="D804" i="79"/>
  <c r="D805" i="79"/>
  <c r="D806" i="79"/>
  <c r="D807" i="79"/>
  <c r="D808" i="79"/>
  <c r="D809" i="79"/>
  <c r="D810" i="79"/>
  <c r="D811" i="79"/>
  <c r="D812" i="79"/>
  <c r="D813" i="79"/>
  <c r="D814" i="79"/>
  <c r="D815" i="79"/>
  <c r="D816" i="79"/>
  <c r="D817" i="79"/>
  <c r="D818" i="79"/>
  <c r="D819" i="79"/>
  <c r="D820" i="79"/>
  <c r="D821" i="79"/>
  <c r="D822" i="79"/>
  <c r="D823" i="79"/>
  <c r="D824" i="79"/>
  <c r="D825" i="79"/>
  <c r="D826" i="79"/>
  <c r="D827" i="79"/>
  <c r="D828" i="79"/>
  <c r="D829" i="79"/>
  <c r="D830" i="79"/>
  <c r="D831" i="79"/>
  <c r="D832" i="79"/>
  <c r="D833" i="79"/>
  <c r="D834" i="79"/>
  <c r="D835" i="79"/>
  <c r="D836" i="79"/>
  <c r="D837" i="79"/>
  <c r="D838" i="79"/>
  <c r="D839" i="79"/>
  <c r="D840" i="79"/>
  <c r="D841" i="79"/>
  <c r="D842" i="79"/>
  <c r="D843" i="79"/>
  <c r="D844" i="79"/>
  <c r="D845" i="79"/>
  <c r="D846" i="79"/>
  <c r="D847" i="79"/>
  <c r="D848" i="79"/>
  <c r="D849" i="79"/>
  <c r="D850" i="79"/>
  <c r="D851" i="79"/>
  <c r="D852" i="79"/>
  <c r="D853" i="79"/>
  <c r="D854" i="79"/>
  <c r="D855" i="79"/>
  <c r="D856" i="79"/>
  <c r="D857" i="79"/>
  <c r="D858" i="79"/>
  <c r="D859" i="79"/>
  <c r="D860" i="79"/>
  <c r="D861" i="79"/>
  <c r="D862" i="79"/>
  <c r="D863" i="79"/>
  <c r="D864" i="79"/>
  <c r="D865" i="79"/>
  <c r="D866" i="79"/>
  <c r="D867" i="79"/>
  <c r="D868" i="79"/>
  <c r="D869" i="79"/>
  <c r="D870" i="79"/>
  <c r="D871" i="79"/>
  <c r="D872" i="79"/>
  <c r="D873" i="79"/>
  <c r="D874" i="79"/>
  <c r="D875" i="79"/>
  <c r="D876" i="79"/>
  <c r="D877" i="79"/>
  <c r="D878" i="79"/>
  <c r="D879" i="79"/>
  <c r="D880" i="79"/>
  <c r="D881" i="79"/>
  <c r="D882" i="79"/>
  <c r="D883" i="79"/>
  <c r="D884" i="79"/>
  <c r="D885" i="79"/>
  <c r="D886" i="79"/>
  <c r="D887" i="79"/>
  <c r="D888" i="79"/>
  <c r="D889" i="79"/>
  <c r="D890" i="79"/>
  <c r="D891" i="79"/>
  <c r="D892" i="79"/>
  <c r="D893" i="79"/>
  <c r="D894" i="79"/>
  <c r="D895" i="79"/>
  <c r="D896" i="79"/>
  <c r="D897" i="79"/>
  <c r="D898" i="79"/>
  <c r="D899" i="79"/>
  <c r="D900" i="79"/>
  <c r="D901" i="79"/>
  <c r="D902" i="79"/>
  <c r="D903" i="79"/>
  <c r="D904" i="79"/>
  <c r="D905" i="79"/>
  <c r="D906" i="79"/>
  <c r="D907" i="79"/>
  <c r="D908" i="79"/>
  <c r="D909" i="79"/>
  <c r="D910" i="79"/>
  <c r="D911" i="79"/>
  <c r="D912" i="79"/>
  <c r="D913" i="79"/>
  <c r="D914" i="79"/>
  <c r="D915" i="79"/>
  <c r="D916" i="79"/>
  <c r="D917" i="79"/>
  <c r="D918" i="79"/>
  <c r="D919" i="79"/>
  <c r="D920" i="79"/>
  <c r="D921" i="79"/>
  <c r="D922" i="79"/>
  <c r="D923" i="79"/>
  <c r="D924" i="79"/>
  <c r="D925" i="79"/>
  <c r="D926" i="79"/>
  <c r="D927" i="79"/>
  <c r="D928" i="79"/>
  <c r="D929" i="79"/>
  <c r="D930" i="79"/>
  <c r="D931" i="79"/>
  <c r="D932" i="79"/>
  <c r="D933" i="79"/>
  <c r="D934" i="79"/>
  <c r="D935" i="79"/>
  <c r="D936" i="79"/>
  <c r="D937" i="79"/>
  <c r="D938" i="79"/>
  <c r="D939" i="79"/>
  <c r="D2" i="79"/>
  <c r="B57" i="79"/>
  <c r="B58" i="79"/>
  <c r="B59" i="79"/>
  <c r="B60" i="79"/>
  <c r="B61" i="79"/>
  <c r="B62" i="79"/>
  <c r="B63" i="79"/>
  <c r="B64" i="79"/>
  <c r="B65" i="79"/>
  <c r="B66" i="79"/>
  <c r="B67" i="79"/>
  <c r="B68" i="79"/>
  <c r="B69" i="79"/>
  <c r="B70" i="79"/>
  <c r="B71" i="79"/>
  <c r="B72" i="79"/>
  <c r="B73" i="79"/>
  <c r="B74" i="79"/>
  <c r="B75" i="79"/>
  <c r="B76" i="79"/>
  <c r="B77" i="79"/>
  <c r="B78" i="79"/>
  <c r="B79" i="79"/>
  <c r="B80" i="79"/>
  <c r="B81" i="79"/>
  <c r="B82" i="79"/>
  <c r="B83" i="79"/>
  <c r="B84" i="79"/>
  <c r="B85" i="79"/>
  <c r="B86" i="79"/>
  <c r="B87" i="79"/>
  <c r="B88" i="79"/>
  <c r="B89" i="79"/>
  <c r="B90" i="79"/>
  <c r="B91" i="79"/>
  <c r="B92" i="79"/>
  <c r="B93" i="79"/>
  <c r="B94" i="79"/>
  <c r="B95" i="79"/>
  <c r="B96" i="79"/>
  <c r="B97" i="79"/>
  <c r="B98" i="79"/>
  <c r="B99" i="79"/>
  <c r="B100" i="79"/>
  <c r="B101" i="79"/>
  <c r="B102" i="79"/>
  <c r="B103" i="79"/>
  <c r="B104" i="79"/>
  <c r="B105" i="79"/>
  <c r="B106" i="79"/>
  <c r="B107" i="79"/>
  <c r="B108" i="79"/>
  <c r="B109" i="79"/>
  <c r="B110" i="79"/>
  <c r="B111" i="79"/>
  <c r="B112" i="79"/>
  <c r="B113" i="79"/>
  <c r="B114" i="79"/>
  <c r="B115" i="79"/>
  <c r="B116" i="79"/>
  <c r="B117" i="79"/>
  <c r="B118" i="79"/>
  <c r="B119" i="79"/>
  <c r="B120" i="79"/>
  <c r="B121" i="79"/>
  <c r="B122" i="79"/>
  <c r="B123" i="79"/>
  <c r="B124" i="79"/>
  <c r="B125" i="79"/>
  <c r="B126" i="79"/>
  <c r="B127" i="79"/>
  <c r="B128" i="79"/>
  <c r="B129" i="79"/>
  <c r="B130" i="79"/>
  <c r="B131" i="79"/>
  <c r="B132" i="79"/>
  <c r="B133" i="79"/>
  <c r="B134" i="79"/>
  <c r="B135" i="79"/>
  <c r="B136" i="79"/>
  <c r="B137" i="79"/>
  <c r="B138" i="79"/>
  <c r="B139" i="79"/>
  <c r="B140" i="79"/>
  <c r="B141" i="79"/>
  <c r="B142" i="79"/>
  <c r="B143" i="79"/>
  <c r="B144" i="79"/>
  <c r="B145" i="79"/>
  <c r="B146" i="79"/>
  <c r="B147" i="79"/>
  <c r="B148" i="79"/>
  <c r="B149" i="79"/>
  <c r="B150" i="79"/>
  <c r="B151" i="79"/>
  <c r="B152" i="79"/>
  <c r="B153" i="79"/>
  <c r="B154" i="79"/>
  <c r="B155" i="79"/>
  <c r="B156" i="79"/>
  <c r="B157" i="79"/>
  <c r="B158" i="79"/>
  <c r="B159" i="79"/>
  <c r="B160" i="79"/>
  <c r="B161" i="79"/>
  <c r="B162" i="79"/>
  <c r="B163" i="79"/>
  <c r="B164" i="79"/>
  <c r="B165" i="79"/>
  <c r="B166" i="79"/>
  <c r="B167" i="79"/>
  <c r="B168" i="79"/>
  <c r="B169" i="79"/>
  <c r="B170" i="79"/>
  <c r="B171" i="79"/>
  <c r="B172" i="79"/>
  <c r="B173" i="79"/>
  <c r="B174" i="79"/>
  <c r="B175" i="79"/>
  <c r="B176" i="79"/>
  <c r="B177" i="79"/>
  <c r="B178" i="79"/>
  <c r="B179" i="79"/>
  <c r="B180" i="79"/>
  <c r="B181" i="79"/>
  <c r="B182" i="79"/>
  <c r="B183" i="79"/>
  <c r="B184" i="79"/>
  <c r="B185" i="79"/>
  <c r="B186" i="79"/>
  <c r="B187" i="79"/>
  <c r="B188" i="79"/>
  <c r="B189" i="79"/>
  <c r="B190" i="79"/>
  <c r="B191" i="79"/>
  <c r="B192" i="79"/>
  <c r="B193" i="79"/>
  <c r="B194" i="79"/>
  <c r="B195" i="79"/>
  <c r="B196" i="79"/>
  <c r="B197" i="79"/>
  <c r="B198" i="79"/>
  <c r="B199" i="79"/>
  <c r="B200" i="79"/>
  <c r="B201" i="79"/>
  <c r="B202" i="79"/>
  <c r="B203" i="79"/>
  <c r="B204" i="79"/>
  <c r="B205" i="79"/>
  <c r="B206" i="79"/>
  <c r="B207" i="79"/>
  <c r="B208" i="79"/>
  <c r="B209" i="79"/>
  <c r="B210" i="79"/>
  <c r="B211" i="79"/>
  <c r="B212" i="79"/>
  <c r="B213" i="79"/>
  <c r="B214" i="79"/>
  <c r="B215" i="79"/>
  <c r="B216" i="79"/>
  <c r="B217" i="79"/>
  <c r="B218" i="79"/>
  <c r="B219" i="79"/>
  <c r="B220" i="79"/>
  <c r="B221" i="79"/>
  <c r="B222" i="79"/>
  <c r="B223" i="79"/>
  <c r="B224" i="79"/>
  <c r="B225" i="79"/>
  <c r="B226" i="79"/>
  <c r="B227" i="79"/>
  <c r="B228" i="79"/>
  <c r="B229" i="79"/>
  <c r="B230" i="79"/>
  <c r="B231" i="79"/>
  <c r="B232" i="79"/>
  <c r="B233" i="79"/>
  <c r="B234" i="79"/>
  <c r="B235" i="79"/>
  <c r="B236" i="79"/>
  <c r="B237" i="79"/>
  <c r="B238" i="79"/>
  <c r="B239" i="79"/>
  <c r="B240" i="79"/>
  <c r="B241" i="79"/>
  <c r="B242" i="79"/>
  <c r="B243" i="79"/>
  <c r="B244" i="79"/>
  <c r="B245" i="79"/>
  <c r="B246" i="79"/>
  <c r="B247" i="79"/>
  <c r="B248" i="79"/>
  <c r="B249" i="79"/>
  <c r="B250" i="79"/>
  <c r="B251" i="79"/>
  <c r="B252" i="79"/>
  <c r="B253" i="79"/>
  <c r="B254" i="79"/>
  <c r="B255" i="79"/>
  <c r="B256" i="79"/>
  <c r="B257" i="79"/>
  <c r="B258" i="79"/>
  <c r="B259" i="79"/>
  <c r="B260" i="79"/>
  <c r="B261" i="79"/>
  <c r="B262" i="79"/>
  <c r="B263" i="79"/>
  <c r="B264" i="79"/>
  <c r="B265" i="79"/>
  <c r="B266" i="79"/>
  <c r="B267" i="79"/>
  <c r="B268" i="79"/>
  <c r="B269" i="79"/>
  <c r="B270" i="79"/>
  <c r="B271" i="79"/>
  <c r="B272" i="79"/>
  <c r="B273" i="79"/>
  <c r="B274" i="79"/>
  <c r="B275" i="79"/>
  <c r="B276" i="79"/>
  <c r="B277" i="79"/>
  <c r="B278" i="79"/>
  <c r="B279" i="79"/>
  <c r="B280" i="79"/>
  <c r="B281" i="79"/>
  <c r="B282" i="79"/>
  <c r="B283" i="79"/>
  <c r="B284" i="79"/>
  <c r="B285" i="79"/>
  <c r="B286" i="79"/>
  <c r="B287" i="79"/>
  <c r="B288" i="79"/>
  <c r="B289" i="79"/>
  <c r="B290" i="79"/>
  <c r="B291" i="79"/>
  <c r="B292" i="79"/>
  <c r="B293" i="79"/>
  <c r="B294" i="79"/>
  <c r="B295" i="79"/>
  <c r="B296" i="79"/>
  <c r="B297" i="79"/>
  <c r="B298" i="79"/>
  <c r="B299" i="79"/>
  <c r="B300" i="79"/>
  <c r="B301" i="79"/>
  <c r="B302" i="79"/>
  <c r="B303" i="79"/>
  <c r="B304" i="79"/>
  <c r="B305" i="79"/>
  <c r="B306" i="79"/>
  <c r="B307" i="79"/>
  <c r="B308" i="79"/>
  <c r="B309" i="79"/>
  <c r="B310" i="79"/>
  <c r="B311" i="79"/>
  <c r="B312" i="79"/>
  <c r="B313" i="79"/>
  <c r="B314" i="79"/>
  <c r="B315" i="79"/>
  <c r="B316" i="79"/>
  <c r="B317" i="79"/>
  <c r="B318" i="79"/>
  <c r="B319" i="79"/>
  <c r="B320" i="79"/>
  <c r="B321" i="79"/>
  <c r="B322" i="79"/>
  <c r="B323" i="79"/>
  <c r="B324" i="79"/>
  <c r="B325" i="79"/>
  <c r="B326" i="79"/>
  <c r="B327" i="79"/>
  <c r="B328" i="79"/>
  <c r="B329" i="79"/>
  <c r="B330" i="79"/>
  <c r="B331" i="79"/>
  <c r="B332" i="79"/>
  <c r="B333" i="79"/>
  <c r="B334" i="79"/>
  <c r="B335" i="79"/>
  <c r="B336" i="79"/>
  <c r="B337" i="79"/>
  <c r="B338" i="79"/>
  <c r="B339" i="79"/>
  <c r="B340" i="79"/>
  <c r="B341" i="79"/>
  <c r="B342" i="79"/>
  <c r="B343" i="79"/>
  <c r="B344" i="79"/>
  <c r="B345" i="79"/>
  <c r="B346" i="79"/>
  <c r="B347" i="79"/>
  <c r="B348" i="79"/>
  <c r="B349" i="79"/>
  <c r="B350" i="79"/>
  <c r="B351" i="79"/>
  <c r="B352" i="79"/>
  <c r="B353" i="79"/>
  <c r="B354" i="79"/>
  <c r="B355" i="79"/>
  <c r="B356" i="79"/>
  <c r="B357" i="79"/>
  <c r="B358" i="79"/>
  <c r="B359" i="79"/>
  <c r="B360" i="79"/>
  <c r="B361" i="79"/>
  <c r="B362" i="79"/>
  <c r="B363" i="79"/>
  <c r="B364" i="79"/>
  <c r="B365" i="79"/>
  <c r="B366" i="79"/>
  <c r="B367" i="79"/>
  <c r="B368" i="79"/>
  <c r="B369" i="79"/>
  <c r="B370" i="79"/>
  <c r="B371" i="79"/>
  <c r="B372" i="79"/>
  <c r="B373" i="79"/>
  <c r="B374" i="79"/>
  <c r="B375" i="79"/>
  <c r="B376" i="79"/>
  <c r="B377" i="79"/>
  <c r="B378" i="79"/>
  <c r="B379" i="79"/>
  <c r="B380" i="79"/>
  <c r="B381" i="79"/>
  <c r="B382" i="79"/>
  <c r="B383" i="79"/>
  <c r="B384" i="79"/>
  <c r="B385" i="79"/>
  <c r="B386" i="79"/>
  <c r="B387" i="79"/>
  <c r="B388" i="79"/>
  <c r="B389" i="79"/>
  <c r="B390" i="79"/>
  <c r="B391" i="79"/>
  <c r="B392" i="79"/>
  <c r="B393" i="79"/>
  <c r="B394" i="79"/>
  <c r="B395" i="79"/>
  <c r="B396" i="79"/>
  <c r="B397" i="79"/>
  <c r="B398" i="79"/>
  <c r="B399" i="79"/>
  <c r="B400" i="79"/>
  <c r="B401" i="79"/>
  <c r="B402" i="79"/>
  <c r="B403" i="79"/>
  <c r="B404" i="79"/>
  <c r="B405" i="79"/>
  <c r="B406" i="79"/>
  <c r="B407" i="79"/>
  <c r="B408" i="79"/>
  <c r="B409" i="79"/>
  <c r="B410" i="79"/>
  <c r="B411" i="79"/>
  <c r="B412" i="79"/>
  <c r="B413" i="79"/>
  <c r="B414" i="79"/>
  <c r="B415" i="79"/>
  <c r="B416" i="79"/>
  <c r="B417" i="79"/>
  <c r="B418" i="79"/>
  <c r="B419" i="79"/>
  <c r="B420" i="79"/>
  <c r="B421" i="79"/>
  <c r="B422" i="79"/>
  <c r="B423" i="79"/>
  <c r="B424" i="79"/>
  <c r="B425" i="79"/>
  <c r="B426" i="79"/>
  <c r="B427" i="79"/>
  <c r="B428" i="79"/>
  <c r="B429" i="79"/>
  <c r="B430" i="79"/>
  <c r="B431" i="79"/>
  <c r="B432" i="79"/>
  <c r="B433" i="79"/>
  <c r="B434" i="79"/>
  <c r="B435" i="79"/>
  <c r="B436" i="79"/>
  <c r="B437" i="79"/>
  <c r="B438" i="79"/>
  <c r="B439" i="79"/>
  <c r="B440" i="79"/>
  <c r="B441" i="79"/>
  <c r="B442" i="79"/>
  <c r="B443" i="79"/>
  <c r="B444" i="79"/>
  <c r="B445" i="79"/>
  <c r="B446" i="79"/>
  <c r="B447" i="79"/>
  <c r="B448" i="79"/>
  <c r="B449" i="79"/>
  <c r="B450" i="79"/>
  <c r="B451" i="79"/>
  <c r="B452" i="79"/>
  <c r="B453" i="79"/>
  <c r="B454" i="79"/>
  <c r="B455" i="79"/>
  <c r="B456" i="79"/>
  <c r="B457" i="79"/>
  <c r="B458" i="79"/>
  <c r="B459" i="79"/>
  <c r="B460" i="79"/>
  <c r="B461" i="79"/>
  <c r="B462" i="79"/>
  <c r="B463" i="79"/>
  <c r="B464" i="79"/>
  <c r="B465" i="79"/>
  <c r="B466" i="79"/>
  <c r="B467" i="79"/>
  <c r="B468" i="79"/>
  <c r="B469" i="79"/>
  <c r="B470" i="79"/>
  <c r="B471" i="79"/>
  <c r="B472" i="79"/>
  <c r="B473" i="79"/>
  <c r="B474" i="79"/>
  <c r="B475" i="79"/>
  <c r="B476" i="79"/>
  <c r="B477" i="79"/>
  <c r="B478" i="79"/>
  <c r="B479" i="79"/>
  <c r="B480" i="79"/>
  <c r="B481" i="79"/>
  <c r="B482" i="79"/>
  <c r="B483" i="79"/>
  <c r="B484" i="79"/>
  <c r="B485" i="79"/>
  <c r="B486" i="79"/>
  <c r="B487" i="79"/>
  <c r="B488" i="79"/>
  <c r="B489" i="79"/>
  <c r="B490" i="79"/>
  <c r="B491" i="79"/>
  <c r="B492" i="79"/>
  <c r="B493" i="79"/>
  <c r="B494" i="79"/>
  <c r="B495" i="79"/>
  <c r="B496" i="79"/>
  <c r="B497" i="79"/>
  <c r="B498" i="79"/>
  <c r="B499" i="79"/>
  <c r="B500" i="79"/>
  <c r="B501" i="79"/>
  <c r="B502" i="79"/>
  <c r="B503" i="79"/>
  <c r="B504" i="79"/>
  <c r="B505" i="79"/>
  <c r="B506" i="79"/>
  <c r="B507" i="79"/>
  <c r="B508" i="79"/>
  <c r="B509" i="79"/>
  <c r="B510" i="79"/>
  <c r="B511" i="79"/>
  <c r="B512" i="79"/>
  <c r="B513" i="79"/>
  <c r="B514" i="79"/>
  <c r="B515" i="79"/>
  <c r="B516" i="79"/>
  <c r="B517" i="79"/>
  <c r="B518" i="79"/>
  <c r="B519" i="79"/>
  <c r="B520" i="79"/>
  <c r="B521" i="79"/>
  <c r="B522" i="79"/>
  <c r="B523" i="79"/>
  <c r="B524" i="79"/>
  <c r="B525" i="79"/>
  <c r="B526" i="79"/>
  <c r="B527" i="79"/>
  <c r="B528" i="79"/>
  <c r="B529" i="79"/>
  <c r="B530" i="79"/>
  <c r="B531" i="79"/>
  <c r="B532" i="79"/>
  <c r="B533" i="79"/>
  <c r="B534" i="79"/>
  <c r="B535" i="79"/>
  <c r="B536" i="79"/>
  <c r="B537" i="79"/>
  <c r="B538" i="79"/>
  <c r="B539" i="79"/>
  <c r="B540" i="79"/>
  <c r="B541" i="79"/>
  <c r="B542" i="79"/>
  <c r="B543" i="79"/>
  <c r="B544" i="79"/>
  <c r="B545" i="79"/>
  <c r="B546" i="79"/>
  <c r="B547" i="79"/>
  <c r="B548" i="79"/>
  <c r="B549" i="79"/>
  <c r="B550" i="79"/>
  <c r="B551" i="79"/>
  <c r="B552" i="79"/>
  <c r="B553" i="79"/>
  <c r="B554" i="79"/>
  <c r="B555" i="79"/>
  <c r="B556" i="79"/>
  <c r="B557" i="79"/>
  <c r="B558" i="79"/>
  <c r="B559" i="79"/>
  <c r="B560" i="79"/>
  <c r="B561" i="79"/>
  <c r="B562" i="79"/>
  <c r="B563" i="79"/>
  <c r="B564" i="79"/>
  <c r="B565" i="79"/>
  <c r="B566" i="79"/>
  <c r="B567" i="79"/>
  <c r="B568" i="79"/>
  <c r="B569" i="79"/>
  <c r="B570" i="79"/>
  <c r="B571" i="79"/>
  <c r="B572" i="79"/>
  <c r="B573" i="79"/>
  <c r="B574" i="79"/>
  <c r="B575" i="79"/>
  <c r="B576" i="79"/>
  <c r="B577" i="79"/>
  <c r="B578" i="79"/>
  <c r="B579" i="79"/>
  <c r="B580" i="79"/>
  <c r="B581" i="79"/>
  <c r="B582" i="79"/>
  <c r="B583" i="79"/>
  <c r="B584" i="79"/>
  <c r="B585" i="79"/>
  <c r="B586" i="79"/>
  <c r="B587" i="79"/>
  <c r="B588" i="79"/>
  <c r="B589" i="79"/>
  <c r="B590" i="79"/>
  <c r="B591" i="79"/>
  <c r="B592" i="79"/>
  <c r="B593" i="79"/>
  <c r="B594" i="79"/>
  <c r="B595" i="79"/>
  <c r="B596" i="79"/>
  <c r="B597" i="79"/>
  <c r="B598" i="79"/>
  <c r="B599" i="79"/>
  <c r="B600" i="79"/>
  <c r="B601" i="79"/>
  <c r="B602" i="79"/>
  <c r="B603" i="79"/>
  <c r="B604" i="79"/>
  <c r="B605" i="79"/>
  <c r="B606" i="79"/>
  <c r="B607" i="79"/>
  <c r="B608" i="79"/>
  <c r="B609" i="79"/>
  <c r="B610" i="79"/>
  <c r="B611" i="79"/>
  <c r="B612" i="79"/>
  <c r="B613" i="79"/>
  <c r="B614" i="79"/>
  <c r="B615" i="79"/>
  <c r="B616" i="79"/>
  <c r="B617" i="79"/>
  <c r="B618" i="79"/>
  <c r="B619" i="79"/>
  <c r="B620" i="79"/>
  <c r="B621" i="79"/>
  <c r="B622" i="79"/>
  <c r="B623" i="79"/>
  <c r="B624" i="79"/>
  <c r="B625" i="79"/>
  <c r="B626" i="79"/>
  <c r="B627" i="79"/>
  <c r="B628" i="79"/>
  <c r="B629" i="79"/>
  <c r="B630" i="79"/>
  <c r="B631" i="79"/>
  <c r="B632" i="79"/>
  <c r="B633" i="79"/>
  <c r="B634" i="79"/>
  <c r="B635" i="79"/>
  <c r="B636" i="79"/>
  <c r="B637" i="79"/>
  <c r="B638" i="79"/>
  <c r="B639" i="79"/>
  <c r="B640" i="79"/>
  <c r="B641" i="79"/>
  <c r="B642" i="79"/>
  <c r="B643" i="79"/>
  <c r="B644" i="79"/>
  <c r="B645" i="79"/>
  <c r="B646" i="79"/>
  <c r="B647" i="79"/>
  <c r="B648" i="79"/>
  <c r="B649" i="79"/>
  <c r="B650" i="79"/>
  <c r="B651" i="79"/>
  <c r="B652" i="79"/>
  <c r="B653" i="79"/>
  <c r="B654" i="79"/>
  <c r="B655" i="79"/>
  <c r="B656" i="79"/>
  <c r="B657" i="79"/>
  <c r="B658" i="79"/>
  <c r="B659" i="79"/>
  <c r="B660" i="79"/>
  <c r="B661" i="79"/>
  <c r="B662" i="79"/>
  <c r="B663" i="79"/>
  <c r="B664" i="79"/>
  <c r="B665" i="79"/>
  <c r="B666" i="79"/>
  <c r="B667" i="79"/>
  <c r="B668" i="79"/>
  <c r="B669" i="79"/>
  <c r="B670" i="79"/>
  <c r="B671" i="79"/>
  <c r="B672" i="79"/>
  <c r="B673" i="79"/>
  <c r="B674" i="79"/>
  <c r="B675" i="79"/>
  <c r="B676" i="79"/>
  <c r="B677" i="79"/>
  <c r="B678" i="79"/>
  <c r="B679" i="79"/>
  <c r="B680" i="79"/>
  <c r="B681" i="79"/>
  <c r="B682" i="79"/>
  <c r="B683" i="79"/>
  <c r="B684" i="79"/>
  <c r="B685" i="79"/>
  <c r="B686" i="79"/>
  <c r="B687" i="79"/>
  <c r="B688" i="79"/>
  <c r="B689" i="79"/>
  <c r="B690" i="79"/>
  <c r="B691" i="79"/>
  <c r="B692" i="79"/>
  <c r="B693" i="79"/>
  <c r="B694" i="79"/>
  <c r="B695" i="79"/>
  <c r="B696" i="79"/>
  <c r="B697" i="79"/>
  <c r="B698" i="79"/>
  <c r="B699" i="79"/>
  <c r="B700" i="79"/>
  <c r="B701" i="79"/>
  <c r="B702" i="79"/>
  <c r="B703" i="79"/>
  <c r="B704" i="79"/>
  <c r="B705" i="79"/>
  <c r="B706" i="79"/>
  <c r="B707" i="79"/>
  <c r="B708" i="79"/>
  <c r="B709" i="79"/>
  <c r="B710" i="79"/>
  <c r="B711" i="79"/>
  <c r="B712" i="79"/>
  <c r="B713" i="79"/>
  <c r="B714" i="79"/>
  <c r="B715" i="79"/>
  <c r="B716" i="79"/>
  <c r="B717" i="79"/>
  <c r="B718" i="79"/>
  <c r="B719" i="79"/>
  <c r="B720" i="79"/>
  <c r="B721" i="79"/>
  <c r="B722" i="79"/>
  <c r="B723" i="79"/>
  <c r="B724" i="79"/>
  <c r="B725" i="79"/>
  <c r="B726" i="79"/>
  <c r="B727" i="79"/>
  <c r="B728" i="79"/>
  <c r="B729" i="79"/>
  <c r="B730" i="79"/>
  <c r="B731" i="79"/>
  <c r="B732" i="79"/>
  <c r="B733" i="79"/>
  <c r="B734" i="79"/>
  <c r="B735" i="79"/>
  <c r="B736" i="79"/>
  <c r="B737" i="79"/>
  <c r="B738" i="79"/>
  <c r="B739" i="79"/>
  <c r="B740" i="79"/>
  <c r="B741" i="79"/>
  <c r="B742" i="79"/>
  <c r="B743" i="79"/>
  <c r="B744" i="79"/>
  <c r="B745" i="79"/>
  <c r="B746" i="79"/>
  <c r="B747" i="79"/>
  <c r="B748" i="79"/>
  <c r="B749" i="79"/>
  <c r="B750" i="79"/>
  <c r="B751" i="79"/>
  <c r="B752" i="79"/>
  <c r="B753" i="79"/>
  <c r="B754" i="79"/>
  <c r="B755" i="79"/>
  <c r="B756" i="79"/>
  <c r="B757" i="79"/>
  <c r="B758" i="79"/>
  <c r="B759" i="79"/>
  <c r="B760" i="79"/>
  <c r="B761" i="79"/>
  <c r="B762" i="79"/>
  <c r="B763" i="79"/>
  <c r="B764" i="79"/>
  <c r="B765" i="79"/>
  <c r="B766" i="79"/>
  <c r="B767" i="79"/>
  <c r="B768" i="79"/>
  <c r="B769" i="79"/>
  <c r="B770" i="79"/>
  <c r="B771" i="79"/>
  <c r="B772" i="79"/>
  <c r="B773" i="79"/>
  <c r="B774" i="79"/>
  <c r="B775" i="79"/>
  <c r="B776" i="79"/>
  <c r="B777" i="79"/>
  <c r="B778" i="79"/>
  <c r="B779" i="79"/>
  <c r="B780" i="79"/>
  <c r="B781" i="79"/>
  <c r="B782" i="79"/>
  <c r="B783" i="79"/>
  <c r="B784" i="79"/>
  <c r="B785" i="79"/>
  <c r="B786" i="79"/>
  <c r="B787" i="79"/>
  <c r="B788" i="79"/>
  <c r="B789" i="79"/>
  <c r="B790" i="79"/>
  <c r="B791" i="79"/>
  <c r="B792" i="79"/>
  <c r="B793" i="79"/>
  <c r="B794" i="79"/>
  <c r="B795" i="79"/>
  <c r="B796" i="79"/>
  <c r="B797" i="79"/>
  <c r="B798" i="79"/>
  <c r="B799" i="79"/>
  <c r="B800" i="79"/>
  <c r="B801" i="79"/>
  <c r="B802" i="79"/>
  <c r="B803" i="79"/>
  <c r="B804" i="79"/>
  <c r="B805" i="79"/>
  <c r="B806" i="79"/>
  <c r="B807" i="79"/>
  <c r="B808" i="79"/>
  <c r="B809" i="79"/>
  <c r="B810" i="79"/>
  <c r="B811" i="79"/>
  <c r="B812" i="79"/>
  <c r="B813" i="79"/>
  <c r="B814" i="79"/>
  <c r="B815" i="79"/>
  <c r="B816" i="79"/>
  <c r="B817" i="79"/>
  <c r="B818" i="79"/>
  <c r="B819" i="79"/>
  <c r="B820" i="79"/>
  <c r="B821" i="79"/>
  <c r="B822" i="79"/>
  <c r="B823" i="79"/>
  <c r="B824" i="79"/>
  <c r="B825" i="79"/>
  <c r="B826" i="79"/>
  <c r="B827" i="79"/>
  <c r="B828" i="79"/>
  <c r="B829" i="79"/>
  <c r="B830" i="79"/>
  <c r="B831" i="79"/>
  <c r="B832" i="79"/>
  <c r="B833" i="79"/>
  <c r="B834" i="79"/>
  <c r="B835" i="79"/>
  <c r="B836" i="79"/>
  <c r="B837" i="79"/>
  <c r="B838" i="79"/>
  <c r="B839" i="79"/>
  <c r="B840" i="79"/>
  <c r="B841" i="79"/>
  <c r="B842" i="79"/>
  <c r="B843" i="79"/>
  <c r="B844" i="79"/>
  <c r="B845" i="79"/>
  <c r="B846" i="79"/>
  <c r="B847" i="79"/>
  <c r="B848" i="79"/>
  <c r="B849" i="79"/>
  <c r="B850" i="79"/>
  <c r="B851" i="79"/>
  <c r="B852" i="79"/>
  <c r="B853" i="79"/>
  <c r="B854" i="79"/>
  <c r="B855" i="79"/>
  <c r="B856" i="79"/>
  <c r="B857" i="79"/>
  <c r="B858" i="79"/>
  <c r="B859" i="79"/>
  <c r="B860" i="79"/>
  <c r="B861" i="79"/>
  <c r="B862" i="79"/>
  <c r="B863" i="79"/>
  <c r="B864" i="79"/>
  <c r="B865" i="79"/>
  <c r="B866" i="79"/>
  <c r="B867" i="79"/>
  <c r="B868" i="79"/>
  <c r="B869" i="79"/>
  <c r="B870" i="79"/>
  <c r="B871" i="79"/>
  <c r="B872" i="79"/>
  <c r="B873" i="79"/>
  <c r="B874" i="79"/>
  <c r="B875" i="79"/>
  <c r="B876" i="79"/>
  <c r="B877" i="79"/>
  <c r="B878" i="79"/>
  <c r="B879" i="79"/>
  <c r="B880" i="79"/>
  <c r="B881" i="79"/>
  <c r="B882" i="79"/>
  <c r="B883" i="79"/>
  <c r="B884" i="79"/>
  <c r="B885" i="79"/>
  <c r="B886" i="79"/>
  <c r="B887" i="79"/>
  <c r="B888" i="79"/>
  <c r="B889" i="79"/>
  <c r="B890" i="79"/>
  <c r="B891" i="79"/>
  <c r="B892" i="79"/>
  <c r="B893" i="79"/>
  <c r="B894" i="79"/>
  <c r="B895" i="79"/>
  <c r="B896" i="79"/>
  <c r="B897" i="79"/>
  <c r="B898" i="79"/>
  <c r="B899" i="79"/>
  <c r="B900" i="79"/>
  <c r="B901" i="79"/>
  <c r="B902" i="79"/>
  <c r="B903" i="79"/>
  <c r="B904" i="79"/>
  <c r="B905" i="79"/>
  <c r="B906" i="79"/>
  <c r="B907" i="79"/>
  <c r="B908" i="79"/>
  <c r="B909" i="79"/>
  <c r="B910" i="79"/>
  <c r="B911" i="79"/>
  <c r="B912" i="79"/>
  <c r="B913" i="79"/>
  <c r="B914" i="79"/>
  <c r="B915" i="79"/>
  <c r="B916" i="79"/>
  <c r="B917" i="79"/>
  <c r="B918" i="79"/>
  <c r="B919" i="79"/>
  <c r="B920" i="79"/>
  <c r="B921" i="79"/>
  <c r="B922" i="79"/>
  <c r="B923" i="79"/>
  <c r="B924" i="79"/>
  <c r="B925" i="79"/>
  <c r="B926" i="79"/>
  <c r="B927" i="79"/>
  <c r="B928" i="79"/>
  <c r="B929" i="79"/>
  <c r="B930" i="79"/>
  <c r="B931" i="79"/>
  <c r="B932" i="79"/>
  <c r="B933" i="79"/>
  <c r="B934" i="79"/>
  <c r="B935" i="79"/>
  <c r="B936" i="79"/>
  <c r="B937" i="79"/>
  <c r="B938" i="79"/>
  <c r="B939" i="79"/>
  <c r="B3" i="79"/>
  <c r="B4" i="79"/>
  <c r="B5" i="79"/>
  <c r="B6" i="79"/>
  <c r="B7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33" i="79"/>
  <c r="B34" i="79"/>
  <c r="B35" i="79"/>
  <c r="B36" i="79"/>
  <c r="B37" i="79"/>
  <c r="B38" i="79"/>
  <c r="B39" i="79"/>
  <c r="B40" i="79"/>
  <c r="B41" i="79"/>
  <c r="B42" i="79"/>
  <c r="B43" i="79"/>
  <c r="B44" i="79"/>
  <c r="B45" i="79"/>
  <c r="B46" i="79"/>
  <c r="B47" i="79"/>
  <c r="B48" i="79"/>
  <c r="B49" i="79"/>
  <c r="B50" i="79"/>
  <c r="B51" i="79"/>
  <c r="B52" i="79"/>
  <c r="B53" i="79"/>
  <c r="B54" i="79"/>
  <c r="B55" i="79"/>
  <c r="B56" i="79"/>
  <c r="B2" i="79"/>
  <c r="B3" i="82" l="1" a="1"/>
  <c r="B3" i="81" a="1"/>
  <c r="B3" i="80" a="1"/>
  <c r="BA998" i="79"/>
  <c r="I370" i="79"/>
  <c r="I417" i="79" s="1"/>
  <c r="I464" i="79" s="1"/>
  <c r="I511" i="79" s="1"/>
  <c r="I558" i="79" s="1"/>
  <c r="I605" i="79" s="1"/>
  <c r="I652" i="79" s="1"/>
  <c r="I699" i="79" s="1"/>
  <c r="I746" i="79" s="1"/>
  <c r="I353" i="79"/>
  <c r="I400" i="79" s="1"/>
  <c r="I447" i="79" s="1"/>
  <c r="I494" i="79" s="1"/>
  <c r="I541" i="79" s="1"/>
  <c r="I588" i="79" s="1"/>
  <c r="I635" i="79" s="1"/>
  <c r="I682" i="79" s="1"/>
  <c r="I729" i="79" s="1"/>
  <c r="I321" i="79"/>
  <c r="I368" i="79" s="1"/>
  <c r="I415" i="79" s="1"/>
  <c r="I462" i="79" s="1"/>
  <c r="I509" i="79" s="1"/>
  <c r="I556" i="79" s="1"/>
  <c r="I603" i="79" s="1"/>
  <c r="I650" i="79" s="1"/>
  <c r="I697" i="79" s="1"/>
  <c r="I744" i="79" s="1"/>
  <c r="I275" i="79"/>
  <c r="I322" i="79" s="1"/>
  <c r="I369" i="79" s="1"/>
  <c r="I416" i="79" s="1"/>
  <c r="I463" i="79" s="1"/>
  <c r="I510" i="79" s="1"/>
  <c r="I557" i="79" s="1"/>
  <c r="I604" i="79" s="1"/>
  <c r="I651" i="79" s="1"/>
  <c r="I698" i="79" s="1"/>
  <c r="I745" i="79" s="1"/>
  <c r="I266" i="79"/>
  <c r="I313" i="79" s="1"/>
  <c r="I360" i="79" s="1"/>
  <c r="I407" i="79" s="1"/>
  <c r="I454" i="79" s="1"/>
  <c r="I501" i="79" s="1"/>
  <c r="I548" i="79" s="1"/>
  <c r="I595" i="79" s="1"/>
  <c r="I642" i="79" s="1"/>
  <c r="I689" i="79" s="1"/>
  <c r="I736" i="79" s="1"/>
  <c r="AM237" i="79"/>
  <c r="AM284" i="79" s="1"/>
  <c r="AM331" i="79" s="1"/>
  <c r="AM378" i="79" s="1"/>
  <c r="AM425" i="79" s="1"/>
  <c r="AM472" i="79" s="1"/>
  <c r="AM519" i="79" s="1"/>
  <c r="AM566" i="79" s="1"/>
  <c r="AM613" i="79" s="1"/>
  <c r="AM660" i="79" s="1"/>
  <c r="AM707" i="79" s="1"/>
  <c r="I220" i="79"/>
  <c r="I267" i="79" s="1"/>
  <c r="I314" i="79" s="1"/>
  <c r="I361" i="79" s="1"/>
  <c r="I408" i="79" s="1"/>
  <c r="I455" i="79" s="1"/>
  <c r="I502" i="79" s="1"/>
  <c r="I549" i="79" s="1"/>
  <c r="I596" i="79" s="1"/>
  <c r="I643" i="79" s="1"/>
  <c r="I690" i="79" s="1"/>
  <c r="I737" i="79" s="1"/>
  <c r="I187" i="79"/>
  <c r="I234" i="79" s="1"/>
  <c r="I281" i="79" s="1"/>
  <c r="I328" i="79" s="1"/>
  <c r="I375" i="79" s="1"/>
  <c r="I422" i="79" s="1"/>
  <c r="I469" i="79" s="1"/>
  <c r="I516" i="79" s="1"/>
  <c r="I563" i="79" s="1"/>
  <c r="I610" i="79" s="1"/>
  <c r="I657" i="79" s="1"/>
  <c r="I704" i="79" s="1"/>
  <c r="I751" i="79" s="1"/>
  <c r="I186" i="79"/>
  <c r="I233" i="79" s="1"/>
  <c r="I280" i="79" s="1"/>
  <c r="I327" i="79" s="1"/>
  <c r="I374" i="79" s="1"/>
  <c r="I421" i="79" s="1"/>
  <c r="I468" i="79" s="1"/>
  <c r="I515" i="79" s="1"/>
  <c r="I562" i="79" s="1"/>
  <c r="I609" i="79" s="1"/>
  <c r="I656" i="79" s="1"/>
  <c r="I703" i="79" s="1"/>
  <c r="I750" i="79" s="1"/>
  <c r="I163" i="79"/>
  <c r="I210" i="79" s="1"/>
  <c r="I257" i="79" s="1"/>
  <c r="I304" i="79" s="1"/>
  <c r="I351" i="79" s="1"/>
  <c r="I398" i="79" s="1"/>
  <c r="I445" i="79" s="1"/>
  <c r="I492" i="79" s="1"/>
  <c r="I539" i="79" s="1"/>
  <c r="I586" i="79" s="1"/>
  <c r="I633" i="79" s="1"/>
  <c r="I680" i="79" s="1"/>
  <c r="I727" i="79" s="1"/>
  <c r="I155" i="79"/>
  <c r="I202" i="79" s="1"/>
  <c r="I249" i="79" s="1"/>
  <c r="I296" i="79" s="1"/>
  <c r="I343" i="79" s="1"/>
  <c r="I390" i="79" s="1"/>
  <c r="I437" i="79" s="1"/>
  <c r="I484" i="79" s="1"/>
  <c r="I531" i="79" s="1"/>
  <c r="I578" i="79" s="1"/>
  <c r="I625" i="79" s="1"/>
  <c r="I672" i="79" s="1"/>
  <c r="I719" i="79" s="1"/>
  <c r="I154" i="79"/>
  <c r="I201" i="79" s="1"/>
  <c r="I248" i="79" s="1"/>
  <c r="I295" i="79" s="1"/>
  <c r="I342" i="79" s="1"/>
  <c r="I389" i="79" s="1"/>
  <c r="I436" i="79" s="1"/>
  <c r="I483" i="79" s="1"/>
  <c r="I530" i="79" s="1"/>
  <c r="I577" i="79" s="1"/>
  <c r="I624" i="79" s="1"/>
  <c r="I671" i="79" s="1"/>
  <c r="I718" i="79" s="1"/>
  <c r="I140" i="79"/>
  <c r="I139" i="79"/>
  <c r="I132" i="79"/>
  <c r="I179" i="79" s="1"/>
  <c r="I226" i="79" s="1"/>
  <c r="I273" i="79" s="1"/>
  <c r="I320" i="79" s="1"/>
  <c r="I367" i="79" s="1"/>
  <c r="I414" i="79" s="1"/>
  <c r="I461" i="79" s="1"/>
  <c r="I508" i="79" s="1"/>
  <c r="I555" i="79" s="1"/>
  <c r="I602" i="79" s="1"/>
  <c r="I649" i="79" s="1"/>
  <c r="I696" i="79" s="1"/>
  <c r="I743" i="79" s="1"/>
  <c r="I131" i="79"/>
  <c r="I178" i="79" s="1"/>
  <c r="I225" i="79" s="1"/>
  <c r="I272" i="79" s="1"/>
  <c r="I319" i="79" s="1"/>
  <c r="I366" i="79" s="1"/>
  <c r="I413" i="79" s="1"/>
  <c r="I460" i="79" s="1"/>
  <c r="I507" i="79" s="1"/>
  <c r="I554" i="79" s="1"/>
  <c r="I601" i="79" s="1"/>
  <c r="I648" i="79" s="1"/>
  <c r="I695" i="79" s="1"/>
  <c r="I742" i="79" s="1"/>
  <c r="I124" i="79"/>
  <c r="I171" i="79" s="1"/>
  <c r="I218" i="79" s="1"/>
  <c r="I265" i="79" s="1"/>
  <c r="I312" i="79" s="1"/>
  <c r="I359" i="79" s="1"/>
  <c r="I406" i="79" s="1"/>
  <c r="I453" i="79" s="1"/>
  <c r="I500" i="79" s="1"/>
  <c r="I547" i="79" s="1"/>
  <c r="I594" i="79" s="1"/>
  <c r="I641" i="79" s="1"/>
  <c r="I688" i="79" s="1"/>
  <c r="I735" i="79" s="1"/>
  <c r="I116" i="79"/>
  <c r="I108" i="79"/>
  <c r="I107" i="79"/>
  <c r="I100" i="79"/>
  <c r="I147" i="79" s="1"/>
  <c r="I194" i="79" s="1"/>
  <c r="I241" i="79" s="1"/>
  <c r="I288" i="79" s="1"/>
  <c r="I335" i="79" s="1"/>
  <c r="I382" i="79" s="1"/>
  <c r="I429" i="79" s="1"/>
  <c r="I476" i="79" s="1"/>
  <c r="I523" i="79" s="1"/>
  <c r="I570" i="79" s="1"/>
  <c r="I617" i="79" s="1"/>
  <c r="I664" i="79" s="1"/>
  <c r="I711" i="79" s="1"/>
  <c r="I99" i="79"/>
  <c r="I146" i="79" s="1"/>
  <c r="I193" i="79" s="1"/>
  <c r="I240" i="79" s="1"/>
  <c r="I287" i="79" s="1"/>
  <c r="I334" i="79" s="1"/>
  <c r="I381" i="79" s="1"/>
  <c r="I428" i="79" s="1"/>
  <c r="I475" i="79" s="1"/>
  <c r="I522" i="79" s="1"/>
  <c r="I569" i="79" s="1"/>
  <c r="I616" i="79" s="1"/>
  <c r="I663" i="79" s="1"/>
  <c r="I710" i="79" s="1"/>
  <c r="I93" i="79"/>
  <c r="I92" i="79"/>
  <c r="I91" i="79"/>
  <c r="I138" i="79" s="1"/>
  <c r="I185" i="79" s="1"/>
  <c r="I232" i="79" s="1"/>
  <c r="I279" i="79" s="1"/>
  <c r="I326" i="79" s="1"/>
  <c r="I373" i="79" s="1"/>
  <c r="I420" i="79" s="1"/>
  <c r="I467" i="79" s="1"/>
  <c r="I514" i="79" s="1"/>
  <c r="I561" i="79" s="1"/>
  <c r="I608" i="79" s="1"/>
  <c r="I655" i="79" s="1"/>
  <c r="I702" i="79" s="1"/>
  <c r="I749" i="79" s="1"/>
  <c r="I90" i="79"/>
  <c r="I137" i="79" s="1"/>
  <c r="I184" i="79" s="1"/>
  <c r="I231" i="79" s="1"/>
  <c r="I278" i="79" s="1"/>
  <c r="I325" i="79" s="1"/>
  <c r="I372" i="79" s="1"/>
  <c r="I419" i="79" s="1"/>
  <c r="I466" i="79" s="1"/>
  <c r="I513" i="79" s="1"/>
  <c r="I560" i="79" s="1"/>
  <c r="I607" i="79" s="1"/>
  <c r="I654" i="79" s="1"/>
  <c r="I701" i="79" s="1"/>
  <c r="I748" i="79" s="1"/>
  <c r="I89" i="79"/>
  <c r="I136" i="79" s="1"/>
  <c r="I183" i="79" s="1"/>
  <c r="I230" i="79" s="1"/>
  <c r="I277" i="79" s="1"/>
  <c r="I324" i="79" s="1"/>
  <c r="I371" i="79" s="1"/>
  <c r="I418" i="79" s="1"/>
  <c r="I465" i="79" s="1"/>
  <c r="I512" i="79" s="1"/>
  <c r="I559" i="79" s="1"/>
  <c r="I606" i="79" s="1"/>
  <c r="I653" i="79" s="1"/>
  <c r="I700" i="79" s="1"/>
  <c r="I747" i="79" s="1"/>
  <c r="I88" i="79"/>
  <c r="I135" i="79" s="1"/>
  <c r="I182" i="79" s="1"/>
  <c r="I229" i="79" s="1"/>
  <c r="I276" i="79" s="1"/>
  <c r="I323" i="79" s="1"/>
  <c r="I87" i="79"/>
  <c r="I134" i="79" s="1"/>
  <c r="I181" i="79" s="1"/>
  <c r="I228" i="79" s="1"/>
  <c r="I86" i="79"/>
  <c r="I133" i="79" s="1"/>
  <c r="I180" i="79" s="1"/>
  <c r="I227" i="79" s="1"/>
  <c r="I274" i="79" s="1"/>
  <c r="I85" i="79"/>
  <c r="I84" i="79"/>
  <c r="I83" i="79"/>
  <c r="I130" i="79" s="1"/>
  <c r="I177" i="79" s="1"/>
  <c r="I224" i="79" s="1"/>
  <c r="I271" i="79" s="1"/>
  <c r="I318" i="79" s="1"/>
  <c r="I365" i="79" s="1"/>
  <c r="I412" i="79" s="1"/>
  <c r="I459" i="79" s="1"/>
  <c r="I506" i="79" s="1"/>
  <c r="I553" i="79" s="1"/>
  <c r="I600" i="79" s="1"/>
  <c r="I647" i="79" s="1"/>
  <c r="I694" i="79" s="1"/>
  <c r="I741" i="79" s="1"/>
  <c r="I82" i="79"/>
  <c r="I129" i="79" s="1"/>
  <c r="I176" i="79" s="1"/>
  <c r="I223" i="79" s="1"/>
  <c r="I270" i="79" s="1"/>
  <c r="I317" i="79" s="1"/>
  <c r="I364" i="79" s="1"/>
  <c r="I411" i="79" s="1"/>
  <c r="I458" i="79" s="1"/>
  <c r="I505" i="79" s="1"/>
  <c r="I552" i="79" s="1"/>
  <c r="I599" i="79" s="1"/>
  <c r="I646" i="79" s="1"/>
  <c r="I693" i="79" s="1"/>
  <c r="I740" i="79" s="1"/>
  <c r="I81" i="79"/>
  <c r="I128" i="79" s="1"/>
  <c r="I175" i="79" s="1"/>
  <c r="I222" i="79" s="1"/>
  <c r="I269" i="79" s="1"/>
  <c r="I316" i="79" s="1"/>
  <c r="I363" i="79" s="1"/>
  <c r="I410" i="79" s="1"/>
  <c r="I457" i="79" s="1"/>
  <c r="I504" i="79" s="1"/>
  <c r="I551" i="79" s="1"/>
  <c r="I598" i="79" s="1"/>
  <c r="I645" i="79" s="1"/>
  <c r="I692" i="79" s="1"/>
  <c r="I739" i="79" s="1"/>
  <c r="I80" i="79"/>
  <c r="I127" i="79" s="1"/>
  <c r="I174" i="79" s="1"/>
  <c r="I221" i="79" s="1"/>
  <c r="I268" i="79" s="1"/>
  <c r="I315" i="79" s="1"/>
  <c r="I362" i="79" s="1"/>
  <c r="I409" i="79" s="1"/>
  <c r="I456" i="79" s="1"/>
  <c r="I503" i="79" s="1"/>
  <c r="I550" i="79" s="1"/>
  <c r="I597" i="79" s="1"/>
  <c r="I644" i="79" s="1"/>
  <c r="I691" i="79" s="1"/>
  <c r="I738" i="79" s="1"/>
  <c r="I79" i="79"/>
  <c r="I126" i="79" s="1"/>
  <c r="I173" i="79" s="1"/>
  <c r="I78" i="79"/>
  <c r="I125" i="79" s="1"/>
  <c r="I172" i="79" s="1"/>
  <c r="I219" i="79" s="1"/>
  <c r="I77" i="79"/>
  <c r="I76" i="79"/>
  <c r="I123" i="79" s="1"/>
  <c r="I170" i="79" s="1"/>
  <c r="I217" i="79" s="1"/>
  <c r="I264" i="79" s="1"/>
  <c r="I311" i="79" s="1"/>
  <c r="I358" i="79" s="1"/>
  <c r="I405" i="79" s="1"/>
  <c r="I452" i="79" s="1"/>
  <c r="I499" i="79" s="1"/>
  <c r="I546" i="79" s="1"/>
  <c r="I593" i="79" s="1"/>
  <c r="I640" i="79" s="1"/>
  <c r="I687" i="79" s="1"/>
  <c r="I734" i="79" s="1"/>
  <c r="I75" i="79"/>
  <c r="I122" i="79" s="1"/>
  <c r="I169" i="79" s="1"/>
  <c r="I216" i="79" s="1"/>
  <c r="I263" i="79" s="1"/>
  <c r="I310" i="79" s="1"/>
  <c r="I357" i="79" s="1"/>
  <c r="I404" i="79" s="1"/>
  <c r="I451" i="79" s="1"/>
  <c r="I498" i="79" s="1"/>
  <c r="I545" i="79" s="1"/>
  <c r="I592" i="79" s="1"/>
  <c r="I639" i="79" s="1"/>
  <c r="I686" i="79" s="1"/>
  <c r="I733" i="79" s="1"/>
  <c r="I74" i="79"/>
  <c r="I121" i="79" s="1"/>
  <c r="I168" i="79" s="1"/>
  <c r="I215" i="79" s="1"/>
  <c r="I262" i="79" s="1"/>
  <c r="I309" i="79" s="1"/>
  <c r="I356" i="79" s="1"/>
  <c r="I403" i="79" s="1"/>
  <c r="I450" i="79" s="1"/>
  <c r="I497" i="79" s="1"/>
  <c r="I544" i="79" s="1"/>
  <c r="I591" i="79" s="1"/>
  <c r="I638" i="79" s="1"/>
  <c r="I685" i="79" s="1"/>
  <c r="I732" i="79" s="1"/>
  <c r="I73" i="79"/>
  <c r="I120" i="79" s="1"/>
  <c r="I167" i="79" s="1"/>
  <c r="I214" i="79" s="1"/>
  <c r="I261" i="79" s="1"/>
  <c r="I308" i="79" s="1"/>
  <c r="I355" i="79" s="1"/>
  <c r="I402" i="79" s="1"/>
  <c r="I449" i="79" s="1"/>
  <c r="I496" i="79" s="1"/>
  <c r="I543" i="79" s="1"/>
  <c r="I590" i="79" s="1"/>
  <c r="I637" i="79" s="1"/>
  <c r="I684" i="79" s="1"/>
  <c r="I731" i="79" s="1"/>
  <c r="I72" i="79"/>
  <c r="I119" i="79" s="1"/>
  <c r="I166" i="79" s="1"/>
  <c r="I213" i="79" s="1"/>
  <c r="I260" i="79" s="1"/>
  <c r="I307" i="79" s="1"/>
  <c r="I354" i="79" s="1"/>
  <c r="I401" i="79" s="1"/>
  <c r="I448" i="79" s="1"/>
  <c r="I495" i="79" s="1"/>
  <c r="I542" i="79" s="1"/>
  <c r="I589" i="79" s="1"/>
  <c r="I636" i="79" s="1"/>
  <c r="I683" i="79" s="1"/>
  <c r="I730" i="79" s="1"/>
  <c r="I71" i="79"/>
  <c r="I118" i="79" s="1"/>
  <c r="I165" i="79" s="1"/>
  <c r="I212" i="79" s="1"/>
  <c r="I259" i="79" s="1"/>
  <c r="I306" i="79" s="1"/>
  <c r="I70" i="79"/>
  <c r="I117" i="79" s="1"/>
  <c r="I164" i="79" s="1"/>
  <c r="I211" i="79" s="1"/>
  <c r="I258" i="79" s="1"/>
  <c r="I305" i="79" s="1"/>
  <c r="I352" i="79" s="1"/>
  <c r="I399" i="79" s="1"/>
  <c r="I446" i="79" s="1"/>
  <c r="I493" i="79" s="1"/>
  <c r="I540" i="79" s="1"/>
  <c r="I587" i="79" s="1"/>
  <c r="I634" i="79" s="1"/>
  <c r="I681" i="79" s="1"/>
  <c r="I728" i="79" s="1"/>
  <c r="I69" i="79"/>
  <c r="I68" i="79"/>
  <c r="I115" i="79" s="1"/>
  <c r="I162" i="79" s="1"/>
  <c r="I209" i="79" s="1"/>
  <c r="I256" i="79" s="1"/>
  <c r="I303" i="79" s="1"/>
  <c r="I350" i="79" s="1"/>
  <c r="I397" i="79" s="1"/>
  <c r="I444" i="79" s="1"/>
  <c r="I491" i="79" s="1"/>
  <c r="I538" i="79" s="1"/>
  <c r="I585" i="79" s="1"/>
  <c r="I632" i="79" s="1"/>
  <c r="I679" i="79" s="1"/>
  <c r="I726" i="79" s="1"/>
  <c r="I67" i="79"/>
  <c r="I114" i="79" s="1"/>
  <c r="I161" i="79" s="1"/>
  <c r="I208" i="79" s="1"/>
  <c r="I255" i="79" s="1"/>
  <c r="I302" i="79" s="1"/>
  <c r="I349" i="79" s="1"/>
  <c r="I396" i="79" s="1"/>
  <c r="I443" i="79" s="1"/>
  <c r="I490" i="79" s="1"/>
  <c r="I537" i="79" s="1"/>
  <c r="I584" i="79" s="1"/>
  <c r="I631" i="79" s="1"/>
  <c r="I678" i="79" s="1"/>
  <c r="I725" i="79" s="1"/>
  <c r="I66" i="79"/>
  <c r="I113" i="79" s="1"/>
  <c r="I160" i="79" s="1"/>
  <c r="I207" i="79" s="1"/>
  <c r="I254" i="79" s="1"/>
  <c r="I301" i="79" s="1"/>
  <c r="I348" i="79" s="1"/>
  <c r="I395" i="79" s="1"/>
  <c r="I442" i="79" s="1"/>
  <c r="I489" i="79" s="1"/>
  <c r="I536" i="79" s="1"/>
  <c r="I583" i="79" s="1"/>
  <c r="I630" i="79" s="1"/>
  <c r="I677" i="79" s="1"/>
  <c r="I724" i="79" s="1"/>
  <c r="I65" i="79"/>
  <c r="I112" i="79" s="1"/>
  <c r="I159" i="79" s="1"/>
  <c r="I206" i="79" s="1"/>
  <c r="I253" i="79" s="1"/>
  <c r="I300" i="79" s="1"/>
  <c r="I347" i="79" s="1"/>
  <c r="I394" i="79" s="1"/>
  <c r="I441" i="79" s="1"/>
  <c r="I488" i="79" s="1"/>
  <c r="I535" i="79" s="1"/>
  <c r="I582" i="79" s="1"/>
  <c r="I629" i="79" s="1"/>
  <c r="I676" i="79" s="1"/>
  <c r="I723" i="79" s="1"/>
  <c r="I64" i="79"/>
  <c r="I111" i="79" s="1"/>
  <c r="I158" i="79" s="1"/>
  <c r="I205" i="79" s="1"/>
  <c r="I252" i="79" s="1"/>
  <c r="I299" i="79" s="1"/>
  <c r="I346" i="79" s="1"/>
  <c r="I393" i="79" s="1"/>
  <c r="I440" i="79" s="1"/>
  <c r="I487" i="79" s="1"/>
  <c r="I534" i="79" s="1"/>
  <c r="I581" i="79" s="1"/>
  <c r="I628" i="79" s="1"/>
  <c r="I675" i="79" s="1"/>
  <c r="I722" i="79" s="1"/>
  <c r="I63" i="79"/>
  <c r="I110" i="79" s="1"/>
  <c r="I157" i="79" s="1"/>
  <c r="I204" i="79" s="1"/>
  <c r="I251" i="79" s="1"/>
  <c r="I298" i="79" s="1"/>
  <c r="I345" i="79" s="1"/>
  <c r="I392" i="79" s="1"/>
  <c r="I439" i="79" s="1"/>
  <c r="I486" i="79" s="1"/>
  <c r="I533" i="79" s="1"/>
  <c r="I580" i="79" s="1"/>
  <c r="I627" i="79" s="1"/>
  <c r="I674" i="79" s="1"/>
  <c r="I721" i="79" s="1"/>
  <c r="I62" i="79"/>
  <c r="I109" i="79" s="1"/>
  <c r="I156" i="79" s="1"/>
  <c r="I203" i="79" s="1"/>
  <c r="I250" i="79" s="1"/>
  <c r="I297" i="79" s="1"/>
  <c r="I344" i="79" s="1"/>
  <c r="I391" i="79" s="1"/>
  <c r="I438" i="79" s="1"/>
  <c r="I485" i="79" s="1"/>
  <c r="I532" i="79" s="1"/>
  <c r="I579" i="79" s="1"/>
  <c r="I626" i="79" s="1"/>
  <c r="I673" i="79" s="1"/>
  <c r="I720" i="79" s="1"/>
  <c r="I61" i="79"/>
  <c r="I60" i="79"/>
  <c r="I59" i="79"/>
  <c r="I106" i="79" s="1"/>
  <c r="I153" i="79" s="1"/>
  <c r="I200" i="79" s="1"/>
  <c r="I247" i="79" s="1"/>
  <c r="I294" i="79" s="1"/>
  <c r="I341" i="79" s="1"/>
  <c r="I388" i="79" s="1"/>
  <c r="I435" i="79" s="1"/>
  <c r="I482" i="79" s="1"/>
  <c r="I529" i="79" s="1"/>
  <c r="I576" i="79" s="1"/>
  <c r="I623" i="79" s="1"/>
  <c r="I670" i="79" s="1"/>
  <c r="I717" i="79" s="1"/>
  <c r="I58" i="79"/>
  <c r="I105" i="79" s="1"/>
  <c r="I152" i="79" s="1"/>
  <c r="I199" i="79" s="1"/>
  <c r="I246" i="79" s="1"/>
  <c r="I293" i="79" s="1"/>
  <c r="I340" i="79" s="1"/>
  <c r="I387" i="79" s="1"/>
  <c r="I434" i="79" s="1"/>
  <c r="I481" i="79" s="1"/>
  <c r="I528" i="79" s="1"/>
  <c r="I575" i="79" s="1"/>
  <c r="I622" i="79" s="1"/>
  <c r="I669" i="79" s="1"/>
  <c r="I716" i="79" s="1"/>
  <c r="I57" i="79"/>
  <c r="I104" i="79" s="1"/>
  <c r="I151" i="79" s="1"/>
  <c r="I198" i="79" s="1"/>
  <c r="I245" i="79" s="1"/>
  <c r="I292" i="79" s="1"/>
  <c r="I339" i="79" s="1"/>
  <c r="I386" i="79" s="1"/>
  <c r="I433" i="79" s="1"/>
  <c r="I480" i="79" s="1"/>
  <c r="I527" i="79" s="1"/>
  <c r="I574" i="79" s="1"/>
  <c r="I621" i="79" s="1"/>
  <c r="I668" i="79" s="1"/>
  <c r="I715" i="79" s="1"/>
  <c r="I56" i="79"/>
  <c r="I103" i="79" s="1"/>
  <c r="I150" i="79" s="1"/>
  <c r="I197" i="79" s="1"/>
  <c r="I244" i="79" s="1"/>
  <c r="I291" i="79" s="1"/>
  <c r="I338" i="79" s="1"/>
  <c r="I385" i="79" s="1"/>
  <c r="I432" i="79" s="1"/>
  <c r="I479" i="79" s="1"/>
  <c r="I526" i="79" s="1"/>
  <c r="I573" i="79" s="1"/>
  <c r="I620" i="79" s="1"/>
  <c r="I667" i="79" s="1"/>
  <c r="I714" i="79" s="1"/>
  <c r="I55" i="79"/>
  <c r="I102" i="79" s="1"/>
  <c r="I149" i="79" s="1"/>
  <c r="I196" i="79" s="1"/>
  <c r="I243" i="79" s="1"/>
  <c r="I290" i="79" s="1"/>
  <c r="I337" i="79" s="1"/>
  <c r="I384" i="79" s="1"/>
  <c r="I431" i="79" s="1"/>
  <c r="I478" i="79" s="1"/>
  <c r="I525" i="79" s="1"/>
  <c r="I572" i="79" s="1"/>
  <c r="I619" i="79" s="1"/>
  <c r="I666" i="79" s="1"/>
  <c r="I713" i="79" s="1"/>
  <c r="I54" i="79"/>
  <c r="I101" i="79" s="1"/>
  <c r="I148" i="79" s="1"/>
  <c r="I195" i="79" s="1"/>
  <c r="I242" i="79" s="1"/>
  <c r="I289" i="79" s="1"/>
  <c r="I336" i="79" s="1"/>
  <c r="I383" i="79" s="1"/>
  <c r="I430" i="79" s="1"/>
  <c r="I477" i="79" s="1"/>
  <c r="I524" i="79" s="1"/>
  <c r="I571" i="79" s="1"/>
  <c r="I618" i="79" s="1"/>
  <c r="I665" i="79" s="1"/>
  <c r="I712" i="79" s="1"/>
  <c r="I53" i="79"/>
  <c r="I52" i="79"/>
  <c r="I51" i="79"/>
  <c r="I98" i="79" s="1"/>
  <c r="I145" i="79" s="1"/>
  <c r="I192" i="79" s="1"/>
  <c r="I239" i="79" s="1"/>
  <c r="I286" i="79" s="1"/>
  <c r="I333" i="79" s="1"/>
  <c r="I380" i="79" s="1"/>
  <c r="I427" i="79" s="1"/>
  <c r="I474" i="79" s="1"/>
  <c r="I521" i="79" s="1"/>
  <c r="I568" i="79" s="1"/>
  <c r="I615" i="79" s="1"/>
  <c r="I662" i="79" s="1"/>
  <c r="I709" i="79" s="1"/>
  <c r="I50" i="79"/>
  <c r="I97" i="79" s="1"/>
  <c r="I144" i="79" s="1"/>
  <c r="I191" i="79" s="1"/>
  <c r="I238" i="79" s="1"/>
  <c r="I285" i="79" s="1"/>
  <c r="I332" i="79" s="1"/>
  <c r="I379" i="79" s="1"/>
  <c r="I426" i="79" s="1"/>
  <c r="I473" i="79" s="1"/>
  <c r="I520" i="79" s="1"/>
  <c r="I567" i="79" s="1"/>
  <c r="I614" i="79" s="1"/>
  <c r="I661" i="79" s="1"/>
  <c r="I708" i="79" s="1"/>
  <c r="AY49" i="79"/>
  <c r="AY96" i="79" s="1"/>
  <c r="AY143" i="79" s="1"/>
  <c r="AY190" i="79" s="1"/>
  <c r="AY237" i="79" s="1"/>
  <c r="AY284" i="79" s="1"/>
  <c r="AY331" i="79" s="1"/>
  <c r="AY378" i="79" s="1"/>
  <c r="AY425" i="79" s="1"/>
  <c r="AY472" i="79" s="1"/>
  <c r="AY519" i="79" s="1"/>
  <c r="AY566" i="79" s="1"/>
  <c r="AY613" i="79" s="1"/>
  <c r="AY660" i="79" s="1"/>
  <c r="AY707" i="79" s="1"/>
  <c r="BA2" i="79"/>
  <c r="BA49" i="79" s="1"/>
  <c r="BA96" i="79" s="1"/>
  <c r="BA143" i="79" s="1"/>
  <c r="BA190" i="79" s="1"/>
  <c r="BA237" i="79" s="1"/>
  <c r="BA284" i="79" s="1"/>
  <c r="BA331" i="79" s="1"/>
  <c r="BA378" i="79" s="1"/>
  <c r="BA425" i="79" s="1"/>
  <c r="BA472" i="79" s="1"/>
  <c r="BA519" i="79" s="1"/>
  <c r="BA566" i="79" s="1"/>
  <c r="BA613" i="79" s="1"/>
  <c r="BA660" i="79" s="1"/>
  <c r="BA707" i="79" s="1"/>
  <c r="AZ2" i="79"/>
  <c r="AZ49" i="79" s="1"/>
  <c r="AZ96" i="79" s="1"/>
  <c r="AZ143" i="79" s="1"/>
  <c r="AZ190" i="79" s="1"/>
  <c r="AZ237" i="79" s="1"/>
  <c r="AZ284" i="79" s="1"/>
  <c r="AZ331" i="79" s="1"/>
  <c r="AZ378" i="79" s="1"/>
  <c r="AZ425" i="79" s="1"/>
  <c r="AZ472" i="79" s="1"/>
  <c r="AZ519" i="79" s="1"/>
  <c r="AZ566" i="79" s="1"/>
  <c r="AZ613" i="79" s="1"/>
  <c r="AZ660" i="79" s="1"/>
  <c r="AZ707" i="79" s="1"/>
  <c r="AU2" i="79"/>
  <c r="AU49" i="79" s="1"/>
  <c r="AU96" i="79" s="1"/>
  <c r="AU143" i="79" s="1"/>
  <c r="AU190" i="79" s="1"/>
  <c r="AU237" i="79" s="1"/>
  <c r="AU284" i="79" s="1"/>
  <c r="AU331" i="79" s="1"/>
  <c r="AU378" i="79" s="1"/>
  <c r="AU425" i="79" s="1"/>
  <c r="AU472" i="79" s="1"/>
  <c r="AU519" i="79" s="1"/>
  <c r="AU566" i="79" s="1"/>
  <c r="AU613" i="79" s="1"/>
  <c r="AU660" i="79" s="1"/>
  <c r="AU707" i="79" s="1"/>
  <c r="AT2" i="79"/>
  <c r="AT49" i="79" s="1"/>
  <c r="AT96" i="79" s="1"/>
  <c r="AT143" i="79" s="1"/>
  <c r="AT190" i="79" s="1"/>
  <c r="AT237" i="79" s="1"/>
  <c r="AT284" i="79" s="1"/>
  <c r="AT331" i="79" s="1"/>
  <c r="AT378" i="79" s="1"/>
  <c r="AT425" i="79" s="1"/>
  <c r="AT472" i="79" s="1"/>
  <c r="AT519" i="79" s="1"/>
  <c r="AT566" i="79" s="1"/>
  <c r="AT613" i="79" s="1"/>
  <c r="AT660" i="79" s="1"/>
  <c r="AT707" i="79" s="1"/>
  <c r="AS2" i="79"/>
  <c r="AS49" i="79" s="1"/>
  <c r="AS96" i="79" s="1"/>
  <c r="AS143" i="79" s="1"/>
  <c r="AS190" i="79" s="1"/>
  <c r="AS237" i="79" s="1"/>
  <c r="AS284" i="79" s="1"/>
  <c r="AS331" i="79" s="1"/>
  <c r="AS378" i="79" s="1"/>
  <c r="AS425" i="79" s="1"/>
  <c r="AS472" i="79" s="1"/>
  <c r="AS519" i="79" s="1"/>
  <c r="AS566" i="79" s="1"/>
  <c r="AS613" i="79" s="1"/>
  <c r="AS660" i="79" s="1"/>
  <c r="AS707" i="79" s="1"/>
  <c r="AR2" i="79"/>
  <c r="AR49" i="79" s="1"/>
  <c r="AR96" i="79" s="1"/>
  <c r="AR143" i="79" s="1"/>
  <c r="AR190" i="79" s="1"/>
  <c r="AR237" i="79" s="1"/>
  <c r="AR284" i="79" s="1"/>
  <c r="AR331" i="79" s="1"/>
  <c r="AR378" i="79" s="1"/>
  <c r="AR425" i="79" s="1"/>
  <c r="AR472" i="79" s="1"/>
  <c r="AR519" i="79" s="1"/>
  <c r="AR566" i="79" s="1"/>
  <c r="AR613" i="79" s="1"/>
  <c r="AR660" i="79" s="1"/>
  <c r="AR707" i="79" s="1"/>
  <c r="AM2" i="79"/>
  <c r="AM49" i="79" s="1"/>
  <c r="AM96" i="79" s="1"/>
  <c r="AM143" i="79" s="1"/>
  <c r="AM190" i="79" s="1"/>
  <c r="AL2" i="79"/>
  <c r="AL49" i="79" s="1"/>
  <c r="AL96" i="79" s="1"/>
  <c r="AL143" i="79" s="1"/>
  <c r="AL190" i="79" s="1"/>
  <c r="AL237" i="79" s="1"/>
  <c r="AL284" i="79" s="1"/>
  <c r="AL331" i="79" s="1"/>
  <c r="AL378" i="79" s="1"/>
  <c r="AL425" i="79" s="1"/>
  <c r="AL472" i="79" s="1"/>
  <c r="AL519" i="79" s="1"/>
  <c r="AL566" i="79" s="1"/>
  <c r="AL613" i="79" s="1"/>
  <c r="AL660" i="79" s="1"/>
  <c r="AL707" i="79" s="1"/>
  <c r="AK2" i="79"/>
  <c r="AK49" i="79" s="1"/>
  <c r="AK96" i="79" s="1"/>
  <c r="AK143" i="79" s="1"/>
  <c r="AK190" i="79" s="1"/>
  <c r="AK237" i="79" s="1"/>
  <c r="AK284" i="79" s="1"/>
  <c r="AK331" i="79" s="1"/>
  <c r="AK378" i="79" s="1"/>
  <c r="AK425" i="79" s="1"/>
  <c r="AK472" i="79" s="1"/>
  <c r="AK519" i="79" s="1"/>
  <c r="AK566" i="79" s="1"/>
  <c r="AK613" i="79" s="1"/>
  <c r="AK660" i="79" s="1"/>
  <c r="AK707" i="79" s="1"/>
  <c r="AJ2" i="79"/>
  <c r="AJ49" i="79" s="1"/>
  <c r="AJ96" i="79" s="1"/>
  <c r="AJ143" i="79" s="1"/>
  <c r="AJ190" i="79" s="1"/>
  <c r="AJ237" i="79" s="1"/>
  <c r="AJ284" i="79" s="1"/>
  <c r="AJ331" i="79" s="1"/>
  <c r="AJ378" i="79" s="1"/>
  <c r="AJ425" i="79" s="1"/>
  <c r="AJ472" i="79" s="1"/>
  <c r="AJ519" i="79" s="1"/>
  <c r="AJ566" i="79" s="1"/>
  <c r="AJ613" i="79" s="1"/>
  <c r="AJ660" i="79" s="1"/>
  <c r="AJ707" i="79" s="1"/>
  <c r="AE2" i="79"/>
  <c r="AE49" i="79" s="1"/>
  <c r="AE96" i="79" s="1"/>
  <c r="AE143" i="79" s="1"/>
  <c r="AE190" i="79" s="1"/>
  <c r="AE237" i="79" s="1"/>
  <c r="AE284" i="79" s="1"/>
  <c r="AE331" i="79" s="1"/>
  <c r="AE378" i="79" s="1"/>
  <c r="AE425" i="79" s="1"/>
  <c r="AE472" i="79" s="1"/>
  <c r="AE519" i="79" s="1"/>
  <c r="AE566" i="79" s="1"/>
  <c r="AE613" i="79" s="1"/>
  <c r="AE660" i="79" s="1"/>
  <c r="AE707" i="79" s="1"/>
  <c r="AD2" i="79"/>
  <c r="AD49" i="79" s="1"/>
  <c r="AD96" i="79" s="1"/>
  <c r="AD143" i="79" s="1"/>
  <c r="AD190" i="79" s="1"/>
  <c r="AD237" i="79" s="1"/>
  <c r="AD284" i="79" s="1"/>
  <c r="AD331" i="79" s="1"/>
  <c r="AD378" i="79" s="1"/>
  <c r="AD425" i="79" s="1"/>
  <c r="AD472" i="79" s="1"/>
  <c r="AD519" i="79" s="1"/>
  <c r="AD566" i="79" s="1"/>
  <c r="AD613" i="79" s="1"/>
  <c r="AD660" i="79" s="1"/>
  <c r="AD707" i="79" s="1"/>
  <c r="AC2" i="79"/>
  <c r="AC49" i="79" s="1"/>
  <c r="AC96" i="79" s="1"/>
  <c r="AC143" i="79" s="1"/>
  <c r="AC190" i="79" s="1"/>
  <c r="AC237" i="79" s="1"/>
  <c r="AC284" i="79" s="1"/>
  <c r="AC331" i="79" s="1"/>
  <c r="AC378" i="79" s="1"/>
  <c r="AC425" i="79" s="1"/>
  <c r="AC472" i="79" s="1"/>
  <c r="AC519" i="79" s="1"/>
  <c r="AC566" i="79" s="1"/>
  <c r="AC613" i="79" s="1"/>
  <c r="AC660" i="79" s="1"/>
  <c r="AC707" i="79" s="1"/>
  <c r="AB2" i="79"/>
  <c r="AB49" i="79" s="1"/>
  <c r="AB96" i="79" s="1"/>
  <c r="AB143" i="79" s="1"/>
  <c r="AB190" i="79" s="1"/>
  <c r="AB237" i="79" s="1"/>
  <c r="AB284" i="79" s="1"/>
  <c r="AB331" i="79" s="1"/>
  <c r="AB378" i="79" s="1"/>
  <c r="AB425" i="79" s="1"/>
  <c r="AB472" i="79" s="1"/>
  <c r="AB519" i="79" s="1"/>
  <c r="AB566" i="79" s="1"/>
  <c r="AB613" i="79" s="1"/>
  <c r="AB660" i="79" s="1"/>
  <c r="AB707" i="79" s="1"/>
  <c r="W2" i="79"/>
  <c r="W49" i="79" s="1"/>
  <c r="W96" i="79" s="1"/>
  <c r="W143" i="79" s="1"/>
  <c r="W190" i="79" s="1"/>
  <c r="W237" i="79" s="1"/>
  <c r="W284" i="79" s="1"/>
  <c r="W331" i="79" s="1"/>
  <c r="W378" i="79" s="1"/>
  <c r="W425" i="79" s="1"/>
  <c r="W472" i="79" s="1"/>
  <c r="W519" i="79" s="1"/>
  <c r="W566" i="79" s="1"/>
  <c r="W613" i="79" s="1"/>
  <c r="W660" i="79" s="1"/>
  <c r="W707" i="79" s="1"/>
  <c r="V2" i="79"/>
  <c r="V49" i="79" s="1"/>
  <c r="V96" i="79" s="1"/>
  <c r="V143" i="79" s="1"/>
  <c r="V190" i="79" s="1"/>
  <c r="V237" i="79" s="1"/>
  <c r="V284" i="79" s="1"/>
  <c r="V331" i="79" s="1"/>
  <c r="V378" i="79" s="1"/>
  <c r="V425" i="79" s="1"/>
  <c r="V472" i="79" s="1"/>
  <c r="V519" i="79" s="1"/>
  <c r="V566" i="79" s="1"/>
  <c r="V613" i="79" s="1"/>
  <c r="V660" i="79" s="1"/>
  <c r="V707" i="79" s="1"/>
  <c r="U2" i="79"/>
  <c r="U49" i="79" s="1"/>
  <c r="U96" i="79" s="1"/>
  <c r="U143" i="79" s="1"/>
  <c r="U190" i="79" s="1"/>
  <c r="U237" i="79" s="1"/>
  <c r="U284" i="79" s="1"/>
  <c r="U331" i="79" s="1"/>
  <c r="U378" i="79" s="1"/>
  <c r="U425" i="79" s="1"/>
  <c r="U472" i="79" s="1"/>
  <c r="U519" i="79" s="1"/>
  <c r="U566" i="79" s="1"/>
  <c r="U613" i="79" s="1"/>
  <c r="U660" i="79" s="1"/>
  <c r="U707" i="79" s="1"/>
  <c r="T2" i="79"/>
  <c r="T49" i="79" s="1"/>
  <c r="T96" i="79" s="1"/>
  <c r="T143" i="79" s="1"/>
  <c r="T190" i="79" s="1"/>
  <c r="T237" i="79" s="1"/>
  <c r="T284" i="79" s="1"/>
  <c r="T331" i="79" s="1"/>
  <c r="T378" i="79" s="1"/>
  <c r="T425" i="79" s="1"/>
  <c r="T472" i="79" s="1"/>
  <c r="T519" i="79" s="1"/>
  <c r="T566" i="79" s="1"/>
  <c r="T613" i="79" s="1"/>
  <c r="T660" i="79" s="1"/>
  <c r="T707" i="79" s="1"/>
  <c r="O2" i="79"/>
  <c r="O49" i="79" s="1"/>
  <c r="O96" i="79" s="1"/>
  <c r="O143" i="79" s="1"/>
  <c r="O190" i="79" s="1"/>
  <c r="O237" i="79" s="1"/>
  <c r="O284" i="79" s="1"/>
  <c r="O331" i="79" s="1"/>
  <c r="O378" i="79" s="1"/>
  <c r="O425" i="79" s="1"/>
  <c r="O472" i="79" s="1"/>
  <c r="O519" i="79" s="1"/>
  <c r="O566" i="79" s="1"/>
  <c r="O613" i="79" s="1"/>
  <c r="O660" i="79" s="1"/>
  <c r="O707" i="79" s="1"/>
  <c r="N2" i="79"/>
  <c r="N49" i="79" s="1"/>
  <c r="N96" i="79" s="1"/>
  <c r="N143" i="79" s="1"/>
  <c r="N190" i="79" s="1"/>
  <c r="N237" i="79" s="1"/>
  <c r="N284" i="79" s="1"/>
  <c r="N331" i="79" s="1"/>
  <c r="N378" i="79" s="1"/>
  <c r="N425" i="79" s="1"/>
  <c r="N472" i="79" s="1"/>
  <c r="N519" i="79" s="1"/>
  <c r="N566" i="79" s="1"/>
  <c r="N613" i="79" s="1"/>
  <c r="N660" i="79" s="1"/>
  <c r="N707" i="79" s="1"/>
  <c r="M2" i="79"/>
  <c r="M49" i="79" s="1"/>
  <c r="M96" i="79" s="1"/>
  <c r="M143" i="79" s="1"/>
  <c r="M190" i="79" s="1"/>
  <c r="M237" i="79" s="1"/>
  <c r="M284" i="79" s="1"/>
  <c r="M331" i="79" s="1"/>
  <c r="M378" i="79" s="1"/>
  <c r="M425" i="79" s="1"/>
  <c r="M472" i="79" s="1"/>
  <c r="M519" i="79" s="1"/>
  <c r="M566" i="79" s="1"/>
  <c r="M613" i="79" s="1"/>
  <c r="M660" i="79" s="1"/>
  <c r="M707" i="79" s="1"/>
  <c r="L2" i="79"/>
  <c r="L49" i="79" s="1"/>
  <c r="L96" i="79" s="1"/>
  <c r="L143" i="79" s="1"/>
  <c r="L190" i="79" s="1"/>
  <c r="L237" i="79" s="1"/>
  <c r="L284" i="79" s="1"/>
  <c r="L331" i="79" s="1"/>
  <c r="L378" i="79" s="1"/>
  <c r="L425" i="79" s="1"/>
  <c r="L472" i="79" s="1"/>
  <c r="L519" i="79" s="1"/>
  <c r="L566" i="79" s="1"/>
  <c r="L613" i="79" s="1"/>
  <c r="L660" i="79" s="1"/>
  <c r="L707" i="79" s="1"/>
  <c r="J2" i="79" a="1"/>
  <c r="AY2" i="79" s="1"/>
  <c r="C3" i="75"/>
  <c r="C4" i="75"/>
  <c r="C5" i="75"/>
  <c r="C6" i="75"/>
  <c r="C7" i="75"/>
  <c r="C8" i="75"/>
  <c r="C9" i="75"/>
  <c r="C10" i="75"/>
  <c r="C11" i="75"/>
  <c r="C12" i="75"/>
  <c r="C13" i="75"/>
  <c r="C14" i="75"/>
  <c r="C15" i="75"/>
  <c r="C16" i="75"/>
  <c r="C17" i="75"/>
  <c r="C18" i="75"/>
  <c r="C19" i="75"/>
  <c r="C20" i="75"/>
  <c r="C21" i="75"/>
  <c r="C22" i="75"/>
  <c r="C23" i="75"/>
  <c r="C24" i="75"/>
  <c r="C25" i="75"/>
  <c r="C26" i="75"/>
  <c r="C27" i="75"/>
  <c r="C2" i="75"/>
  <c r="D2" i="74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A6" i="77"/>
  <c r="A5" i="77"/>
  <c r="B149" i="76"/>
  <c r="B148" i="76"/>
  <c r="B147" i="76"/>
  <c r="B146" i="76"/>
  <c r="B145" i="76"/>
  <c r="B144" i="76"/>
  <c r="B143" i="76"/>
  <c r="B142" i="76"/>
  <c r="B141" i="76"/>
  <c r="B140" i="76"/>
  <c r="B139" i="76"/>
  <c r="B138" i="76"/>
  <c r="B137" i="76"/>
  <c r="B136" i="76"/>
  <c r="B135" i="76"/>
  <c r="B134" i="76"/>
  <c r="B133" i="76"/>
  <c r="B132" i="76"/>
  <c r="B131" i="76"/>
  <c r="B130" i="76"/>
  <c r="B129" i="76"/>
  <c r="B128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3" i="76"/>
  <c r="B42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B2" i="76"/>
  <c r="AO3" i="82" l="1"/>
  <c r="AG3" i="82"/>
  <c r="Y3" i="82"/>
  <c r="Q3" i="82"/>
  <c r="I3" i="82"/>
  <c r="AN3" i="82"/>
  <c r="AF3" i="82"/>
  <c r="X3" i="82"/>
  <c r="P3" i="82"/>
  <c r="H3" i="82"/>
  <c r="AM3" i="82"/>
  <c r="AE3" i="82"/>
  <c r="W3" i="82"/>
  <c r="O3" i="82"/>
  <c r="G3" i="82"/>
  <c r="AL3" i="82"/>
  <c r="AD3" i="82"/>
  <c r="V3" i="82"/>
  <c r="N3" i="82"/>
  <c r="F3" i="82"/>
  <c r="AS3" i="82"/>
  <c r="AK3" i="82"/>
  <c r="AC3" i="82"/>
  <c r="U3" i="82"/>
  <c r="M3" i="82"/>
  <c r="E3" i="82"/>
  <c r="AR3" i="82"/>
  <c r="AJ3" i="82"/>
  <c r="AB3" i="82"/>
  <c r="T3" i="82"/>
  <c r="L3" i="82"/>
  <c r="D3" i="82"/>
  <c r="AQ3" i="82"/>
  <c r="AI3" i="82"/>
  <c r="AA3" i="82"/>
  <c r="S3" i="82"/>
  <c r="K3" i="82"/>
  <c r="C3" i="82"/>
  <c r="AP3" i="82"/>
  <c r="AH3" i="82"/>
  <c r="Z3" i="82"/>
  <c r="R3" i="82"/>
  <c r="J3" i="82"/>
  <c r="B3" i="82"/>
  <c r="AO3" i="81"/>
  <c r="AG3" i="81"/>
  <c r="Y3" i="81"/>
  <c r="Q3" i="81"/>
  <c r="I3" i="81"/>
  <c r="AN3" i="81"/>
  <c r="AF3" i="81"/>
  <c r="X3" i="81"/>
  <c r="P3" i="81"/>
  <c r="H3" i="81"/>
  <c r="AM3" i="81"/>
  <c r="AE3" i="81"/>
  <c r="W3" i="81"/>
  <c r="O3" i="81"/>
  <c r="G3" i="81"/>
  <c r="AL3" i="81"/>
  <c r="AD3" i="81"/>
  <c r="V3" i="81"/>
  <c r="N3" i="81"/>
  <c r="F3" i="81"/>
  <c r="AS3" i="81"/>
  <c r="AK3" i="81"/>
  <c r="AC3" i="81"/>
  <c r="U3" i="81"/>
  <c r="M3" i="81"/>
  <c r="E3" i="81"/>
  <c r="AR3" i="81"/>
  <c r="AJ3" i="81"/>
  <c r="AB3" i="81"/>
  <c r="T3" i="81"/>
  <c r="L3" i="81"/>
  <c r="D3" i="81"/>
  <c r="AQ3" i="81"/>
  <c r="AI3" i="81"/>
  <c r="AA3" i="81"/>
  <c r="S3" i="81"/>
  <c r="K3" i="81"/>
  <c r="C3" i="81"/>
  <c r="AP3" i="81"/>
  <c r="AH3" i="81"/>
  <c r="Z3" i="81"/>
  <c r="R3" i="81"/>
  <c r="J3" i="81"/>
  <c r="B3" i="81"/>
  <c r="AO3" i="80"/>
  <c r="AG3" i="80"/>
  <c r="Y3" i="80"/>
  <c r="Q3" i="80"/>
  <c r="I3" i="80"/>
  <c r="AP3" i="80"/>
  <c r="AN3" i="80"/>
  <c r="AF3" i="80"/>
  <c r="X3" i="80"/>
  <c r="P3" i="80"/>
  <c r="H3" i="80"/>
  <c r="Z3" i="80"/>
  <c r="AM3" i="80"/>
  <c r="AE3" i="80"/>
  <c r="W3" i="80"/>
  <c r="O3" i="80"/>
  <c r="G3" i="80"/>
  <c r="B3" i="80"/>
  <c r="AL3" i="80"/>
  <c r="AD3" i="80"/>
  <c r="V3" i="80"/>
  <c r="N3" i="80"/>
  <c r="F3" i="80"/>
  <c r="AS3" i="80"/>
  <c r="AK3" i="80"/>
  <c r="AC3" i="80"/>
  <c r="U3" i="80"/>
  <c r="M3" i="80"/>
  <c r="E3" i="80"/>
  <c r="AH3" i="80"/>
  <c r="R3" i="80"/>
  <c r="AR3" i="80"/>
  <c r="AJ3" i="80"/>
  <c r="AB3" i="80"/>
  <c r="T3" i="80"/>
  <c r="L3" i="80"/>
  <c r="D3" i="80"/>
  <c r="J3" i="80"/>
  <c r="AQ3" i="80"/>
  <c r="AI3" i="80"/>
  <c r="AA3" i="80"/>
  <c r="S3" i="80"/>
  <c r="K3" i="80"/>
  <c r="C3" i="80"/>
  <c r="AT954" i="79"/>
  <c r="AT754" i="79"/>
  <c r="AT801" i="79" s="1"/>
  <c r="AT848" i="79" s="1"/>
  <c r="AT895" i="79" s="1"/>
  <c r="I990" i="79"/>
  <c r="I790" i="79"/>
  <c r="I837" i="79" s="1"/>
  <c r="I884" i="79" s="1"/>
  <c r="I931" i="79" s="1"/>
  <c r="AU954" i="79"/>
  <c r="AU754" i="79"/>
  <c r="AU801" i="79" s="1"/>
  <c r="AU848" i="79" s="1"/>
  <c r="AU895" i="79" s="1"/>
  <c r="N954" i="79"/>
  <c r="N754" i="79"/>
  <c r="N801" i="79" s="1"/>
  <c r="N848" i="79" s="1"/>
  <c r="N895" i="79" s="1"/>
  <c r="I959" i="79"/>
  <c r="I759" i="79"/>
  <c r="I806" i="79" s="1"/>
  <c r="I853" i="79" s="1"/>
  <c r="I900" i="79" s="1"/>
  <c r="O954" i="79"/>
  <c r="O754" i="79"/>
  <c r="O801" i="79" s="1"/>
  <c r="O848" i="79" s="1"/>
  <c r="O895" i="79" s="1"/>
  <c r="I957" i="79"/>
  <c r="I757" i="79"/>
  <c r="I804" i="79" s="1"/>
  <c r="I851" i="79" s="1"/>
  <c r="I898" i="79" s="1"/>
  <c r="I960" i="79"/>
  <c r="I760" i="79"/>
  <c r="I807" i="79" s="1"/>
  <c r="I854" i="79" s="1"/>
  <c r="I901" i="79" s="1"/>
  <c r="I958" i="79"/>
  <c r="I758" i="79"/>
  <c r="I805" i="79" s="1"/>
  <c r="I852" i="79" s="1"/>
  <c r="I899" i="79" s="1"/>
  <c r="I965" i="79"/>
  <c r="I765" i="79"/>
  <c r="I812" i="79" s="1"/>
  <c r="I859" i="79" s="1"/>
  <c r="I906" i="79" s="1"/>
  <c r="I992" i="79"/>
  <c r="I792" i="79"/>
  <c r="I839" i="79" s="1"/>
  <c r="I886" i="79" s="1"/>
  <c r="I933" i="79" s="1"/>
  <c r="AE954" i="79"/>
  <c r="AE754" i="79"/>
  <c r="AE801" i="79" s="1"/>
  <c r="AE848" i="79" s="1"/>
  <c r="AE895" i="79" s="1"/>
  <c r="I967" i="79"/>
  <c r="I767" i="79"/>
  <c r="I814" i="79" s="1"/>
  <c r="I861" i="79" s="1"/>
  <c r="I908" i="79" s="1"/>
  <c r="I968" i="79"/>
  <c r="I768" i="79"/>
  <c r="I815" i="79" s="1"/>
  <c r="I862" i="79" s="1"/>
  <c r="I909" i="79" s="1"/>
  <c r="AL954" i="79"/>
  <c r="AL754" i="79"/>
  <c r="AL801" i="79" s="1"/>
  <c r="AL848" i="79" s="1"/>
  <c r="AL895" i="79" s="1"/>
  <c r="AY954" i="79"/>
  <c r="AY754" i="79"/>
  <c r="AY801" i="79" s="1"/>
  <c r="AY848" i="79" s="1"/>
  <c r="AY895" i="79" s="1"/>
  <c r="I966" i="79"/>
  <c r="I766" i="79"/>
  <c r="I813" i="79" s="1"/>
  <c r="I860" i="79" s="1"/>
  <c r="I907" i="79" s="1"/>
  <c r="AD754" i="79"/>
  <c r="AD801" i="79" s="1"/>
  <c r="AD848" i="79" s="1"/>
  <c r="AD895" i="79" s="1"/>
  <c r="AD954" i="79"/>
  <c r="I975" i="79"/>
  <c r="I775" i="79"/>
  <c r="I822" i="79" s="1"/>
  <c r="I869" i="79" s="1"/>
  <c r="I916" i="79" s="1"/>
  <c r="W954" i="79"/>
  <c r="W754" i="79"/>
  <c r="W801" i="79" s="1"/>
  <c r="W848" i="79" s="1"/>
  <c r="W895" i="79" s="1"/>
  <c r="I755" i="79"/>
  <c r="I802" i="79" s="1"/>
  <c r="I849" i="79" s="1"/>
  <c r="I896" i="79" s="1"/>
  <c r="I955" i="79"/>
  <c r="I963" i="79"/>
  <c r="I763" i="79"/>
  <c r="I810" i="79" s="1"/>
  <c r="I857" i="79" s="1"/>
  <c r="I904" i="79" s="1"/>
  <c r="I771" i="79"/>
  <c r="I818" i="79" s="1"/>
  <c r="I865" i="79" s="1"/>
  <c r="I912" i="79" s="1"/>
  <c r="I971" i="79"/>
  <c r="I987" i="79"/>
  <c r="I787" i="79"/>
  <c r="I834" i="79" s="1"/>
  <c r="I881" i="79" s="1"/>
  <c r="I928" i="79" s="1"/>
  <c r="I995" i="79"/>
  <c r="I795" i="79"/>
  <c r="I842" i="79" s="1"/>
  <c r="I889" i="79" s="1"/>
  <c r="I936" i="79" s="1"/>
  <c r="I974" i="79"/>
  <c r="I774" i="79"/>
  <c r="I821" i="79" s="1"/>
  <c r="I868" i="79" s="1"/>
  <c r="I915" i="79" s="1"/>
  <c r="I972" i="79"/>
  <c r="I772" i="79"/>
  <c r="I819" i="79" s="1"/>
  <c r="I866" i="79" s="1"/>
  <c r="I913" i="79" s="1"/>
  <c r="I997" i="79"/>
  <c r="I797" i="79"/>
  <c r="I844" i="79" s="1"/>
  <c r="I891" i="79" s="1"/>
  <c r="I938" i="79" s="1"/>
  <c r="I956" i="79"/>
  <c r="I756" i="79"/>
  <c r="I803" i="79" s="1"/>
  <c r="I850" i="79" s="1"/>
  <c r="I897" i="79" s="1"/>
  <c r="I964" i="79"/>
  <c r="I764" i="79"/>
  <c r="I811" i="79" s="1"/>
  <c r="I858" i="79" s="1"/>
  <c r="I905" i="79" s="1"/>
  <c r="I980" i="79"/>
  <c r="I780" i="79"/>
  <c r="I827" i="79" s="1"/>
  <c r="I874" i="79" s="1"/>
  <c r="I921" i="79" s="1"/>
  <c r="I988" i="79"/>
  <c r="I788" i="79"/>
  <c r="I835" i="79" s="1"/>
  <c r="I882" i="79" s="1"/>
  <c r="I929" i="79" s="1"/>
  <c r="I996" i="79"/>
  <c r="I796" i="79"/>
  <c r="I843" i="79" s="1"/>
  <c r="I890" i="79" s="1"/>
  <c r="I937" i="79" s="1"/>
  <c r="I982" i="79"/>
  <c r="I782" i="79"/>
  <c r="I829" i="79" s="1"/>
  <c r="I876" i="79" s="1"/>
  <c r="I923" i="79" s="1"/>
  <c r="I973" i="79"/>
  <c r="I773" i="79"/>
  <c r="I820" i="79" s="1"/>
  <c r="I867" i="79" s="1"/>
  <c r="I914" i="79" s="1"/>
  <c r="I981" i="79"/>
  <c r="I781" i="79"/>
  <c r="I828" i="79" s="1"/>
  <c r="I875" i="79" s="1"/>
  <c r="I922" i="79" s="1"/>
  <c r="I989" i="79"/>
  <c r="I789" i="79"/>
  <c r="I836" i="79" s="1"/>
  <c r="I883" i="79" s="1"/>
  <c r="I930" i="79" s="1"/>
  <c r="AJ954" i="79"/>
  <c r="AJ754" i="79"/>
  <c r="AJ801" i="79" s="1"/>
  <c r="AJ848" i="79" s="1"/>
  <c r="AJ895" i="79" s="1"/>
  <c r="I979" i="79"/>
  <c r="I779" i="79"/>
  <c r="I826" i="79" s="1"/>
  <c r="I873" i="79" s="1"/>
  <c r="I920" i="79" s="1"/>
  <c r="I998" i="79"/>
  <c r="I798" i="79"/>
  <c r="I845" i="79" s="1"/>
  <c r="I892" i="79" s="1"/>
  <c r="I939" i="79" s="1"/>
  <c r="I983" i="79"/>
  <c r="I783" i="79"/>
  <c r="I830" i="79" s="1"/>
  <c r="I877" i="79" s="1"/>
  <c r="I924" i="79" s="1"/>
  <c r="BA754" i="79"/>
  <c r="BA801" i="79" s="1"/>
  <c r="BA848" i="79" s="1"/>
  <c r="BA895" i="79" s="1"/>
  <c r="BA954" i="79"/>
  <c r="I962" i="79"/>
  <c r="I762" i="79"/>
  <c r="I809" i="79" s="1"/>
  <c r="I856" i="79" s="1"/>
  <c r="I903" i="79" s="1"/>
  <c r="I991" i="79"/>
  <c r="I791" i="79"/>
  <c r="I838" i="79" s="1"/>
  <c r="I885" i="79" s="1"/>
  <c r="I932" i="79" s="1"/>
  <c r="I993" i="79"/>
  <c r="I793" i="79"/>
  <c r="I840" i="79" s="1"/>
  <c r="I887" i="79" s="1"/>
  <c r="I934" i="79" s="1"/>
  <c r="U954" i="79"/>
  <c r="U754" i="79"/>
  <c r="U801" i="79" s="1"/>
  <c r="U848" i="79" s="1"/>
  <c r="U895" i="79" s="1"/>
  <c r="V954" i="79"/>
  <c r="V754" i="79"/>
  <c r="V801" i="79" s="1"/>
  <c r="V848" i="79" s="1"/>
  <c r="V895" i="79" s="1"/>
  <c r="AK954" i="79"/>
  <c r="AK754" i="79"/>
  <c r="AK801" i="79" s="1"/>
  <c r="AK848" i="79" s="1"/>
  <c r="AK895" i="79" s="1"/>
  <c r="L754" i="79"/>
  <c r="L801" i="79" s="1"/>
  <c r="L848" i="79" s="1"/>
  <c r="L895" i="79" s="1"/>
  <c r="L954" i="79"/>
  <c r="AB954" i="79"/>
  <c r="AB754" i="79"/>
  <c r="AB801" i="79" s="1"/>
  <c r="AB848" i="79" s="1"/>
  <c r="AB895" i="79" s="1"/>
  <c r="AR954" i="79"/>
  <c r="AR754" i="79"/>
  <c r="AR801" i="79" s="1"/>
  <c r="AR848" i="79" s="1"/>
  <c r="AR895" i="79" s="1"/>
  <c r="AZ954" i="79"/>
  <c r="AZ754" i="79"/>
  <c r="AZ801" i="79" s="1"/>
  <c r="AZ848" i="79" s="1"/>
  <c r="AZ895" i="79" s="1"/>
  <c r="M954" i="79"/>
  <c r="M754" i="79"/>
  <c r="M801" i="79" s="1"/>
  <c r="M848" i="79" s="1"/>
  <c r="M895" i="79" s="1"/>
  <c r="AC954" i="79"/>
  <c r="AC754" i="79"/>
  <c r="AC801" i="79" s="1"/>
  <c r="AC848" i="79" s="1"/>
  <c r="AC895" i="79" s="1"/>
  <c r="AS954" i="79"/>
  <c r="AS754" i="79"/>
  <c r="AS801" i="79" s="1"/>
  <c r="AS848" i="79" s="1"/>
  <c r="AS895" i="79" s="1"/>
  <c r="T754" i="79"/>
  <c r="T801" i="79" s="1"/>
  <c r="T848" i="79" s="1"/>
  <c r="T895" i="79" s="1"/>
  <c r="T954" i="79"/>
  <c r="I761" i="79"/>
  <c r="I808" i="79" s="1"/>
  <c r="I855" i="79" s="1"/>
  <c r="I902" i="79" s="1"/>
  <c r="I961" i="79"/>
  <c r="I969" i="79"/>
  <c r="I769" i="79"/>
  <c r="I816" i="79" s="1"/>
  <c r="I863" i="79" s="1"/>
  <c r="I910" i="79" s="1"/>
  <c r="I777" i="79"/>
  <c r="I824" i="79" s="1"/>
  <c r="I871" i="79" s="1"/>
  <c r="I918" i="79" s="1"/>
  <c r="I977" i="79"/>
  <c r="I785" i="79"/>
  <c r="I832" i="79" s="1"/>
  <c r="I879" i="79" s="1"/>
  <c r="I926" i="79" s="1"/>
  <c r="I985" i="79"/>
  <c r="I970" i="79"/>
  <c r="I770" i="79"/>
  <c r="I817" i="79" s="1"/>
  <c r="I864" i="79" s="1"/>
  <c r="I911" i="79" s="1"/>
  <c r="I778" i="79"/>
  <c r="I825" i="79" s="1"/>
  <c r="I872" i="79" s="1"/>
  <c r="I919" i="79" s="1"/>
  <c r="I978" i="79"/>
  <c r="I986" i="79"/>
  <c r="I786" i="79"/>
  <c r="I833" i="79" s="1"/>
  <c r="I880" i="79" s="1"/>
  <c r="I927" i="79" s="1"/>
  <c r="I994" i="79"/>
  <c r="I794" i="79"/>
  <c r="I841" i="79" s="1"/>
  <c r="I888" i="79" s="1"/>
  <c r="I935" i="79" s="1"/>
  <c r="I984" i="79"/>
  <c r="I784" i="79"/>
  <c r="I831" i="79" s="1"/>
  <c r="I878" i="79" s="1"/>
  <c r="I925" i="79" s="1"/>
  <c r="AM954" i="79"/>
  <c r="AM754" i="79"/>
  <c r="AM801" i="79" s="1"/>
  <c r="AM848" i="79" s="1"/>
  <c r="AM895" i="79" s="1"/>
  <c r="I976" i="79"/>
  <c r="I776" i="79"/>
  <c r="I823" i="79" s="1"/>
  <c r="I870" i="79" s="1"/>
  <c r="I917" i="79" s="1"/>
  <c r="P2" i="79"/>
  <c r="P49" i="79" s="1"/>
  <c r="P96" i="79" s="1"/>
  <c r="P143" i="79" s="1"/>
  <c r="P190" i="79" s="1"/>
  <c r="P237" i="79" s="1"/>
  <c r="P284" i="79" s="1"/>
  <c r="P331" i="79" s="1"/>
  <c r="P378" i="79" s="1"/>
  <c r="P425" i="79" s="1"/>
  <c r="P472" i="79" s="1"/>
  <c r="P519" i="79" s="1"/>
  <c r="P566" i="79" s="1"/>
  <c r="P613" i="79" s="1"/>
  <c r="P660" i="79" s="1"/>
  <c r="P707" i="79" s="1"/>
  <c r="X2" i="79"/>
  <c r="X49" i="79" s="1"/>
  <c r="X96" i="79" s="1"/>
  <c r="X143" i="79" s="1"/>
  <c r="X190" i="79" s="1"/>
  <c r="X237" i="79" s="1"/>
  <c r="X284" i="79" s="1"/>
  <c r="X331" i="79" s="1"/>
  <c r="X378" i="79" s="1"/>
  <c r="X425" i="79" s="1"/>
  <c r="X472" i="79" s="1"/>
  <c r="X519" i="79" s="1"/>
  <c r="X566" i="79" s="1"/>
  <c r="X613" i="79" s="1"/>
  <c r="X660" i="79" s="1"/>
  <c r="X707" i="79" s="1"/>
  <c r="AF2" i="79"/>
  <c r="AF49" i="79" s="1"/>
  <c r="AF96" i="79" s="1"/>
  <c r="AF143" i="79" s="1"/>
  <c r="AF190" i="79" s="1"/>
  <c r="AF237" i="79" s="1"/>
  <c r="AF284" i="79" s="1"/>
  <c r="AF331" i="79" s="1"/>
  <c r="AF378" i="79" s="1"/>
  <c r="AF425" i="79" s="1"/>
  <c r="AF472" i="79" s="1"/>
  <c r="AF519" i="79" s="1"/>
  <c r="AF566" i="79" s="1"/>
  <c r="AF613" i="79" s="1"/>
  <c r="AF660" i="79" s="1"/>
  <c r="AF707" i="79" s="1"/>
  <c r="AN2" i="79"/>
  <c r="AN49" i="79" s="1"/>
  <c r="AN96" i="79" s="1"/>
  <c r="AN143" i="79" s="1"/>
  <c r="AN190" i="79" s="1"/>
  <c r="AN237" i="79" s="1"/>
  <c r="AN284" i="79" s="1"/>
  <c r="AN331" i="79" s="1"/>
  <c r="AN378" i="79" s="1"/>
  <c r="AN425" i="79" s="1"/>
  <c r="AN472" i="79" s="1"/>
  <c r="AN519" i="79" s="1"/>
  <c r="AN566" i="79" s="1"/>
  <c r="AN613" i="79" s="1"/>
  <c r="AN660" i="79" s="1"/>
  <c r="AN707" i="79" s="1"/>
  <c r="AV2" i="79"/>
  <c r="AV49" i="79" s="1"/>
  <c r="AV96" i="79" s="1"/>
  <c r="AV143" i="79" s="1"/>
  <c r="AV190" i="79" s="1"/>
  <c r="AV237" i="79" s="1"/>
  <c r="AV284" i="79" s="1"/>
  <c r="AV331" i="79" s="1"/>
  <c r="AV378" i="79" s="1"/>
  <c r="AV425" i="79" s="1"/>
  <c r="AV472" i="79" s="1"/>
  <c r="AV519" i="79" s="1"/>
  <c r="AV566" i="79" s="1"/>
  <c r="AV613" i="79" s="1"/>
  <c r="AV660" i="79" s="1"/>
  <c r="AV707" i="79" s="1"/>
  <c r="Q2" i="79"/>
  <c r="Q49" i="79" s="1"/>
  <c r="Q96" i="79" s="1"/>
  <c r="Q143" i="79" s="1"/>
  <c r="Q190" i="79" s="1"/>
  <c r="Q237" i="79" s="1"/>
  <c r="Q284" i="79" s="1"/>
  <c r="Q331" i="79" s="1"/>
  <c r="Q378" i="79" s="1"/>
  <c r="Q425" i="79" s="1"/>
  <c r="Q472" i="79" s="1"/>
  <c r="Q519" i="79" s="1"/>
  <c r="Q566" i="79" s="1"/>
  <c r="Q613" i="79" s="1"/>
  <c r="Q660" i="79" s="1"/>
  <c r="Q707" i="79" s="1"/>
  <c r="Y2" i="79"/>
  <c r="Y49" i="79" s="1"/>
  <c r="Y96" i="79" s="1"/>
  <c r="Y143" i="79" s="1"/>
  <c r="Y190" i="79" s="1"/>
  <c r="Y237" i="79" s="1"/>
  <c r="Y284" i="79" s="1"/>
  <c r="Y331" i="79" s="1"/>
  <c r="Y378" i="79" s="1"/>
  <c r="Y425" i="79" s="1"/>
  <c r="Y472" i="79" s="1"/>
  <c r="Y519" i="79" s="1"/>
  <c r="Y566" i="79" s="1"/>
  <c r="Y613" i="79" s="1"/>
  <c r="Y660" i="79" s="1"/>
  <c r="Y707" i="79" s="1"/>
  <c r="AG2" i="79"/>
  <c r="AG49" i="79" s="1"/>
  <c r="AG96" i="79" s="1"/>
  <c r="AG143" i="79" s="1"/>
  <c r="AG190" i="79" s="1"/>
  <c r="AG237" i="79" s="1"/>
  <c r="AG284" i="79" s="1"/>
  <c r="AG331" i="79" s="1"/>
  <c r="AG378" i="79" s="1"/>
  <c r="AG425" i="79" s="1"/>
  <c r="AG472" i="79" s="1"/>
  <c r="AG519" i="79" s="1"/>
  <c r="AG566" i="79" s="1"/>
  <c r="AG613" i="79" s="1"/>
  <c r="AG660" i="79" s="1"/>
  <c r="AG707" i="79" s="1"/>
  <c r="AO2" i="79"/>
  <c r="AO49" i="79" s="1"/>
  <c r="AO96" i="79" s="1"/>
  <c r="AO143" i="79" s="1"/>
  <c r="AO190" i="79" s="1"/>
  <c r="AO237" i="79" s="1"/>
  <c r="AO284" i="79" s="1"/>
  <c r="AO331" i="79" s="1"/>
  <c r="AO378" i="79" s="1"/>
  <c r="AO425" i="79" s="1"/>
  <c r="AO472" i="79" s="1"/>
  <c r="AO519" i="79" s="1"/>
  <c r="AO566" i="79" s="1"/>
  <c r="AO613" i="79" s="1"/>
  <c r="AO660" i="79" s="1"/>
  <c r="AO707" i="79" s="1"/>
  <c r="AW2" i="79"/>
  <c r="AW49" i="79" s="1"/>
  <c r="AW96" i="79" s="1"/>
  <c r="AW143" i="79" s="1"/>
  <c r="AW190" i="79" s="1"/>
  <c r="AW237" i="79" s="1"/>
  <c r="AW284" i="79" s="1"/>
  <c r="AW331" i="79" s="1"/>
  <c r="AW378" i="79" s="1"/>
  <c r="AW425" i="79" s="1"/>
  <c r="AW472" i="79" s="1"/>
  <c r="AW519" i="79" s="1"/>
  <c r="AW566" i="79" s="1"/>
  <c r="AW613" i="79" s="1"/>
  <c r="AW660" i="79" s="1"/>
  <c r="AW707" i="79" s="1"/>
  <c r="J2" i="79"/>
  <c r="J49" i="79" s="1"/>
  <c r="J96" i="79" s="1"/>
  <c r="J143" i="79" s="1"/>
  <c r="J190" i="79" s="1"/>
  <c r="J237" i="79" s="1"/>
  <c r="J284" i="79" s="1"/>
  <c r="J331" i="79" s="1"/>
  <c r="J378" i="79" s="1"/>
  <c r="J425" i="79" s="1"/>
  <c r="J472" i="79" s="1"/>
  <c r="J519" i="79" s="1"/>
  <c r="J566" i="79" s="1"/>
  <c r="J613" i="79" s="1"/>
  <c r="J660" i="79" s="1"/>
  <c r="J707" i="79" s="1"/>
  <c r="R2" i="79"/>
  <c r="R49" i="79" s="1"/>
  <c r="R96" i="79" s="1"/>
  <c r="R143" i="79" s="1"/>
  <c r="R190" i="79" s="1"/>
  <c r="R237" i="79" s="1"/>
  <c r="R284" i="79" s="1"/>
  <c r="R331" i="79" s="1"/>
  <c r="R378" i="79" s="1"/>
  <c r="R425" i="79" s="1"/>
  <c r="R472" i="79" s="1"/>
  <c r="R519" i="79" s="1"/>
  <c r="R566" i="79" s="1"/>
  <c r="R613" i="79" s="1"/>
  <c r="R660" i="79" s="1"/>
  <c r="R707" i="79" s="1"/>
  <c r="Z2" i="79"/>
  <c r="Z49" i="79" s="1"/>
  <c r="Z96" i="79" s="1"/>
  <c r="Z143" i="79" s="1"/>
  <c r="Z190" i="79" s="1"/>
  <c r="Z237" i="79" s="1"/>
  <c r="Z284" i="79" s="1"/>
  <c r="Z331" i="79" s="1"/>
  <c r="Z378" i="79" s="1"/>
  <c r="Z425" i="79" s="1"/>
  <c r="Z472" i="79" s="1"/>
  <c r="Z519" i="79" s="1"/>
  <c r="Z566" i="79" s="1"/>
  <c r="Z613" i="79" s="1"/>
  <c r="Z660" i="79" s="1"/>
  <c r="Z707" i="79" s="1"/>
  <c r="AH2" i="79"/>
  <c r="AH49" i="79" s="1"/>
  <c r="AH96" i="79" s="1"/>
  <c r="AH143" i="79" s="1"/>
  <c r="AH190" i="79" s="1"/>
  <c r="AH237" i="79" s="1"/>
  <c r="AH284" i="79" s="1"/>
  <c r="AH331" i="79" s="1"/>
  <c r="AH378" i="79" s="1"/>
  <c r="AH425" i="79" s="1"/>
  <c r="AH472" i="79" s="1"/>
  <c r="AH519" i="79" s="1"/>
  <c r="AH566" i="79" s="1"/>
  <c r="AH613" i="79" s="1"/>
  <c r="AH660" i="79" s="1"/>
  <c r="AH707" i="79" s="1"/>
  <c r="AP2" i="79"/>
  <c r="AP49" i="79" s="1"/>
  <c r="AP96" i="79" s="1"/>
  <c r="AP143" i="79" s="1"/>
  <c r="AP190" i="79" s="1"/>
  <c r="AP237" i="79" s="1"/>
  <c r="AP284" i="79" s="1"/>
  <c r="AP331" i="79" s="1"/>
  <c r="AP378" i="79" s="1"/>
  <c r="AP425" i="79" s="1"/>
  <c r="AP472" i="79" s="1"/>
  <c r="AP519" i="79" s="1"/>
  <c r="AP566" i="79" s="1"/>
  <c r="AP613" i="79" s="1"/>
  <c r="AP660" i="79" s="1"/>
  <c r="AP707" i="79" s="1"/>
  <c r="AX2" i="79"/>
  <c r="AX49" i="79" s="1"/>
  <c r="AX96" i="79" s="1"/>
  <c r="AX143" i="79" s="1"/>
  <c r="AX190" i="79" s="1"/>
  <c r="AX237" i="79" s="1"/>
  <c r="AX284" i="79" s="1"/>
  <c r="AX331" i="79" s="1"/>
  <c r="AX378" i="79" s="1"/>
  <c r="AX425" i="79" s="1"/>
  <c r="AX472" i="79" s="1"/>
  <c r="AX519" i="79" s="1"/>
  <c r="AX566" i="79" s="1"/>
  <c r="AX613" i="79" s="1"/>
  <c r="AX660" i="79" s="1"/>
  <c r="AX707" i="79" s="1"/>
  <c r="K2" i="79"/>
  <c r="K49" i="79" s="1"/>
  <c r="K96" i="79" s="1"/>
  <c r="K143" i="79" s="1"/>
  <c r="K190" i="79" s="1"/>
  <c r="K237" i="79" s="1"/>
  <c r="K284" i="79" s="1"/>
  <c r="K331" i="79" s="1"/>
  <c r="K378" i="79" s="1"/>
  <c r="K425" i="79" s="1"/>
  <c r="K472" i="79" s="1"/>
  <c r="K519" i="79" s="1"/>
  <c r="K566" i="79" s="1"/>
  <c r="K613" i="79" s="1"/>
  <c r="K660" i="79" s="1"/>
  <c r="K707" i="79" s="1"/>
  <c r="S2" i="79"/>
  <c r="S49" i="79" s="1"/>
  <c r="S96" i="79" s="1"/>
  <c r="S143" i="79" s="1"/>
  <c r="S190" i="79" s="1"/>
  <c r="S237" i="79" s="1"/>
  <c r="S284" i="79" s="1"/>
  <c r="S331" i="79" s="1"/>
  <c r="S378" i="79" s="1"/>
  <c r="S425" i="79" s="1"/>
  <c r="S472" i="79" s="1"/>
  <c r="S519" i="79" s="1"/>
  <c r="S566" i="79" s="1"/>
  <c r="S613" i="79" s="1"/>
  <c r="S660" i="79" s="1"/>
  <c r="S707" i="79" s="1"/>
  <c r="AA2" i="79"/>
  <c r="AA49" i="79" s="1"/>
  <c r="AA96" i="79" s="1"/>
  <c r="AA143" i="79" s="1"/>
  <c r="AA190" i="79" s="1"/>
  <c r="AA237" i="79" s="1"/>
  <c r="AA284" i="79" s="1"/>
  <c r="AA331" i="79" s="1"/>
  <c r="AA378" i="79" s="1"/>
  <c r="AA425" i="79" s="1"/>
  <c r="AA472" i="79" s="1"/>
  <c r="AA519" i="79" s="1"/>
  <c r="AA566" i="79" s="1"/>
  <c r="AA613" i="79" s="1"/>
  <c r="AA660" i="79" s="1"/>
  <c r="AA707" i="79" s="1"/>
  <c r="AI2" i="79"/>
  <c r="AI49" i="79" s="1"/>
  <c r="AI96" i="79" s="1"/>
  <c r="AI143" i="79" s="1"/>
  <c r="AI190" i="79" s="1"/>
  <c r="AI237" i="79" s="1"/>
  <c r="AI284" i="79" s="1"/>
  <c r="AI331" i="79" s="1"/>
  <c r="AI378" i="79" s="1"/>
  <c r="AI425" i="79" s="1"/>
  <c r="AI472" i="79" s="1"/>
  <c r="AI519" i="79" s="1"/>
  <c r="AI566" i="79" s="1"/>
  <c r="AI613" i="79" s="1"/>
  <c r="AI660" i="79" s="1"/>
  <c r="AI707" i="79" s="1"/>
  <c r="AQ2" i="79"/>
  <c r="AQ49" i="79" s="1"/>
  <c r="AQ96" i="79" s="1"/>
  <c r="AQ143" i="79" s="1"/>
  <c r="AQ190" i="79" s="1"/>
  <c r="AQ237" i="79" s="1"/>
  <c r="AQ284" i="79" s="1"/>
  <c r="AQ331" i="79" s="1"/>
  <c r="AQ378" i="79" s="1"/>
  <c r="AQ425" i="79" s="1"/>
  <c r="AQ472" i="79" s="1"/>
  <c r="AQ519" i="79" s="1"/>
  <c r="AQ566" i="79" s="1"/>
  <c r="AQ613" i="79" s="1"/>
  <c r="AQ660" i="79" s="1"/>
  <c r="AQ707" i="79" s="1"/>
  <c r="Q2" i="73" a="1"/>
  <c r="Q2" i="73" s="1"/>
  <c r="A2" i="75" s="1"/>
  <c r="A3" i="84" s="1"/>
  <c r="AH3" i="84" s="1"/>
  <c r="AI3" i="84" s="1"/>
  <c r="AJ3" i="84" s="1"/>
  <c r="H9" i="73"/>
  <c r="H10" i="73"/>
  <c r="H17" i="73"/>
  <c r="H18" i="73"/>
  <c r="H25" i="73"/>
  <c r="H26" i="73"/>
  <c r="H33" i="73"/>
  <c r="H34" i="73"/>
  <c r="H41" i="73"/>
  <c r="H42" i="73"/>
  <c r="H49" i="73"/>
  <c r="H50" i="73"/>
  <c r="H57" i="73"/>
  <c r="H58" i="73"/>
  <c r="H65" i="73"/>
  <c r="H66" i="73"/>
  <c r="H73" i="73"/>
  <c r="H74" i="73"/>
  <c r="H81" i="73"/>
  <c r="H82" i="73"/>
  <c r="H89" i="73"/>
  <c r="H90" i="73"/>
  <c r="H97" i="73"/>
  <c r="H98" i="73"/>
  <c r="H105" i="73"/>
  <c r="H106" i="73"/>
  <c r="H113" i="73"/>
  <c r="H114" i="73"/>
  <c r="G3" i="73"/>
  <c r="H3" i="73" s="1"/>
  <c r="G4" i="73"/>
  <c r="H4" i="73" s="1"/>
  <c r="G5" i="73"/>
  <c r="H5" i="73" s="1"/>
  <c r="G6" i="73"/>
  <c r="H6" i="73" s="1"/>
  <c r="G7" i="73"/>
  <c r="H7" i="73" s="1"/>
  <c r="G8" i="73"/>
  <c r="H8" i="73" s="1"/>
  <c r="G9" i="73"/>
  <c r="G10" i="73"/>
  <c r="G11" i="73"/>
  <c r="H11" i="73" s="1"/>
  <c r="G12" i="73"/>
  <c r="H12" i="73" s="1"/>
  <c r="G13" i="73"/>
  <c r="H13" i="73" s="1"/>
  <c r="G14" i="73"/>
  <c r="H14" i="73" s="1"/>
  <c r="G15" i="73"/>
  <c r="H15" i="73" s="1"/>
  <c r="G16" i="73"/>
  <c r="H16" i="73" s="1"/>
  <c r="G17" i="73"/>
  <c r="G18" i="73"/>
  <c r="G19" i="73"/>
  <c r="H19" i="73" s="1"/>
  <c r="G20" i="73"/>
  <c r="H20" i="73" s="1"/>
  <c r="G21" i="73"/>
  <c r="H21" i="73" s="1"/>
  <c r="G22" i="73"/>
  <c r="H22" i="73" s="1"/>
  <c r="G23" i="73"/>
  <c r="H23" i="73" s="1"/>
  <c r="G24" i="73"/>
  <c r="H24" i="73" s="1"/>
  <c r="G25" i="73"/>
  <c r="G26" i="73"/>
  <c r="G27" i="73"/>
  <c r="H27" i="73" s="1"/>
  <c r="G28" i="73"/>
  <c r="H28" i="73" s="1"/>
  <c r="G29" i="73"/>
  <c r="H29" i="73" s="1"/>
  <c r="G30" i="73"/>
  <c r="H30" i="73" s="1"/>
  <c r="G31" i="73"/>
  <c r="H31" i="73" s="1"/>
  <c r="G32" i="73"/>
  <c r="H32" i="73" s="1"/>
  <c r="G33" i="73"/>
  <c r="G34" i="73"/>
  <c r="G35" i="73"/>
  <c r="H35" i="73" s="1"/>
  <c r="G36" i="73"/>
  <c r="H36" i="73" s="1"/>
  <c r="G37" i="73"/>
  <c r="H37" i="73" s="1"/>
  <c r="G38" i="73"/>
  <c r="H38" i="73" s="1"/>
  <c r="G39" i="73"/>
  <c r="H39" i="73" s="1"/>
  <c r="G40" i="73"/>
  <c r="H40" i="73" s="1"/>
  <c r="G41" i="73"/>
  <c r="G42" i="73"/>
  <c r="G43" i="73"/>
  <c r="H43" i="73" s="1"/>
  <c r="G44" i="73"/>
  <c r="H44" i="73" s="1"/>
  <c r="G45" i="73"/>
  <c r="H45" i="73" s="1"/>
  <c r="G46" i="73"/>
  <c r="H46" i="73" s="1"/>
  <c r="G47" i="73"/>
  <c r="H47" i="73" s="1"/>
  <c r="G48" i="73"/>
  <c r="H48" i="73" s="1"/>
  <c r="G49" i="73"/>
  <c r="G50" i="73"/>
  <c r="G51" i="73"/>
  <c r="H51" i="73" s="1"/>
  <c r="G52" i="73"/>
  <c r="H52" i="73" s="1"/>
  <c r="G53" i="73"/>
  <c r="H53" i="73" s="1"/>
  <c r="G54" i="73"/>
  <c r="H54" i="73" s="1"/>
  <c r="G55" i="73"/>
  <c r="H55" i="73" s="1"/>
  <c r="G56" i="73"/>
  <c r="H56" i="73" s="1"/>
  <c r="G57" i="73"/>
  <c r="G58" i="73"/>
  <c r="G59" i="73"/>
  <c r="H59" i="73" s="1"/>
  <c r="G60" i="73"/>
  <c r="H60" i="73" s="1"/>
  <c r="G61" i="73"/>
  <c r="H61" i="73" s="1"/>
  <c r="G62" i="73"/>
  <c r="H62" i="73" s="1"/>
  <c r="G63" i="73"/>
  <c r="H63" i="73" s="1"/>
  <c r="G64" i="73"/>
  <c r="H64" i="73" s="1"/>
  <c r="G65" i="73"/>
  <c r="G66" i="73"/>
  <c r="G67" i="73"/>
  <c r="H67" i="73" s="1"/>
  <c r="G68" i="73"/>
  <c r="H68" i="73" s="1"/>
  <c r="G69" i="73"/>
  <c r="H69" i="73" s="1"/>
  <c r="G70" i="73"/>
  <c r="H70" i="73" s="1"/>
  <c r="G71" i="73"/>
  <c r="H71" i="73" s="1"/>
  <c r="G72" i="73"/>
  <c r="H72" i="73" s="1"/>
  <c r="G73" i="73"/>
  <c r="G74" i="73"/>
  <c r="G75" i="73"/>
  <c r="H75" i="73" s="1"/>
  <c r="G76" i="73"/>
  <c r="H76" i="73" s="1"/>
  <c r="G77" i="73"/>
  <c r="H77" i="73" s="1"/>
  <c r="G78" i="73"/>
  <c r="H78" i="73" s="1"/>
  <c r="G79" i="73"/>
  <c r="H79" i="73" s="1"/>
  <c r="G80" i="73"/>
  <c r="H80" i="73" s="1"/>
  <c r="G81" i="73"/>
  <c r="G82" i="73"/>
  <c r="G83" i="73"/>
  <c r="H83" i="73" s="1"/>
  <c r="G84" i="73"/>
  <c r="H84" i="73" s="1"/>
  <c r="G85" i="73"/>
  <c r="H85" i="73" s="1"/>
  <c r="G86" i="73"/>
  <c r="H86" i="73" s="1"/>
  <c r="G87" i="73"/>
  <c r="H87" i="73" s="1"/>
  <c r="G88" i="73"/>
  <c r="H88" i="73" s="1"/>
  <c r="G89" i="73"/>
  <c r="G90" i="73"/>
  <c r="G91" i="73"/>
  <c r="H91" i="73" s="1"/>
  <c r="G92" i="73"/>
  <c r="H92" i="73" s="1"/>
  <c r="G93" i="73"/>
  <c r="H93" i="73" s="1"/>
  <c r="G94" i="73"/>
  <c r="H94" i="73" s="1"/>
  <c r="G95" i="73"/>
  <c r="H95" i="73" s="1"/>
  <c r="G96" i="73"/>
  <c r="H96" i="73" s="1"/>
  <c r="G97" i="73"/>
  <c r="G98" i="73"/>
  <c r="G99" i="73"/>
  <c r="H99" i="73" s="1"/>
  <c r="G100" i="73"/>
  <c r="H100" i="73" s="1"/>
  <c r="G101" i="73"/>
  <c r="H101" i="73" s="1"/>
  <c r="G102" i="73"/>
  <c r="H102" i="73" s="1"/>
  <c r="G103" i="73"/>
  <c r="H103" i="73" s="1"/>
  <c r="G104" i="73"/>
  <c r="H104" i="73" s="1"/>
  <c r="G105" i="73"/>
  <c r="G106" i="73"/>
  <c r="G107" i="73"/>
  <c r="H107" i="73" s="1"/>
  <c r="G108" i="73"/>
  <c r="H108" i="73" s="1"/>
  <c r="G109" i="73"/>
  <c r="H109" i="73" s="1"/>
  <c r="G110" i="73"/>
  <c r="H110" i="73" s="1"/>
  <c r="G111" i="73"/>
  <c r="H111" i="73" s="1"/>
  <c r="G112" i="73"/>
  <c r="H112" i="73" s="1"/>
  <c r="G113" i="73"/>
  <c r="G114" i="73"/>
  <c r="G115" i="73"/>
  <c r="H115" i="73" s="1"/>
  <c r="G116" i="73"/>
  <c r="H116" i="73" s="1"/>
  <c r="G117" i="73"/>
  <c r="H117" i="73" s="1"/>
  <c r="G118" i="73"/>
  <c r="H118" i="73" s="1"/>
  <c r="G2" i="73"/>
  <c r="H2" i="73" s="1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9" i="73"/>
  <c r="F30" i="73"/>
  <c r="F31" i="73"/>
  <c r="F32" i="73"/>
  <c r="F33" i="73"/>
  <c r="F34" i="73"/>
  <c r="F35" i="73"/>
  <c r="F36" i="73"/>
  <c r="F37" i="73"/>
  <c r="F38" i="73"/>
  <c r="F39" i="73"/>
  <c r="F40" i="73"/>
  <c r="F41" i="73"/>
  <c r="F42" i="73"/>
  <c r="F43" i="73"/>
  <c r="F44" i="73"/>
  <c r="F45" i="73"/>
  <c r="F46" i="73"/>
  <c r="F47" i="73"/>
  <c r="F48" i="73"/>
  <c r="F49" i="73"/>
  <c r="F50" i="73"/>
  <c r="F51" i="73"/>
  <c r="F52" i="73"/>
  <c r="F53" i="73"/>
  <c r="F54" i="73"/>
  <c r="F55" i="73"/>
  <c r="F56" i="73"/>
  <c r="F57" i="73"/>
  <c r="F58" i="73"/>
  <c r="F59" i="73"/>
  <c r="F60" i="73"/>
  <c r="F61" i="73"/>
  <c r="F62" i="73"/>
  <c r="F63" i="73"/>
  <c r="F64" i="73"/>
  <c r="F65" i="73"/>
  <c r="F66" i="73"/>
  <c r="F67" i="73"/>
  <c r="F68" i="73"/>
  <c r="F69" i="73"/>
  <c r="F70" i="73"/>
  <c r="F71" i="73"/>
  <c r="F72" i="73"/>
  <c r="F73" i="73"/>
  <c r="F74" i="73"/>
  <c r="F75" i="73"/>
  <c r="F76" i="73"/>
  <c r="F77" i="73"/>
  <c r="F78" i="73"/>
  <c r="F79" i="73"/>
  <c r="F80" i="73"/>
  <c r="F81" i="73"/>
  <c r="F82" i="73"/>
  <c r="F83" i="73"/>
  <c r="F84" i="73"/>
  <c r="F85" i="73"/>
  <c r="F86" i="73"/>
  <c r="F87" i="73"/>
  <c r="F88" i="73"/>
  <c r="F89" i="73"/>
  <c r="F90" i="73"/>
  <c r="F91" i="73"/>
  <c r="F92" i="73"/>
  <c r="F93" i="73"/>
  <c r="F94" i="73"/>
  <c r="F95" i="73"/>
  <c r="F96" i="73"/>
  <c r="F97" i="73"/>
  <c r="F98" i="73"/>
  <c r="F99" i="73"/>
  <c r="F100" i="73"/>
  <c r="F101" i="73"/>
  <c r="F102" i="73"/>
  <c r="F103" i="73"/>
  <c r="F104" i="73"/>
  <c r="F105" i="73"/>
  <c r="F106" i="73"/>
  <c r="F107" i="73"/>
  <c r="F108" i="73"/>
  <c r="F109" i="73"/>
  <c r="F110" i="73"/>
  <c r="F111" i="73"/>
  <c r="F112" i="73"/>
  <c r="F113" i="73"/>
  <c r="F114" i="73"/>
  <c r="F115" i="73"/>
  <c r="F116" i="73"/>
  <c r="F117" i="73"/>
  <c r="F118" i="73"/>
  <c r="F2" i="73"/>
  <c r="D3" i="73"/>
  <c r="D4" i="73"/>
  <c r="D5" i="73"/>
  <c r="D6" i="73"/>
  <c r="D7" i="73"/>
  <c r="D8" i="73"/>
  <c r="E8" i="73" s="1"/>
  <c r="D9" i="73"/>
  <c r="E9" i="73" s="1"/>
  <c r="D10" i="73"/>
  <c r="D11" i="73"/>
  <c r="D12" i="73"/>
  <c r="D13" i="73"/>
  <c r="D14" i="73"/>
  <c r="D15" i="73"/>
  <c r="D16" i="73"/>
  <c r="E16" i="73" s="1"/>
  <c r="D17" i="73"/>
  <c r="E17" i="73" s="1"/>
  <c r="D18" i="73"/>
  <c r="D19" i="73"/>
  <c r="D20" i="73"/>
  <c r="D21" i="73"/>
  <c r="D22" i="73"/>
  <c r="D23" i="73"/>
  <c r="D24" i="73"/>
  <c r="E24" i="73" s="1"/>
  <c r="D25" i="73"/>
  <c r="E25" i="73" s="1"/>
  <c r="D26" i="73"/>
  <c r="D27" i="73"/>
  <c r="D28" i="73"/>
  <c r="D29" i="73"/>
  <c r="D30" i="73"/>
  <c r="D31" i="73"/>
  <c r="D32" i="73"/>
  <c r="E32" i="73" s="1"/>
  <c r="D33" i="73"/>
  <c r="E33" i="73" s="1"/>
  <c r="D34" i="73"/>
  <c r="D35" i="73"/>
  <c r="D36" i="73"/>
  <c r="D37" i="73"/>
  <c r="D38" i="73"/>
  <c r="D39" i="73"/>
  <c r="D40" i="73"/>
  <c r="E40" i="73" s="1"/>
  <c r="D41" i="73"/>
  <c r="E41" i="73" s="1"/>
  <c r="D42" i="73"/>
  <c r="D43" i="73"/>
  <c r="D44" i="73"/>
  <c r="D45" i="73"/>
  <c r="D46" i="73"/>
  <c r="D47" i="73"/>
  <c r="D48" i="73"/>
  <c r="E48" i="73" s="1"/>
  <c r="D49" i="73"/>
  <c r="E49" i="73" s="1"/>
  <c r="D50" i="73"/>
  <c r="D51" i="73"/>
  <c r="D52" i="73"/>
  <c r="D53" i="73"/>
  <c r="D54" i="73"/>
  <c r="D55" i="73"/>
  <c r="D56" i="73"/>
  <c r="E56" i="73" s="1"/>
  <c r="D57" i="73"/>
  <c r="E57" i="73" s="1"/>
  <c r="D58" i="73"/>
  <c r="D59" i="73"/>
  <c r="D60" i="73"/>
  <c r="D61" i="73"/>
  <c r="D62" i="73"/>
  <c r="D63" i="73"/>
  <c r="D64" i="73"/>
  <c r="E64" i="73" s="1"/>
  <c r="D65" i="73"/>
  <c r="E65" i="73" s="1"/>
  <c r="D66" i="73"/>
  <c r="D67" i="73"/>
  <c r="D68" i="73"/>
  <c r="D69" i="73"/>
  <c r="D70" i="73"/>
  <c r="D71" i="73"/>
  <c r="D72" i="73"/>
  <c r="E72" i="73" s="1"/>
  <c r="D73" i="73"/>
  <c r="E73" i="73" s="1"/>
  <c r="D74" i="73"/>
  <c r="D75" i="73"/>
  <c r="D76" i="73"/>
  <c r="D77" i="73"/>
  <c r="D78" i="73"/>
  <c r="D79" i="73"/>
  <c r="D80" i="73"/>
  <c r="E80" i="73" s="1"/>
  <c r="D81" i="73"/>
  <c r="E81" i="73" s="1"/>
  <c r="D82" i="73"/>
  <c r="D83" i="73"/>
  <c r="D84" i="73"/>
  <c r="D85" i="73"/>
  <c r="D86" i="73"/>
  <c r="D87" i="73"/>
  <c r="D88" i="73"/>
  <c r="E88" i="73" s="1"/>
  <c r="D89" i="73"/>
  <c r="E89" i="73" s="1"/>
  <c r="D90" i="73"/>
  <c r="D91" i="73"/>
  <c r="D92" i="73"/>
  <c r="D93" i="73"/>
  <c r="D94" i="73"/>
  <c r="D95" i="73"/>
  <c r="D96" i="73"/>
  <c r="E96" i="73" s="1"/>
  <c r="D97" i="73"/>
  <c r="E97" i="73" s="1"/>
  <c r="D98" i="73"/>
  <c r="D99" i="73"/>
  <c r="D100" i="73"/>
  <c r="E100" i="73" s="1"/>
  <c r="D101" i="73"/>
  <c r="D102" i="73"/>
  <c r="D103" i="73"/>
  <c r="D104" i="73"/>
  <c r="E104" i="73" s="1"/>
  <c r="D105" i="73"/>
  <c r="E105" i="73" s="1"/>
  <c r="D106" i="73"/>
  <c r="D107" i="73"/>
  <c r="D108" i="73"/>
  <c r="E108" i="73" s="1"/>
  <c r="D109" i="73"/>
  <c r="D110" i="73"/>
  <c r="D111" i="73"/>
  <c r="D112" i="73"/>
  <c r="E112" i="73" s="1"/>
  <c r="D113" i="73"/>
  <c r="E113" i="73" s="1"/>
  <c r="D114" i="73"/>
  <c r="D115" i="73"/>
  <c r="D116" i="73"/>
  <c r="E116" i="73" s="1"/>
  <c r="D117" i="73"/>
  <c r="D118" i="73"/>
  <c r="E118" i="73" s="1"/>
  <c r="C2" i="73"/>
  <c r="D2" i="73"/>
  <c r="E2" i="73" s="1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08" i="73"/>
  <c r="C109" i="73"/>
  <c r="C110" i="73"/>
  <c r="C111" i="73"/>
  <c r="C112" i="73"/>
  <c r="C113" i="73"/>
  <c r="C114" i="73"/>
  <c r="C115" i="73"/>
  <c r="C116" i="73"/>
  <c r="C117" i="73"/>
  <c r="C118" i="73"/>
  <c r="G3" i="67"/>
  <c r="G4" i="67"/>
  <c r="G5" i="67"/>
  <c r="G6" i="67"/>
  <c r="G2" i="67"/>
  <c r="E3" i="73" l="1"/>
  <c r="E115" i="73"/>
  <c r="E107" i="73"/>
  <c r="E91" i="73"/>
  <c r="E83" i="73"/>
  <c r="E67" i="73"/>
  <c r="E43" i="73"/>
  <c r="E35" i="73"/>
  <c r="E19" i="73"/>
  <c r="E11" i="73"/>
  <c r="E99" i="73"/>
  <c r="E75" i="73"/>
  <c r="E59" i="73"/>
  <c r="E51" i="73"/>
  <c r="E27" i="73"/>
  <c r="E114" i="73"/>
  <c r="E106" i="73"/>
  <c r="E98" i="73"/>
  <c r="E90" i="73"/>
  <c r="E82" i="73"/>
  <c r="E74" i="73"/>
  <c r="E66" i="73"/>
  <c r="E58" i="73"/>
  <c r="E50" i="73"/>
  <c r="E42" i="73"/>
  <c r="E34" i="73"/>
  <c r="E26" i="73"/>
  <c r="E18" i="73"/>
  <c r="E10" i="73"/>
  <c r="E4" i="73"/>
  <c r="B5" i="77"/>
  <c r="Q3" i="73" a="1"/>
  <c r="Q3" i="73" s="1"/>
  <c r="A3" i="75" s="1"/>
  <c r="E111" i="73"/>
  <c r="E103" i="73"/>
  <c r="E95" i="73"/>
  <c r="E87" i="73"/>
  <c r="E79" i="73"/>
  <c r="E71" i="73"/>
  <c r="E63" i="73"/>
  <c r="E55" i="73"/>
  <c r="E47" i="73"/>
  <c r="E39" i="73"/>
  <c r="E31" i="73"/>
  <c r="E23" i="73"/>
  <c r="E15" i="73"/>
  <c r="E7" i="73"/>
  <c r="E110" i="73"/>
  <c r="E102" i="73"/>
  <c r="E94" i="73"/>
  <c r="E86" i="73"/>
  <c r="E78" i="73"/>
  <c r="E70" i="73"/>
  <c r="E62" i="73"/>
  <c r="E54" i="73"/>
  <c r="E46" i="73"/>
  <c r="E38" i="73"/>
  <c r="E30" i="73"/>
  <c r="E22" i="73"/>
  <c r="E14" i="73"/>
  <c r="E6" i="73"/>
  <c r="E117" i="73"/>
  <c r="E109" i="73"/>
  <c r="E101" i="73"/>
  <c r="E93" i="73"/>
  <c r="E85" i="73"/>
  <c r="E77" i="73"/>
  <c r="E69" i="73"/>
  <c r="E61" i="73"/>
  <c r="E53" i="73"/>
  <c r="E45" i="73"/>
  <c r="E37" i="73"/>
  <c r="E29" i="73"/>
  <c r="E21" i="73"/>
  <c r="E13" i="73"/>
  <c r="E5" i="73"/>
  <c r="E92" i="73"/>
  <c r="E84" i="73"/>
  <c r="E76" i="73"/>
  <c r="E68" i="73"/>
  <c r="E60" i="73"/>
  <c r="E52" i="73"/>
  <c r="E44" i="73"/>
  <c r="E36" i="73"/>
  <c r="E28" i="73"/>
  <c r="E20" i="73"/>
  <c r="E12" i="73"/>
  <c r="D5" i="77"/>
  <c r="C5" i="77"/>
  <c r="AW954" i="79"/>
  <c r="AW754" i="79"/>
  <c r="AW801" i="79" s="1"/>
  <c r="AW848" i="79" s="1"/>
  <c r="AW895" i="79" s="1"/>
  <c r="S954" i="79"/>
  <c r="S754" i="79"/>
  <c r="S801" i="79" s="1"/>
  <c r="S848" i="79" s="1"/>
  <c r="S895" i="79" s="1"/>
  <c r="K954" i="79"/>
  <c r="K754" i="79"/>
  <c r="K801" i="79" s="1"/>
  <c r="K848" i="79" s="1"/>
  <c r="K895" i="79" s="1"/>
  <c r="AO954" i="79"/>
  <c r="AO754" i="79"/>
  <c r="AO801" i="79" s="1"/>
  <c r="AO848" i="79" s="1"/>
  <c r="AO895" i="79" s="1"/>
  <c r="P954" i="79"/>
  <c r="P754" i="79"/>
  <c r="P801" i="79" s="1"/>
  <c r="P848" i="79" s="1"/>
  <c r="P895" i="79" s="1"/>
  <c r="X954" i="79"/>
  <c r="X754" i="79"/>
  <c r="X801" i="79" s="1"/>
  <c r="X848" i="79" s="1"/>
  <c r="X895" i="79" s="1"/>
  <c r="Y954" i="79"/>
  <c r="Y754" i="79"/>
  <c r="Y801" i="79" s="1"/>
  <c r="Y848" i="79" s="1"/>
  <c r="Y895" i="79" s="1"/>
  <c r="AX954" i="79"/>
  <c r="AX754" i="79"/>
  <c r="AX801" i="79" s="1"/>
  <c r="AX848" i="79" s="1"/>
  <c r="AX895" i="79" s="1"/>
  <c r="AH954" i="79"/>
  <c r="AH754" i="79"/>
  <c r="AH801" i="79" s="1"/>
  <c r="AH848" i="79" s="1"/>
  <c r="AH895" i="79" s="1"/>
  <c r="Q954" i="79"/>
  <c r="Q754" i="79"/>
  <c r="Q801" i="79" s="1"/>
  <c r="Q848" i="79" s="1"/>
  <c r="Q895" i="79" s="1"/>
  <c r="AG954" i="79"/>
  <c r="AG754" i="79"/>
  <c r="AG801" i="79" s="1"/>
  <c r="AG848" i="79" s="1"/>
  <c r="AG895" i="79" s="1"/>
  <c r="AQ954" i="79"/>
  <c r="AQ754" i="79"/>
  <c r="AQ801" i="79" s="1"/>
  <c r="AQ848" i="79" s="1"/>
  <c r="AQ895" i="79" s="1"/>
  <c r="Z954" i="79"/>
  <c r="Z754" i="79"/>
  <c r="Z801" i="79" s="1"/>
  <c r="Z848" i="79" s="1"/>
  <c r="Z895" i="79" s="1"/>
  <c r="AV954" i="79"/>
  <c r="AV754" i="79"/>
  <c r="AV801" i="79" s="1"/>
  <c r="AV848" i="79" s="1"/>
  <c r="AV895" i="79" s="1"/>
  <c r="AI954" i="79"/>
  <c r="AI754" i="79"/>
  <c r="AI801" i="79" s="1"/>
  <c r="AI848" i="79" s="1"/>
  <c r="AI895" i="79" s="1"/>
  <c r="R954" i="79"/>
  <c r="R754" i="79"/>
  <c r="R801" i="79" s="1"/>
  <c r="R848" i="79" s="1"/>
  <c r="R895" i="79" s="1"/>
  <c r="AN954" i="79"/>
  <c r="AN754" i="79"/>
  <c r="AN801" i="79" s="1"/>
  <c r="AN848" i="79" s="1"/>
  <c r="AN895" i="79" s="1"/>
  <c r="AP954" i="79"/>
  <c r="AP754" i="79"/>
  <c r="AP801" i="79" s="1"/>
  <c r="AP848" i="79" s="1"/>
  <c r="AP895" i="79" s="1"/>
  <c r="AA954" i="79"/>
  <c r="AA754" i="79"/>
  <c r="AA801" i="79" s="1"/>
  <c r="AA848" i="79" s="1"/>
  <c r="AA895" i="79" s="1"/>
  <c r="J954" i="79"/>
  <c r="J754" i="79"/>
  <c r="J801" i="79" s="1"/>
  <c r="J848" i="79" s="1"/>
  <c r="J895" i="79" s="1"/>
  <c r="AF954" i="79"/>
  <c r="AF754" i="79"/>
  <c r="AF801" i="79" s="1"/>
  <c r="AF848" i="79" s="1"/>
  <c r="AF895" i="79" s="1"/>
  <c r="A3" i="70"/>
  <c r="A4" i="70"/>
  <c r="A5" i="70"/>
  <c r="A6" i="70"/>
  <c r="A2" i="70"/>
  <c r="A5" i="69"/>
  <c r="A6" i="69"/>
  <c r="A7" i="69"/>
  <c r="A8" i="69"/>
  <c r="E8" i="69" s="1"/>
  <c r="A4" i="69"/>
  <c r="E5" i="69"/>
  <c r="E6" i="69"/>
  <c r="E7" i="69"/>
  <c r="E4" i="69"/>
  <c r="A5" i="68"/>
  <c r="A6" i="68"/>
  <c r="A7" i="68"/>
  <c r="A8" i="68"/>
  <c r="A4" i="68"/>
  <c r="Q4" i="73" l="1" a="1"/>
  <c r="Q4" i="73" s="1"/>
  <c r="A4" i="75" s="1"/>
  <c r="A4" i="84"/>
  <c r="AH4" i="84" s="1"/>
  <c r="AI4" i="84" s="1"/>
  <c r="AJ4" i="84" s="1"/>
  <c r="B6" i="77"/>
  <c r="E5" i="77"/>
  <c r="D2" i="72"/>
  <c r="C2" i="72"/>
  <c r="B2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3" i="72"/>
  <c r="V4" i="72"/>
  <c r="V5" i="72"/>
  <c r="V6" i="72"/>
  <c r="V7" i="72"/>
  <c r="V8" i="72"/>
  <c r="V2" i="72"/>
  <c r="U3" i="72"/>
  <c r="U4" i="72"/>
  <c r="U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" i="72"/>
  <c r="T3" i="72"/>
  <c r="T4" i="72"/>
  <c r="T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" i="72"/>
  <c r="S3" i="72"/>
  <c r="S4" i="72"/>
  <c r="S5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27" i="72"/>
  <c r="S2" i="72"/>
  <c r="R3" i="72"/>
  <c r="R4" i="72"/>
  <c r="R5" i="72"/>
  <c r="R6" i="72"/>
  <c r="R7" i="72"/>
  <c r="R8" i="72"/>
  <c r="R9" i="72"/>
  <c r="R10" i="72"/>
  <c r="R11" i="72"/>
  <c r="R12" i="72"/>
  <c r="R13" i="72"/>
  <c r="R14" i="72"/>
  <c r="R15" i="72"/>
  <c r="R16" i="72"/>
  <c r="R17" i="72"/>
  <c r="R18" i="72"/>
  <c r="R19" i="72"/>
  <c r="R20" i="72"/>
  <c r="R21" i="72"/>
  <c r="R22" i="72"/>
  <c r="R23" i="72"/>
  <c r="R24" i="72"/>
  <c r="R25" i="72"/>
  <c r="R26" i="72"/>
  <c r="R27" i="72"/>
  <c r="R2" i="72"/>
  <c r="N3" i="72"/>
  <c r="N4" i="72"/>
  <c r="N5" i="72"/>
  <c r="N6" i="72"/>
  <c r="N7" i="72"/>
  <c r="N8" i="72"/>
  <c r="N9" i="72"/>
  <c r="N2" i="72"/>
  <c r="M3" i="72"/>
  <c r="M4" i="72"/>
  <c r="M5" i="72"/>
  <c r="M6" i="72"/>
  <c r="M7" i="72"/>
  <c r="M8" i="72"/>
  <c r="M9" i="72"/>
  <c r="M2" i="72"/>
  <c r="K3" i="72"/>
  <c r="K4" i="72"/>
  <c r="K5" i="72"/>
  <c r="K6" i="72"/>
  <c r="K7" i="72"/>
  <c r="K8" i="72"/>
  <c r="K9" i="72"/>
  <c r="K2" i="72"/>
  <c r="J3" i="72"/>
  <c r="J4" i="72"/>
  <c r="J5" i="72"/>
  <c r="J6" i="72"/>
  <c r="J7" i="72"/>
  <c r="J8" i="72"/>
  <c r="J9" i="72"/>
  <c r="J2" i="72"/>
  <c r="H3" i="72"/>
  <c r="H4" i="72"/>
  <c r="H5" i="72"/>
  <c r="H6" i="72"/>
  <c r="H7" i="72"/>
  <c r="H8" i="72"/>
  <c r="H9" i="72"/>
  <c r="H2" i="72"/>
  <c r="E6" i="67"/>
  <c r="D5" i="67" a="1"/>
  <c r="D5" i="67" s="1"/>
  <c r="C4" i="67" a="1"/>
  <c r="C4" i="67" s="1"/>
  <c r="B3" i="67" a="1"/>
  <c r="B3" i="67" s="1"/>
  <c r="G4" i="66"/>
  <c r="G5" i="66"/>
  <c r="G6" i="66"/>
  <c r="G7" i="66"/>
  <c r="G3" i="66"/>
  <c r="C1" i="67"/>
  <c r="D1" i="67"/>
  <c r="E1" i="67"/>
  <c r="F1" i="67"/>
  <c r="B1" i="67"/>
  <c r="A5" i="84" l="1"/>
  <c r="AH5" i="84" s="1"/>
  <c r="AI5" i="84" s="1"/>
  <c r="AJ5" i="84" s="1"/>
  <c r="B7" i="77"/>
  <c r="Q5" i="73" a="1"/>
  <c r="Q5" i="73" s="1"/>
  <c r="A5" i="75" s="1"/>
  <c r="D6" i="77"/>
  <c r="C6" i="77"/>
  <c r="F5" i="77"/>
  <c r="G5" i="77" s="1"/>
  <c r="D6" i="67"/>
  <c r="C6" i="67"/>
  <c r="C5" i="67"/>
  <c r="B6" i="67"/>
  <c r="B5" i="67"/>
  <c r="B4" i="67"/>
  <c r="C3" i="68"/>
  <c r="D3" i="68"/>
  <c r="E3" i="68"/>
  <c r="F3" i="68"/>
  <c r="B3" i="68"/>
  <c r="A2" i="67" a="1"/>
  <c r="A6" i="84" l="1"/>
  <c r="AH6" i="84" s="1"/>
  <c r="AI6" i="84" s="1"/>
  <c r="AJ6" i="84" s="1"/>
  <c r="B8" i="77"/>
  <c r="Q6" i="73" a="1"/>
  <c r="Q6" i="73" s="1"/>
  <c r="A6" i="75" s="1"/>
  <c r="E6" i="77"/>
  <c r="D7" i="77"/>
  <c r="C7" i="77"/>
  <c r="E7" i="77" s="1"/>
  <c r="I5" i="77"/>
  <c r="J5" i="77"/>
  <c r="K5" i="77"/>
  <c r="L5" i="77"/>
  <c r="B4" i="69"/>
  <c r="C4" i="69" s="1"/>
  <c r="B2" i="70"/>
  <c r="D4" i="69"/>
  <c r="D5" i="69"/>
  <c r="B5" i="69"/>
  <c r="C5" i="69" s="1"/>
  <c r="B3" i="70"/>
  <c r="D6" i="69"/>
  <c r="B6" i="69"/>
  <c r="C6" i="69" s="1"/>
  <c r="B4" i="70"/>
  <c r="D7" i="69"/>
  <c r="B7" i="69"/>
  <c r="C7" i="69" s="1"/>
  <c r="B5" i="70"/>
  <c r="B6" i="70"/>
  <c r="D8" i="69"/>
  <c r="B8" i="69"/>
  <c r="C8" i="69" s="1"/>
  <c r="C4" i="68"/>
  <c r="B4" i="68"/>
  <c r="D4" i="68"/>
  <c r="E4" i="68"/>
  <c r="F4" i="68"/>
  <c r="C5" i="68"/>
  <c r="E5" i="68"/>
  <c r="D5" i="68"/>
  <c r="F5" i="68"/>
  <c r="B5" i="68"/>
  <c r="C6" i="68"/>
  <c r="E6" i="68"/>
  <c r="D6" i="68"/>
  <c r="F6" i="68"/>
  <c r="B6" i="68"/>
  <c r="D7" i="68"/>
  <c r="C7" i="68"/>
  <c r="B7" i="68"/>
  <c r="F7" i="68"/>
  <c r="E7" i="68"/>
  <c r="C8" i="68"/>
  <c r="F8" i="68"/>
  <c r="B8" i="68"/>
  <c r="D8" i="68"/>
  <c r="E8" i="68"/>
  <c r="H6" i="67" a="1"/>
  <c r="H6" i="67" s="1"/>
  <c r="A4" i="67"/>
  <c r="A3" i="67"/>
  <c r="A2" i="67"/>
  <c r="A6" i="67"/>
  <c r="A5" i="67"/>
  <c r="Q8" i="73" l="1" a="1"/>
  <c r="Q8" i="73" s="1"/>
  <c r="A8" i="75" s="1"/>
  <c r="F6" i="77"/>
  <c r="Q7" i="73" a="1"/>
  <c r="Q7" i="73" s="1"/>
  <c r="A7" i="75" s="1"/>
  <c r="A7" i="84"/>
  <c r="AH7" i="84" s="1"/>
  <c r="AI7" i="84" s="1"/>
  <c r="AJ7" i="84" s="1"/>
  <c r="B9" i="77"/>
  <c r="G7" i="77"/>
  <c r="F7" i="77"/>
  <c r="D8" i="77"/>
  <c r="C8" i="77"/>
  <c r="E8" i="77" s="1"/>
  <c r="F8" i="77" s="1"/>
  <c r="F8" i="69"/>
  <c r="C6" i="70" s="1"/>
  <c r="F7" i="69"/>
  <c r="C5" i="70" s="1"/>
  <c r="F6" i="69"/>
  <c r="C4" i="70" s="1"/>
  <c r="F5" i="69"/>
  <c r="C3" i="70" s="1"/>
  <c r="F4" i="69"/>
  <c r="C2" i="70" s="1"/>
  <c r="H4" i="67" a="1"/>
  <c r="H4" i="67" s="1"/>
  <c r="H2" i="67" a="1"/>
  <c r="H2" i="67" s="1"/>
  <c r="H5" i="67" a="1"/>
  <c r="H5" i="67" s="1"/>
  <c r="H3" i="67" a="1"/>
  <c r="H3" i="67" s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534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2" i="27"/>
  <c r="F4" i="25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F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AJ55" i="65"/>
  <c r="AN55" i="65"/>
  <c r="AR55" i="65"/>
  <c r="AV55" i="65"/>
  <c r="AZ55" i="65"/>
  <c r="BD55" i="65"/>
  <c r="BH55" i="65"/>
  <c r="BL55" i="65"/>
  <c r="BP55" i="65"/>
  <c r="H55" i="65"/>
  <c r="B3" i="32"/>
  <c r="C2" i="32"/>
  <c r="B2" i="32"/>
  <c r="A8" i="84" l="1"/>
  <c r="AH8" i="84" s="1"/>
  <c r="AI8" i="84" s="1"/>
  <c r="AJ8" i="84" s="1"/>
  <c r="B10" i="77"/>
  <c r="C9" i="77"/>
  <c r="D9" i="77"/>
  <c r="G6" i="77"/>
  <c r="J6" i="77" s="1"/>
  <c r="G8" i="77"/>
  <c r="I8" i="77" s="1"/>
  <c r="L7" i="77"/>
  <c r="K7" i="77"/>
  <c r="J7" i="77"/>
  <c r="I7" i="77"/>
  <c r="A9" i="84"/>
  <c r="AH9" i="84" s="1"/>
  <c r="AI9" i="84" s="1"/>
  <c r="AJ9" i="84" s="1"/>
  <c r="B11" i="77"/>
  <c r="Q9" i="73" a="1"/>
  <c r="Q9" i="73" s="1"/>
  <c r="A9" i="75" s="1"/>
  <c r="E22" i="29"/>
  <c r="B4" i="28"/>
  <c r="B32" i="29"/>
  <c r="B24" i="29"/>
  <c r="U37" i="29"/>
  <c r="M37" i="29"/>
  <c r="E37" i="29"/>
  <c r="V36" i="29"/>
  <c r="N36" i="29"/>
  <c r="F36" i="29"/>
  <c r="W35" i="29"/>
  <c r="O35" i="29"/>
  <c r="G35" i="29"/>
  <c r="X34" i="29"/>
  <c r="P34" i="29"/>
  <c r="H34" i="29"/>
  <c r="Y33" i="29"/>
  <c r="Q33" i="29"/>
  <c r="I33" i="29"/>
  <c r="Z32" i="29"/>
  <c r="R32" i="29"/>
  <c r="J32" i="29"/>
  <c r="AA31" i="29"/>
  <c r="S31" i="29"/>
  <c r="K31" i="29"/>
  <c r="C31" i="29"/>
  <c r="T30" i="29"/>
  <c r="L30" i="29"/>
  <c r="D30" i="29"/>
  <c r="U29" i="29"/>
  <c r="M29" i="29"/>
  <c r="E29" i="29"/>
  <c r="V28" i="29"/>
  <c r="N28" i="29"/>
  <c r="F28" i="29"/>
  <c r="W27" i="29"/>
  <c r="O27" i="29"/>
  <c r="G27" i="29"/>
  <c r="X26" i="29"/>
  <c r="P26" i="29"/>
  <c r="H26" i="29"/>
  <c r="Y25" i="29"/>
  <c r="Q25" i="29"/>
  <c r="I25" i="29"/>
  <c r="Z24" i="29"/>
  <c r="R24" i="29"/>
  <c r="J24" i="29"/>
  <c r="AA23" i="29"/>
  <c r="S23" i="29"/>
  <c r="K23" i="29"/>
  <c r="C23" i="29"/>
  <c r="T22" i="29"/>
  <c r="L22" i="29"/>
  <c r="D22" i="29"/>
  <c r="B13" i="30"/>
  <c r="B5" i="30"/>
  <c r="C18" i="30"/>
  <c r="I16" i="30"/>
  <c r="H15" i="30"/>
  <c r="G14" i="30"/>
  <c r="F13" i="30"/>
  <c r="E12" i="30"/>
  <c r="D11" i="30"/>
  <c r="C10" i="30"/>
  <c r="I8" i="30"/>
  <c r="H7" i="30"/>
  <c r="G6" i="30"/>
  <c r="F5" i="30"/>
  <c r="E4" i="30"/>
  <c r="D3" i="30"/>
  <c r="E4" i="28"/>
  <c r="B31" i="29"/>
  <c r="B23" i="29"/>
  <c r="T37" i="29"/>
  <c r="L37" i="29"/>
  <c r="D37" i="29"/>
  <c r="U36" i="29"/>
  <c r="M36" i="29"/>
  <c r="E36" i="29"/>
  <c r="V35" i="29"/>
  <c r="N35" i="29"/>
  <c r="F35" i="29"/>
  <c r="W34" i="29"/>
  <c r="O34" i="29"/>
  <c r="G34" i="29"/>
  <c r="X33" i="29"/>
  <c r="P33" i="29"/>
  <c r="H33" i="29"/>
  <c r="Y32" i="29"/>
  <c r="Q32" i="29"/>
  <c r="I32" i="29"/>
  <c r="Z31" i="29"/>
  <c r="R31" i="29"/>
  <c r="J31" i="29"/>
  <c r="AA30" i="29"/>
  <c r="S30" i="29"/>
  <c r="K30" i="29"/>
  <c r="C30" i="29"/>
  <c r="T29" i="29"/>
  <c r="L29" i="29"/>
  <c r="D29" i="29"/>
  <c r="U28" i="29"/>
  <c r="M28" i="29"/>
  <c r="E28" i="29"/>
  <c r="V27" i="29"/>
  <c r="N27" i="29"/>
  <c r="F27" i="29"/>
  <c r="W26" i="29"/>
  <c r="O26" i="29"/>
  <c r="G26" i="29"/>
  <c r="X25" i="29"/>
  <c r="P25" i="29"/>
  <c r="H25" i="29"/>
  <c r="Y24" i="29"/>
  <c r="Q24" i="29"/>
  <c r="I24" i="29"/>
  <c r="Z23" i="29"/>
  <c r="R23" i="29"/>
  <c r="J23" i="29"/>
  <c r="AA22" i="29"/>
  <c r="S22" i="29"/>
  <c r="K22" i="29"/>
  <c r="C22" i="29"/>
  <c r="B12" i="30"/>
  <c r="B4" i="30"/>
  <c r="I17" i="30"/>
  <c r="H16" i="30"/>
  <c r="G15" i="30"/>
  <c r="F14" i="30"/>
  <c r="E13" i="30"/>
  <c r="D12" i="30"/>
  <c r="C11" i="30"/>
  <c r="I9" i="30"/>
  <c r="H8" i="30"/>
  <c r="G7" i="30"/>
  <c r="F6" i="30"/>
  <c r="E5" i="30"/>
  <c r="D4" i="30"/>
  <c r="C3" i="30"/>
  <c r="B22" i="29"/>
  <c r="B30" i="29"/>
  <c r="AA37" i="29"/>
  <c r="S37" i="29"/>
  <c r="K37" i="29"/>
  <c r="C37" i="29"/>
  <c r="T36" i="29"/>
  <c r="L36" i="29"/>
  <c r="D36" i="29"/>
  <c r="U35" i="29"/>
  <c r="M35" i="29"/>
  <c r="E35" i="29"/>
  <c r="V34" i="29"/>
  <c r="N34" i="29"/>
  <c r="F34" i="29"/>
  <c r="W33" i="29"/>
  <c r="O33" i="29"/>
  <c r="G33" i="29"/>
  <c r="X32" i="29"/>
  <c r="P32" i="29"/>
  <c r="H32" i="29"/>
  <c r="Y31" i="29"/>
  <c r="Q31" i="29"/>
  <c r="I31" i="29"/>
  <c r="Z30" i="29"/>
  <c r="R30" i="29"/>
  <c r="J30" i="29"/>
  <c r="AA29" i="29"/>
  <c r="S29" i="29"/>
  <c r="K29" i="29"/>
  <c r="C29" i="29"/>
  <c r="T28" i="29"/>
  <c r="L28" i="29"/>
  <c r="D28" i="29"/>
  <c r="U27" i="29"/>
  <c r="M27" i="29"/>
  <c r="E27" i="29"/>
  <c r="V26" i="29"/>
  <c r="N26" i="29"/>
  <c r="F26" i="29"/>
  <c r="W25" i="29"/>
  <c r="O25" i="29"/>
  <c r="G25" i="29"/>
  <c r="X24" i="29"/>
  <c r="P24" i="29"/>
  <c r="H24" i="29"/>
  <c r="Y23" i="29"/>
  <c r="Q23" i="29"/>
  <c r="I23" i="29"/>
  <c r="Z22" i="29"/>
  <c r="R22" i="29"/>
  <c r="J22" i="29"/>
  <c r="B3" i="30"/>
  <c r="B11" i="30"/>
  <c r="I18" i="30"/>
  <c r="H17" i="30"/>
  <c r="G16" i="30"/>
  <c r="F15" i="30"/>
  <c r="E14" i="30"/>
  <c r="D13" i="30"/>
  <c r="C12" i="30"/>
  <c r="I10" i="30"/>
  <c r="H9" i="30"/>
  <c r="G8" i="30"/>
  <c r="F7" i="30"/>
  <c r="E6" i="30"/>
  <c r="D5" i="30"/>
  <c r="C4" i="30"/>
  <c r="C4" i="28"/>
  <c r="B37" i="29"/>
  <c r="B29" i="29"/>
  <c r="Z37" i="29"/>
  <c r="R37" i="29"/>
  <c r="J37" i="29"/>
  <c r="AA36" i="29"/>
  <c r="S36" i="29"/>
  <c r="K36" i="29"/>
  <c r="C36" i="29"/>
  <c r="T35" i="29"/>
  <c r="L35" i="29"/>
  <c r="D35" i="29"/>
  <c r="U34" i="29"/>
  <c r="M34" i="29"/>
  <c r="E34" i="29"/>
  <c r="V33" i="29"/>
  <c r="N33" i="29"/>
  <c r="F33" i="29"/>
  <c r="W32" i="29"/>
  <c r="O32" i="29"/>
  <c r="G32" i="29"/>
  <c r="X31" i="29"/>
  <c r="P31" i="29"/>
  <c r="H31" i="29"/>
  <c r="Y30" i="29"/>
  <c r="Q30" i="29"/>
  <c r="I30" i="29"/>
  <c r="Z29" i="29"/>
  <c r="R29" i="29"/>
  <c r="J29" i="29"/>
  <c r="AA28" i="29"/>
  <c r="S28" i="29"/>
  <c r="K28" i="29"/>
  <c r="C28" i="29"/>
  <c r="T27" i="29"/>
  <c r="L27" i="29"/>
  <c r="D27" i="29"/>
  <c r="U26" i="29"/>
  <c r="M26" i="29"/>
  <c r="E26" i="29"/>
  <c r="V25" i="29"/>
  <c r="N25" i="29"/>
  <c r="F25" i="29"/>
  <c r="W24" i="29"/>
  <c r="O24" i="29"/>
  <c r="G24" i="29"/>
  <c r="X23" i="29"/>
  <c r="P23" i="29"/>
  <c r="H23" i="29"/>
  <c r="Y22" i="29"/>
  <c r="Q22" i="29"/>
  <c r="I22" i="29"/>
  <c r="B18" i="30"/>
  <c r="B10" i="30"/>
  <c r="H18" i="30"/>
  <c r="G17" i="30"/>
  <c r="F16" i="30"/>
  <c r="E15" i="30"/>
  <c r="D14" i="30"/>
  <c r="C13" i="30"/>
  <c r="I11" i="30"/>
  <c r="H10" i="30"/>
  <c r="G9" i="30"/>
  <c r="F8" i="30"/>
  <c r="E7" i="30"/>
  <c r="D6" i="30"/>
  <c r="C5" i="30"/>
  <c r="I3" i="30"/>
  <c r="B36" i="29"/>
  <c r="B28" i="29"/>
  <c r="Y37" i="29"/>
  <c r="Q37" i="29"/>
  <c r="I37" i="29"/>
  <c r="Z36" i="29"/>
  <c r="R36" i="29"/>
  <c r="J36" i="29"/>
  <c r="AA35" i="29"/>
  <c r="S35" i="29"/>
  <c r="K35" i="29"/>
  <c r="C35" i="29"/>
  <c r="T34" i="29"/>
  <c r="L34" i="29"/>
  <c r="D34" i="29"/>
  <c r="U33" i="29"/>
  <c r="M33" i="29"/>
  <c r="E33" i="29"/>
  <c r="V32" i="29"/>
  <c r="N32" i="29"/>
  <c r="F32" i="29"/>
  <c r="W31" i="29"/>
  <c r="O31" i="29"/>
  <c r="G31" i="29"/>
  <c r="X30" i="29"/>
  <c r="P30" i="29"/>
  <c r="H30" i="29"/>
  <c r="Y29" i="29"/>
  <c r="Q29" i="29"/>
  <c r="I29" i="29"/>
  <c r="Z28" i="29"/>
  <c r="R28" i="29"/>
  <c r="J28" i="29"/>
  <c r="AA27" i="29"/>
  <c r="S27" i="29"/>
  <c r="K27" i="29"/>
  <c r="C27" i="29"/>
  <c r="T26" i="29"/>
  <c r="L26" i="29"/>
  <c r="D26" i="29"/>
  <c r="U25" i="29"/>
  <c r="M25" i="29"/>
  <c r="E25" i="29"/>
  <c r="V24" i="29"/>
  <c r="N24" i="29"/>
  <c r="F24" i="29"/>
  <c r="W23" i="29"/>
  <c r="O23" i="29"/>
  <c r="G23" i="29"/>
  <c r="X22" i="29"/>
  <c r="P22" i="29"/>
  <c r="H22" i="29"/>
  <c r="B17" i="30"/>
  <c r="B9" i="30"/>
  <c r="G18" i="30"/>
  <c r="F17" i="30"/>
  <c r="E16" i="30"/>
  <c r="D15" i="30"/>
  <c r="C14" i="30"/>
  <c r="I12" i="30"/>
  <c r="H11" i="30"/>
  <c r="G10" i="30"/>
  <c r="F9" i="30"/>
  <c r="E8" i="30"/>
  <c r="D7" i="30"/>
  <c r="C6" i="30"/>
  <c r="I4" i="30"/>
  <c r="H3" i="30"/>
  <c r="B35" i="29"/>
  <c r="B27" i="29"/>
  <c r="X37" i="29"/>
  <c r="P37" i="29"/>
  <c r="H37" i="29"/>
  <c r="Y36" i="29"/>
  <c r="Q36" i="29"/>
  <c r="I36" i="29"/>
  <c r="Z35" i="29"/>
  <c r="R35" i="29"/>
  <c r="J35" i="29"/>
  <c r="AA34" i="29"/>
  <c r="S34" i="29"/>
  <c r="K34" i="29"/>
  <c r="C34" i="29"/>
  <c r="T33" i="29"/>
  <c r="L33" i="29"/>
  <c r="D33" i="29"/>
  <c r="U32" i="29"/>
  <c r="M32" i="29"/>
  <c r="E32" i="29"/>
  <c r="V31" i="29"/>
  <c r="N31" i="29"/>
  <c r="F31" i="29"/>
  <c r="W30" i="29"/>
  <c r="O30" i="29"/>
  <c r="G30" i="29"/>
  <c r="X29" i="29"/>
  <c r="P29" i="29"/>
  <c r="H29" i="29"/>
  <c r="Y28" i="29"/>
  <c r="Q28" i="29"/>
  <c r="I28" i="29"/>
  <c r="Z27" i="29"/>
  <c r="R27" i="29"/>
  <c r="J27" i="29"/>
  <c r="AA26" i="29"/>
  <c r="S26" i="29"/>
  <c r="K26" i="29"/>
  <c r="C26" i="29"/>
  <c r="T25" i="29"/>
  <c r="L25" i="29"/>
  <c r="D25" i="29"/>
  <c r="U24" i="29"/>
  <c r="M24" i="29"/>
  <c r="E24" i="29"/>
  <c r="V23" i="29"/>
  <c r="N23" i="29"/>
  <c r="F23" i="29"/>
  <c r="W22" i="29"/>
  <c r="O22" i="29"/>
  <c r="G22" i="29"/>
  <c r="B16" i="30"/>
  <c r="B8" i="30"/>
  <c r="F18" i="30"/>
  <c r="E17" i="30"/>
  <c r="D16" i="30"/>
  <c r="C15" i="30"/>
  <c r="I13" i="30"/>
  <c r="H12" i="30"/>
  <c r="G11" i="30"/>
  <c r="F10" i="30"/>
  <c r="E9" i="30"/>
  <c r="D8" i="30"/>
  <c r="C7" i="30"/>
  <c r="I5" i="30"/>
  <c r="H4" i="30"/>
  <c r="G3" i="30"/>
  <c r="H4" i="28"/>
  <c r="B34" i="29"/>
  <c r="B26" i="29"/>
  <c r="W37" i="29"/>
  <c r="O37" i="29"/>
  <c r="G37" i="29"/>
  <c r="X36" i="29"/>
  <c r="P36" i="29"/>
  <c r="H36" i="29"/>
  <c r="Y35" i="29"/>
  <c r="Q35" i="29"/>
  <c r="I35" i="29"/>
  <c r="Z34" i="29"/>
  <c r="R34" i="29"/>
  <c r="J34" i="29"/>
  <c r="AA33" i="29"/>
  <c r="S33" i="29"/>
  <c r="K33" i="29"/>
  <c r="C33" i="29"/>
  <c r="T32" i="29"/>
  <c r="L32" i="29"/>
  <c r="D32" i="29"/>
  <c r="U31" i="29"/>
  <c r="M31" i="29"/>
  <c r="E31" i="29"/>
  <c r="V30" i="29"/>
  <c r="N30" i="29"/>
  <c r="F30" i="29"/>
  <c r="W29" i="29"/>
  <c r="O29" i="29"/>
  <c r="G29" i="29"/>
  <c r="X28" i="29"/>
  <c r="P28" i="29"/>
  <c r="H28" i="29"/>
  <c r="Y27" i="29"/>
  <c r="Q27" i="29"/>
  <c r="I27" i="29"/>
  <c r="Z26" i="29"/>
  <c r="R26" i="29"/>
  <c r="J26" i="29"/>
  <c r="AA25" i="29"/>
  <c r="S25" i="29"/>
  <c r="K25" i="29"/>
  <c r="C25" i="29"/>
  <c r="T24" i="29"/>
  <c r="L24" i="29"/>
  <c r="D24" i="29"/>
  <c r="U23" i="29"/>
  <c r="M23" i="29"/>
  <c r="E23" i="29"/>
  <c r="V22" i="29"/>
  <c r="N22" i="29"/>
  <c r="F22" i="29"/>
  <c r="B15" i="30"/>
  <c r="B7" i="30"/>
  <c r="E18" i="30"/>
  <c r="D17" i="30"/>
  <c r="C16" i="30"/>
  <c r="I14" i="30"/>
  <c r="H13" i="30"/>
  <c r="G12" i="30"/>
  <c r="F11" i="30"/>
  <c r="E10" i="30"/>
  <c r="D9" i="30"/>
  <c r="C8" i="30"/>
  <c r="I6" i="30"/>
  <c r="H5" i="30"/>
  <c r="G4" i="30"/>
  <c r="F3" i="30"/>
  <c r="B33" i="29"/>
  <c r="B25" i="29"/>
  <c r="V37" i="29"/>
  <c r="N37" i="29"/>
  <c r="F37" i="29"/>
  <c r="W36" i="29"/>
  <c r="O36" i="29"/>
  <c r="G36" i="29"/>
  <c r="X35" i="29"/>
  <c r="P35" i="29"/>
  <c r="H35" i="29"/>
  <c r="Y34" i="29"/>
  <c r="Q34" i="29"/>
  <c r="I34" i="29"/>
  <c r="Z33" i="29"/>
  <c r="R33" i="29"/>
  <c r="J33" i="29"/>
  <c r="AA32" i="29"/>
  <c r="S32" i="29"/>
  <c r="K32" i="29"/>
  <c r="C32" i="29"/>
  <c r="T31" i="29"/>
  <c r="L31" i="29"/>
  <c r="D31" i="29"/>
  <c r="U30" i="29"/>
  <c r="M30" i="29"/>
  <c r="E30" i="29"/>
  <c r="V29" i="29"/>
  <c r="N29" i="29"/>
  <c r="F29" i="29"/>
  <c r="W28" i="29"/>
  <c r="O28" i="29"/>
  <c r="G28" i="29"/>
  <c r="X27" i="29"/>
  <c r="P27" i="29"/>
  <c r="H27" i="29"/>
  <c r="Y26" i="29"/>
  <c r="Q26" i="29"/>
  <c r="I26" i="29"/>
  <c r="Z25" i="29"/>
  <c r="R25" i="29"/>
  <c r="J25" i="29"/>
  <c r="AA24" i="29"/>
  <c r="S24" i="29"/>
  <c r="K24" i="29"/>
  <c r="C24" i="29"/>
  <c r="T23" i="29"/>
  <c r="L23" i="29"/>
  <c r="D23" i="29"/>
  <c r="U22" i="29"/>
  <c r="M22" i="29"/>
  <c r="B14" i="30"/>
  <c r="B6" i="30"/>
  <c r="D18" i="30"/>
  <c r="C17" i="30"/>
  <c r="I15" i="30"/>
  <c r="H14" i="30"/>
  <c r="G13" i="30"/>
  <c r="F12" i="30"/>
  <c r="E11" i="30"/>
  <c r="D10" i="30"/>
  <c r="C9" i="30"/>
  <c r="I7" i="30"/>
  <c r="H6" i="30"/>
  <c r="G5" i="30"/>
  <c r="F4" i="30"/>
  <c r="E3" i="30"/>
  <c r="I2" i="67"/>
  <c r="B1" i="68" s="1"/>
  <c r="I6" i="67"/>
  <c r="F1" i="68" s="1"/>
  <c r="I3" i="67"/>
  <c r="C1" i="68" s="1"/>
  <c r="I4" i="67"/>
  <c r="D1" i="68" s="1"/>
  <c r="I5" i="67"/>
  <c r="E1" i="68" s="1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H17" i="28"/>
  <c r="H15" i="28"/>
  <c r="H13" i="28"/>
  <c r="H11" i="28"/>
  <c r="H9" i="28"/>
  <c r="H7" i="28"/>
  <c r="H5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H18" i="28"/>
  <c r="H16" i="28"/>
  <c r="H14" i="28"/>
  <c r="H12" i="28"/>
  <c r="H10" i="28"/>
  <c r="H8" i="28"/>
  <c r="H6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P56" i="65"/>
  <c r="BP57" i="65" s="1"/>
  <c r="AJ56" i="65"/>
  <c r="AJ57" i="65" s="1"/>
  <c r="BL56" i="65"/>
  <c r="BL57" i="65" s="1"/>
  <c r="AF56" i="65"/>
  <c r="AF57" i="65" s="1"/>
  <c r="BD56" i="65"/>
  <c r="BD57" i="65" s="1"/>
  <c r="X56" i="65"/>
  <c r="X57" i="65" s="1"/>
  <c r="AZ56" i="65"/>
  <c r="AZ57" i="65" s="1"/>
  <c r="T56" i="65"/>
  <c r="T57" i="65" s="1"/>
  <c r="AV56" i="65"/>
  <c r="AV57" i="65" s="1"/>
  <c r="P56" i="65"/>
  <c r="P57" i="65" s="1"/>
  <c r="AR56" i="65"/>
  <c r="AR57" i="65" s="1"/>
  <c r="L56" i="65"/>
  <c r="L57" i="65" s="1"/>
  <c r="AB56" i="65"/>
  <c r="AB57" i="65" s="1"/>
  <c r="AN56" i="65"/>
  <c r="AN57" i="65" s="1"/>
  <c r="BH56" i="65"/>
  <c r="BH57" i="65" s="1"/>
  <c r="H56" i="65"/>
  <c r="H57" i="65" s="1"/>
  <c r="I6" i="77" l="1"/>
  <c r="A10" i="84"/>
  <c r="AH10" i="84" s="1"/>
  <c r="AI10" i="84" s="1"/>
  <c r="AJ10" i="84" s="1"/>
  <c r="B12" i="77"/>
  <c r="C11" i="77"/>
  <c r="E11" i="77" s="1"/>
  <c r="F11" i="77" s="1"/>
  <c r="D11" i="77"/>
  <c r="L8" i="77"/>
  <c r="Q10" i="73" a="1"/>
  <c r="Q10" i="73" s="1"/>
  <c r="A10" i="75" s="1"/>
  <c r="E9" i="77"/>
  <c r="C10" i="77"/>
  <c r="D10" i="77"/>
  <c r="K8" i="77"/>
  <c r="J8" i="77"/>
  <c r="K6" i="77"/>
  <c r="L6" i="77"/>
  <c r="G6" i="68"/>
  <c r="D4" i="70" s="1"/>
  <c r="E4" i="70" s="1"/>
  <c r="G4" i="68"/>
  <c r="D2" i="70" s="1"/>
  <c r="E2" i="70" s="1"/>
  <c r="G8" i="68"/>
  <c r="D6" i="70" s="1"/>
  <c r="E6" i="70" s="1"/>
  <c r="G5" i="68"/>
  <c r="D3" i="70" s="1"/>
  <c r="E3" i="70" s="1"/>
  <c r="G7" i="68"/>
  <c r="D5" i="70" s="1"/>
  <c r="E5" i="70" s="1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G27" i="63"/>
  <c r="CF27" i="63"/>
  <c r="CE27" i="63"/>
  <c r="CD27" i="63"/>
  <c r="CC27" i="63"/>
  <c r="CB27" i="63"/>
  <c r="CA27" i="63"/>
  <c r="BZ27" i="63"/>
  <c r="BY27" i="63"/>
  <c r="BX27" i="63"/>
  <c r="BW27" i="63"/>
  <c r="BV27" i="63"/>
  <c r="BU27" i="63"/>
  <c r="BT27" i="63"/>
  <c r="BS27" i="63"/>
  <c r="BR27" i="63"/>
  <c r="BQ27" i="63"/>
  <c r="BP27" i="63"/>
  <c r="BO27" i="63"/>
  <c r="BN27" i="63"/>
  <c r="BM27" i="63"/>
  <c r="BL27" i="63"/>
  <c r="BK27" i="63"/>
  <c r="BJ27" i="63"/>
  <c r="BI27" i="63"/>
  <c r="BH27" i="63"/>
  <c r="BG27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I27" i="63"/>
  <c r="AH27" i="63"/>
  <c r="AG27" i="63"/>
  <c r="AF27" i="63"/>
  <c r="AE27" i="63"/>
  <c r="AD27" i="63"/>
  <c r="AC27" i="63"/>
  <c r="AB27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G17" i="63"/>
  <c r="CF17" i="63"/>
  <c r="CE17" i="63"/>
  <c r="CD17" i="63"/>
  <c r="CC17" i="63"/>
  <c r="CB17" i="63"/>
  <c r="CA17" i="63"/>
  <c r="BZ17" i="63"/>
  <c r="BY17" i="63"/>
  <c r="BX17" i="63"/>
  <c r="BW17" i="63"/>
  <c r="BV17" i="63"/>
  <c r="BU17" i="63"/>
  <c r="BT17" i="63"/>
  <c r="BS17" i="63"/>
  <c r="BR17" i="63"/>
  <c r="BQ17" i="63"/>
  <c r="BP17" i="63"/>
  <c r="BO17" i="63"/>
  <c r="BN17" i="63"/>
  <c r="BM17" i="63"/>
  <c r="BL17" i="63"/>
  <c r="BK17" i="63"/>
  <c r="BJ17" i="63"/>
  <c r="BI17" i="63"/>
  <c r="BH17" i="63"/>
  <c r="BG17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I17" i="63"/>
  <c r="AH17" i="63"/>
  <c r="AG17" i="63"/>
  <c r="AF17" i="63"/>
  <c r="AE17" i="63"/>
  <c r="AD17" i="63"/>
  <c r="AC17" i="63"/>
  <c r="AB17" i="63"/>
  <c r="AA17" i="63"/>
  <c r="Z17" i="63"/>
  <c r="Y17" i="63"/>
  <c r="X17" i="63"/>
  <c r="W17" i="63"/>
  <c r="V17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E10" i="63"/>
  <c r="C10" i="63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G11" i="77" l="1"/>
  <c r="I11" i="77"/>
  <c r="K11" i="77"/>
  <c r="L11" i="77"/>
  <c r="J11" i="77"/>
  <c r="E10" i="77"/>
  <c r="D12" i="77"/>
  <c r="C12" i="77"/>
  <c r="E12" i="77" s="1"/>
  <c r="F12" i="77" s="1"/>
  <c r="G9" i="77"/>
  <c r="L9" i="77" s="1"/>
  <c r="F9" i="77"/>
  <c r="A11" i="84"/>
  <c r="AH11" i="84" s="1"/>
  <c r="AI11" i="84" s="1"/>
  <c r="AJ11" i="84" s="1"/>
  <c r="B13" i="77"/>
  <c r="Q11" i="73" a="1"/>
  <c r="Q11" i="73" s="1"/>
  <c r="H7" i="63"/>
  <c r="I7" i="63" s="1"/>
  <c r="G10" i="63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H10" i="63"/>
  <c r="S11" i="61"/>
  <c r="Q9" i="61"/>
  <c r="R7" i="61"/>
  <c r="D10" i="63"/>
  <c r="D23" i="62"/>
  <c r="E21" i="62" s="1"/>
  <c r="P6" i="61"/>
  <c r="X6" i="61" s="1"/>
  <c r="Q11" i="61"/>
  <c r="R9" i="61"/>
  <c r="S8" i="61"/>
  <c r="X8" i="61" s="1"/>
  <c r="F10" i="63"/>
  <c r="E4" i="64"/>
  <c r="I4" i="64" s="1"/>
  <c r="E5" i="64"/>
  <c r="F6" i="64"/>
  <c r="I6" i="64" s="1"/>
  <c r="S9" i="61"/>
  <c r="F5" i="64"/>
  <c r="K12" i="77" l="1"/>
  <c r="I12" i="77"/>
  <c r="L12" i="77"/>
  <c r="F10" i="77"/>
  <c r="Q12" i="73" a="1"/>
  <c r="Q12" i="73" s="1"/>
  <c r="A11" i="75"/>
  <c r="G12" i="77"/>
  <c r="J12" i="77" s="1"/>
  <c r="D13" i="77"/>
  <c r="C13" i="77"/>
  <c r="I9" i="77"/>
  <c r="K9" i="77"/>
  <c r="J9" i="77"/>
  <c r="Y8" i="6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I10" i="63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J10" i="77" l="1"/>
  <c r="E13" i="77"/>
  <c r="A12" i="84"/>
  <c r="AH12" i="84" s="1"/>
  <c r="AI12" i="84" s="1"/>
  <c r="AJ12" i="84" s="1"/>
  <c r="B14" i="77"/>
  <c r="Q13" i="73" a="1"/>
  <c r="Q13" i="73" s="1"/>
  <c r="A12" i="75"/>
  <c r="G10" i="77"/>
  <c r="L10" i="77" s="1"/>
  <c r="F8" i="62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J10" i="63"/>
  <c r="Z9" i="61"/>
  <c r="G9" i="61" s="1"/>
  <c r="F6" i="62"/>
  <c r="F7" i="62" s="1"/>
  <c r="Z8" i="61"/>
  <c r="G8" i="61" s="1"/>
  <c r="F13" i="77" l="1"/>
  <c r="G13" i="77" s="1"/>
  <c r="A13" i="84"/>
  <c r="AH13" i="84" s="1"/>
  <c r="AI13" i="84" s="1"/>
  <c r="AJ13" i="84" s="1"/>
  <c r="B15" i="77"/>
  <c r="K10" i="77"/>
  <c r="Q14" i="73" a="1"/>
  <c r="Q14" i="73" s="1"/>
  <c r="A13" i="75"/>
  <c r="I10" i="77"/>
  <c r="D14" i="77"/>
  <c r="C14" i="77"/>
  <c r="M6" i="61"/>
  <c r="K6" i="61"/>
  <c r="I6" i="61"/>
  <c r="E6" i="61"/>
  <c r="M9" i="61"/>
  <c r="I9" i="61"/>
  <c r="K9" i="61"/>
  <c r="K4" i="64"/>
  <c r="D38" i="65" s="1"/>
  <c r="C38" i="65" s="1"/>
  <c r="L7" i="63"/>
  <c r="K10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A14" i="84" l="1"/>
  <c r="AH14" i="84" s="1"/>
  <c r="AI14" i="84" s="1"/>
  <c r="AJ14" i="84" s="1"/>
  <c r="B16" i="77"/>
  <c r="C15" i="77"/>
  <c r="D15" i="77"/>
  <c r="Q15" i="73" a="1"/>
  <c r="Q15" i="73" s="1"/>
  <c r="A14" i="75"/>
  <c r="E14" i="77"/>
  <c r="K13" i="77"/>
  <c r="L13" i="77"/>
  <c r="J13" i="77"/>
  <c r="I13" i="77"/>
  <c r="M7" i="63"/>
  <c r="L10" i="63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A15" i="84" l="1"/>
  <c r="AH15" i="84" s="1"/>
  <c r="AI15" i="84" s="1"/>
  <c r="AJ15" i="84" s="1"/>
  <c r="B17" i="77"/>
  <c r="E15" i="77"/>
  <c r="F14" i="77"/>
  <c r="D16" i="77"/>
  <c r="C16" i="77"/>
  <c r="Q16" i="73" a="1"/>
  <c r="Q16" i="73" s="1"/>
  <c r="A15" i="75"/>
  <c r="L31" i="61"/>
  <c r="J31" i="61"/>
  <c r="I31" i="61"/>
  <c r="K31" i="61"/>
  <c r="N7" i="63"/>
  <c r="M10" i="63"/>
  <c r="A16" i="84" l="1"/>
  <c r="AH16" i="84" s="1"/>
  <c r="AI16" i="84" s="1"/>
  <c r="AJ16" i="84" s="1"/>
  <c r="B18" i="77"/>
  <c r="F15" i="77"/>
  <c r="G14" i="77"/>
  <c r="I14" i="77" s="1"/>
  <c r="D17" i="77"/>
  <c r="C17" i="77"/>
  <c r="E17" i="77" s="1"/>
  <c r="F17" i="77" s="1"/>
  <c r="Q17" i="73" a="1"/>
  <c r="Q17" i="73" s="1"/>
  <c r="A16" i="75"/>
  <c r="E16" i="77"/>
  <c r="O7" i="63"/>
  <c r="N10" i="63"/>
  <c r="G17" i="77" l="1"/>
  <c r="I17" i="77"/>
  <c r="J17" i="77"/>
  <c r="K17" i="77"/>
  <c r="L17" i="77"/>
  <c r="Q18" i="73" a="1"/>
  <c r="Q18" i="73" s="1"/>
  <c r="A17" i="75"/>
  <c r="L15" i="77"/>
  <c r="G15" i="77"/>
  <c r="J15" i="77" s="1"/>
  <c r="J14" i="77"/>
  <c r="F16" i="77"/>
  <c r="G16" i="77" s="1"/>
  <c r="A17" i="84"/>
  <c r="AH17" i="84" s="1"/>
  <c r="AI17" i="84" s="1"/>
  <c r="AJ17" i="84" s="1"/>
  <c r="B19" i="77"/>
  <c r="K14" i="77"/>
  <c r="L14" i="77"/>
  <c r="D18" i="77"/>
  <c r="C18" i="77"/>
  <c r="E18" i="77" s="1"/>
  <c r="F18" i="77" s="1"/>
  <c r="P7" i="63"/>
  <c r="O10" i="63"/>
  <c r="A18" i="84" l="1"/>
  <c r="AH18" i="84" s="1"/>
  <c r="AI18" i="84" s="1"/>
  <c r="AJ18" i="84" s="1"/>
  <c r="B20" i="77"/>
  <c r="K16" i="77"/>
  <c r="L16" i="77"/>
  <c r="I16" i="77"/>
  <c r="J16" i="77"/>
  <c r="Q19" i="73" a="1"/>
  <c r="Q19" i="73" s="1"/>
  <c r="A18" i="75"/>
  <c r="G18" i="77"/>
  <c r="J18" i="77" s="1"/>
  <c r="I15" i="77"/>
  <c r="C19" i="77"/>
  <c r="D19" i="77"/>
  <c r="K15" i="77"/>
  <c r="Q7" i="63"/>
  <c r="P10" i="63"/>
  <c r="C20" i="77" l="1"/>
  <c r="D20" i="77"/>
  <c r="Q20" i="73" a="1"/>
  <c r="Q20" i="73" s="1"/>
  <c r="A19" i="75"/>
  <c r="L18" i="77"/>
  <c r="A19" i="84"/>
  <c r="AH19" i="84" s="1"/>
  <c r="AI19" i="84" s="1"/>
  <c r="AJ19" i="84" s="1"/>
  <c r="B21" i="77"/>
  <c r="I18" i="77"/>
  <c r="K18" i="77"/>
  <c r="E19" i="77"/>
  <c r="Q10" i="63"/>
  <c r="R7" i="63"/>
  <c r="F19" i="77" l="1"/>
  <c r="A20" i="84"/>
  <c r="AH20" i="84" s="1"/>
  <c r="AI20" i="84" s="1"/>
  <c r="AJ20" i="84" s="1"/>
  <c r="B22" i="77"/>
  <c r="Q21" i="73" a="1"/>
  <c r="Q21" i="73" s="1"/>
  <c r="A20" i="75"/>
  <c r="C21" i="77"/>
  <c r="D21" i="77"/>
  <c r="E20" i="77"/>
  <c r="S7" i="63"/>
  <c r="R10" i="63"/>
  <c r="F20" i="77" l="1"/>
  <c r="A21" i="84"/>
  <c r="AH21" i="84" s="1"/>
  <c r="AI21" i="84" s="1"/>
  <c r="AJ21" i="84" s="1"/>
  <c r="B23" i="77"/>
  <c r="Q22" i="73" a="1"/>
  <c r="Q22" i="73" s="1"/>
  <c r="A21" i="75"/>
  <c r="D22" i="77"/>
  <c r="C22" i="77"/>
  <c r="L19" i="77"/>
  <c r="J19" i="77"/>
  <c r="E21" i="77"/>
  <c r="G19" i="77"/>
  <c r="K19" i="77" s="1"/>
  <c r="T7" i="63"/>
  <c r="S10" i="63"/>
  <c r="A22" i="84" l="1"/>
  <c r="AH22" i="84" s="1"/>
  <c r="AI22" i="84" s="1"/>
  <c r="AJ22" i="84" s="1"/>
  <c r="B24" i="77"/>
  <c r="Q23" i="73" a="1"/>
  <c r="Q23" i="73" s="1"/>
  <c r="A22" i="75"/>
  <c r="F21" i="77"/>
  <c r="I19" i="77"/>
  <c r="D23" i="77"/>
  <c r="C23" i="77"/>
  <c r="I20" i="77"/>
  <c r="L20" i="77"/>
  <c r="E22" i="77"/>
  <c r="G20" i="77"/>
  <c r="J20" i="77" s="1"/>
  <c r="U7" i="63"/>
  <c r="T10" i="63"/>
  <c r="F22" i="77" l="1"/>
  <c r="G22" i="77" s="1"/>
  <c r="K21" i="77"/>
  <c r="J21" i="77"/>
  <c r="L21" i="77"/>
  <c r="I21" i="77"/>
  <c r="K20" i="77"/>
  <c r="G21" i="77"/>
  <c r="A23" i="84"/>
  <c r="AH23" i="84" s="1"/>
  <c r="AI23" i="84" s="1"/>
  <c r="AJ23" i="84" s="1"/>
  <c r="B25" i="77"/>
  <c r="Q24" i="73" a="1"/>
  <c r="Q24" i="73" s="1"/>
  <c r="A23" i="75"/>
  <c r="E23" i="77"/>
  <c r="D24" i="77"/>
  <c r="C24" i="77"/>
  <c r="E24" i="77" s="1"/>
  <c r="F24" i="77"/>
  <c r="V7" i="63"/>
  <c r="U10" i="63"/>
  <c r="F23" i="77" l="1"/>
  <c r="G23" i="77" s="1"/>
  <c r="A24" i="84"/>
  <c r="AH24" i="84" s="1"/>
  <c r="AI24" i="84" s="1"/>
  <c r="AJ24" i="84" s="1"/>
  <c r="B26" i="77"/>
  <c r="Q25" i="73" a="1"/>
  <c r="Q25" i="73" s="1"/>
  <c r="A24" i="75"/>
  <c r="C25" i="77"/>
  <c r="D25" i="77"/>
  <c r="G24" i="77"/>
  <c r="K24" i="77" s="1"/>
  <c r="J22" i="77"/>
  <c r="I22" i="77"/>
  <c r="K22" i="77"/>
  <c r="L22" i="77"/>
  <c r="W7" i="63"/>
  <c r="V10" i="63"/>
  <c r="Q26" i="73" l="1" a="1"/>
  <c r="Q26" i="73" s="1"/>
  <c r="A25" i="75"/>
  <c r="L24" i="77"/>
  <c r="D26" i="77"/>
  <c r="C26" i="77"/>
  <c r="E26" i="77" s="1"/>
  <c r="F26" i="77" s="1"/>
  <c r="A25" i="84"/>
  <c r="AH25" i="84" s="1"/>
  <c r="AI25" i="84" s="1"/>
  <c r="AJ25" i="84" s="1"/>
  <c r="B27" i="77"/>
  <c r="K23" i="77"/>
  <c r="J23" i="77"/>
  <c r="I23" i="77"/>
  <c r="L23" i="77"/>
  <c r="I24" i="77"/>
  <c r="J24" i="77"/>
  <c r="E25" i="77"/>
  <c r="X7" i="63"/>
  <c r="W10" i="63"/>
  <c r="F25" i="77" l="1"/>
  <c r="D27" i="77"/>
  <c r="C27" i="77"/>
  <c r="G26" i="77"/>
  <c r="L26" i="77" s="1"/>
  <c r="A26" i="84"/>
  <c r="AH26" i="84" s="1"/>
  <c r="AI26" i="84" s="1"/>
  <c r="AJ26" i="84" s="1"/>
  <c r="B28" i="77"/>
  <c r="Q27" i="73" a="1"/>
  <c r="Q27" i="73" s="1"/>
  <c r="A27" i="75" s="1"/>
  <c r="A26" i="75"/>
  <c r="Y7" i="63"/>
  <c r="X10" i="63"/>
  <c r="C28" i="77" l="1"/>
  <c r="F28" i="77"/>
  <c r="D28" i="77"/>
  <c r="G25" i="77"/>
  <c r="S2" i="73" a="1"/>
  <c r="J26" i="77"/>
  <c r="A27" i="84"/>
  <c r="AH27" i="84" s="1"/>
  <c r="AI27" i="84" s="1"/>
  <c r="AJ27" i="84" s="1"/>
  <c r="B29" i="77"/>
  <c r="I26" i="77"/>
  <c r="A28" i="84"/>
  <c r="AH28" i="84" s="1"/>
  <c r="AI28" i="84" s="1"/>
  <c r="AJ28" i="84" s="1"/>
  <c r="B30" i="77"/>
  <c r="E27" i="77"/>
  <c r="K26" i="77"/>
  <c r="Y10" i="63"/>
  <c r="Z7" i="63"/>
  <c r="I25" i="77" l="1"/>
  <c r="J25" i="77"/>
  <c r="L25" i="77"/>
  <c r="K25" i="77"/>
  <c r="D29" i="77"/>
  <c r="F29" i="77"/>
  <c r="C29" i="77"/>
  <c r="E29" i="77" s="1"/>
  <c r="G29" i="77" s="1"/>
  <c r="G27" i="77"/>
  <c r="K27" i="77" s="1"/>
  <c r="F27" i="77"/>
  <c r="L28" i="77"/>
  <c r="J28" i="77"/>
  <c r="I28" i="77"/>
  <c r="K28" i="77"/>
  <c r="C30" i="77"/>
  <c r="E30" i="77" s="1"/>
  <c r="G30" i="77" s="1"/>
  <c r="F30" i="77"/>
  <c r="D30" i="77"/>
  <c r="A7" i="83"/>
  <c r="A16" i="83"/>
  <c r="A10" i="83"/>
  <c r="A15" i="83"/>
  <c r="A40" i="83"/>
  <c r="A13" i="83"/>
  <c r="A12" i="83"/>
  <c r="A38" i="83"/>
  <c r="A20" i="83"/>
  <c r="A17" i="83"/>
  <c r="A42" i="83"/>
  <c r="A2" i="83"/>
  <c r="A18" i="83"/>
  <c r="A23" i="83"/>
  <c r="A31" i="83"/>
  <c r="A36" i="83"/>
  <c r="A11" i="83"/>
  <c r="A14" i="83"/>
  <c r="AP2" i="73"/>
  <c r="AI2" i="73"/>
  <c r="AN2" i="73"/>
  <c r="W2" i="73"/>
  <c r="AJ2" i="73"/>
  <c r="AG2" i="73"/>
  <c r="S2" i="73"/>
  <c r="T2" i="73"/>
  <c r="U2" i="73"/>
  <c r="AF2" i="73"/>
  <c r="AE2" i="73"/>
  <c r="Z2" i="73"/>
  <c r="AA2" i="73"/>
  <c r="AM2" i="73"/>
  <c r="AL2" i="73"/>
  <c r="AK2" i="73"/>
  <c r="AH2" i="73"/>
  <c r="V2" i="73"/>
  <c r="AQ2" i="73"/>
  <c r="AO2" i="73"/>
  <c r="AR2" i="73"/>
  <c r="AC2" i="73"/>
  <c r="X2" i="73"/>
  <c r="AD2" i="73"/>
  <c r="AB2" i="73"/>
  <c r="Y2" i="73"/>
  <c r="E28" i="77"/>
  <c r="G28" i="77" s="1"/>
  <c r="AA7" i="63"/>
  <c r="Z10" i="63"/>
  <c r="Y8" i="73" l="1" a="1"/>
  <c r="Y8" i="73" s="1"/>
  <c r="Y13" i="73" a="1"/>
  <c r="Y13" i="73" s="1"/>
  <c r="Y3" i="73" a="1"/>
  <c r="Y3" i="73" s="1"/>
  <c r="Y17" i="73" a="1"/>
  <c r="Y17" i="73" s="1"/>
  <c r="Y12" i="73" a="1"/>
  <c r="Y12" i="73" s="1"/>
  <c r="Y16" i="73" a="1"/>
  <c r="Y16" i="73" s="1"/>
  <c r="Y19" i="73"/>
  <c r="Y9" i="73" a="1"/>
  <c r="Y9" i="73" s="1"/>
  <c r="Y11" i="73" a="1"/>
  <c r="Y11" i="73" s="1"/>
  <c r="Y6" i="73" a="1"/>
  <c r="Y6" i="73" s="1"/>
  <c r="Y15" i="73" a="1"/>
  <c r="Y15" i="73" s="1"/>
  <c r="Y18" i="73" a="1"/>
  <c r="Y18" i="73" s="1"/>
  <c r="Y7" i="73" a="1"/>
  <c r="Y7" i="73" s="1"/>
  <c r="Y5" i="73" a="1"/>
  <c r="Y5" i="73" s="1"/>
  <c r="Y37" i="73"/>
  <c r="Y14" i="73" a="1"/>
  <c r="Y14" i="73" s="1"/>
  <c r="Y4" i="73" a="1"/>
  <c r="Y4" i="73" s="1"/>
  <c r="Y10" i="73" a="1"/>
  <c r="Y10" i="73" s="1"/>
  <c r="V15" i="73" a="1"/>
  <c r="V15" i="73" s="1"/>
  <c r="V9" i="73" a="1"/>
  <c r="V9" i="73" s="1"/>
  <c r="V12" i="73" a="1"/>
  <c r="V12" i="73" s="1"/>
  <c r="V5" i="73" a="1"/>
  <c r="V5" i="73" s="1"/>
  <c r="V19" i="73"/>
  <c r="V3" i="73" a="1"/>
  <c r="V3" i="73" s="1"/>
  <c r="V11" i="73" a="1"/>
  <c r="V11" i="73" s="1"/>
  <c r="V4" i="73" a="1"/>
  <c r="V4" i="73" s="1"/>
  <c r="V10" i="73" a="1"/>
  <c r="V10" i="73" s="1"/>
  <c r="V8" i="73" a="1"/>
  <c r="V8" i="73" s="1"/>
  <c r="V37" i="73"/>
  <c r="V18" i="73" a="1"/>
  <c r="V18" i="73" s="1"/>
  <c r="V6" i="73" a="1"/>
  <c r="V6" i="73" s="1"/>
  <c r="V14" i="73" a="1"/>
  <c r="V14" i="73" s="1"/>
  <c r="M11" i="73" s="1"/>
  <c r="V17" i="73" a="1"/>
  <c r="V17" i="73" s="1"/>
  <c r="V7" i="73" a="1"/>
  <c r="V7" i="73" s="1"/>
  <c r="V13" i="73" a="1"/>
  <c r="V13" i="73" s="1"/>
  <c r="V16" i="73" a="1"/>
  <c r="V16" i="73" s="1"/>
  <c r="AF16" i="73" a="1"/>
  <c r="AF16" i="73" s="1"/>
  <c r="AF6" i="73" a="1"/>
  <c r="AF6" i="73" s="1"/>
  <c r="AF5" i="73" a="1"/>
  <c r="AF5" i="73" s="1"/>
  <c r="AF9" i="73" a="1"/>
  <c r="AF9" i="73" s="1"/>
  <c r="N43" i="73" s="1"/>
  <c r="AF15" i="73" a="1"/>
  <c r="AF15" i="73" s="1"/>
  <c r="AF7" i="73" a="1"/>
  <c r="AF7" i="73" s="1"/>
  <c r="AF14" i="73" a="1"/>
  <c r="AF14" i="73" s="1"/>
  <c r="AF8" i="73" a="1"/>
  <c r="AF8" i="73" s="1"/>
  <c r="AF12" i="73" a="1"/>
  <c r="AF12" i="73" s="1"/>
  <c r="AF18" i="73" a="1"/>
  <c r="AF18" i="73" s="1"/>
  <c r="AF17" i="73" a="1"/>
  <c r="AF17" i="73" s="1"/>
  <c r="AF19" i="73"/>
  <c r="AF11" i="73" a="1"/>
  <c r="AF11" i="73" s="1"/>
  <c r="AF4" i="73" a="1"/>
  <c r="AF4" i="73" s="1"/>
  <c r="AF10" i="73" a="1"/>
  <c r="AF10" i="73" s="1"/>
  <c r="AF3" i="73" a="1"/>
  <c r="AF3" i="73" s="1"/>
  <c r="AF13" i="73" a="1"/>
  <c r="AF13" i="73" s="1"/>
  <c r="AF37" i="73"/>
  <c r="AI8" i="73" a="1"/>
  <c r="AI8" i="73" s="1"/>
  <c r="AI14" i="73" a="1"/>
  <c r="AI14" i="73" s="1"/>
  <c r="M52" i="73" s="1"/>
  <c r="AI10" i="73" a="1"/>
  <c r="AI10" i="73" s="1"/>
  <c r="AI13" i="73" a="1"/>
  <c r="AI13" i="73" s="1"/>
  <c r="AI18" i="73" a="1"/>
  <c r="AI18" i="73" s="1"/>
  <c r="AI12" i="73" a="1"/>
  <c r="AI12" i="73" s="1"/>
  <c r="AI37" i="73"/>
  <c r="AI5" i="73" a="1"/>
  <c r="AI5" i="73" s="1"/>
  <c r="AI3" i="73" a="1"/>
  <c r="AI3" i="73" s="1"/>
  <c r="AI19" i="73"/>
  <c r="AI17" i="73" a="1"/>
  <c r="AI17" i="73" s="1"/>
  <c r="AI4" i="73" a="1"/>
  <c r="AI4" i="73" s="1"/>
  <c r="AI6" i="73" a="1"/>
  <c r="AI6" i="73" s="1"/>
  <c r="AI16" i="73" a="1"/>
  <c r="AI16" i="73" s="1"/>
  <c r="AI7" i="73" a="1"/>
  <c r="AI7" i="73" s="1"/>
  <c r="AI9" i="73" a="1"/>
  <c r="AI9" i="73" s="1"/>
  <c r="AI11" i="73" a="1"/>
  <c r="AI11" i="73" s="1"/>
  <c r="AI15" i="73" a="1"/>
  <c r="AI15" i="73" s="1"/>
  <c r="AB5" i="73" a="1"/>
  <c r="AB5" i="73" s="1"/>
  <c r="AB8" i="73" a="1"/>
  <c r="AB8" i="73" s="1"/>
  <c r="AB3" i="73" a="1"/>
  <c r="AB3" i="73" s="1"/>
  <c r="AB12" i="73" a="1"/>
  <c r="AB12" i="73" s="1"/>
  <c r="AB17" i="73" a="1"/>
  <c r="AB17" i="73" s="1"/>
  <c r="AB19" i="73"/>
  <c r="AB16" i="73" a="1"/>
  <c r="AB16" i="73" s="1"/>
  <c r="AB11" i="73" a="1"/>
  <c r="AB11" i="73" s="1"/>
  <c r="AB9" i="73" a="1"/>
  <c r="AB9" i="73" s="1"/>
  <c r="AB6" i="73" a="1"/>
  <c r="AB6" i="73" s="1"/>
  <c r="AB15" i="73" a="1"/>
  <c r="AB15" i="73" s="1"/>
  <c r="AB7" i="73" a="1"/>
  <c r="AB7" i="73" s="1"/>
  <c r="AB14" i="73" a="1"/>
  <c r="AB14" i="73" s="1"/>
  <c r="AB10" i="73" a="1"/>
  <c r="AB10" i="73" s="1"/>
  <c r="AB13" i="73" a="1"/>
  <c r="AB13" i="73" s="1"/>
  <c r="M30" i="73" s="1"/>
  <c r="AB37" i="73"/>
  <c r="AB18" i="73" a="1"/>
  <c r="AB18" i="73" s="1"/>
  <c r="AB4" i="73" a="1"/>
  <c r="AB4" i="73" s="1"/>
  <c r="AH16" i="73" a="1"/>
  <c r="AH16" i="73" s="1"/>
  <c r="AH7" i="73" a="1"/>
  <c r="AH7" i="73" s="1"/>
  <c r="AH15" i="73" a="1"/>
  <c r="AH15" i="73" s="1"/>
  <c r="AH9" i="73" a="1"/>
  <c r="AH9" i="73" s="1"/>
  <c r="AH11" i="73" a="1"/>
  <c r="AH11" i="73" s="1"/>
  <c r="M51" i="73" s="1"/>
  <c r="AH5" i="73" a="1"/>
  <c r="AH5" i="73" s="1"/>
  <c r="AH37" i="73"/>
  <c r="AH14" i="73" a="1"/>
  <c r="AH14" i="73" s="1"/>
  <c r="AH3" i="73" a="1"/>
  <c r="AH3" i="73" s="1"/>
  <c r="AH10" i="73" a="1"/>
  <c r="AH10" i="73" s="1"/>
  <c r="AH12" i="73" a="1"/>
  <c r="AH12" i="73" s="1"/>
  <c r="AH13" i="73" a="1"/>
  <c r="AH13" i="73" s="1"/>
  <c r="AH19" i="73"/>
  <c r="AH6" i="73" a="1"/>
  <c r="AH6" i="73" s="1"/>
  <c r="AH4" i="73" a="1"/>
  <c r="AH4" i="73" s="1"/>
  <c r="AH8" i="73" a="1"/>
  <c r="AH8" i="73" s="1"/>
  <c r="AH18" i="73" a="1"/>
  <c r="AH18" i="73" s="1"/>
  <c r="AH17" i="73" a="1"/>
  <c r="AH17" i="73" s="1"/>
  <c r="U18" i="73" a="1"/>
  <c r="U18" i="73" s="1"/>
  <c r="U15" i="73" a="1"/>
  <c r="U15" i="73" s="1"/>
  <c r="U37" i="73"/>
  <c r="U17" i="73" a="1"/>
  <c r="U17" i="73" s="1"/>
  <c r="U14" i="73" a="1"/>
  <c r="U14" i="73" s="1"/>
  <c r="U12" i="73" a="1"/>
  <c r="U12" i="73" s="1"/>
  <c r="U6" i="73" a="1"/>
  <c r="U6" i="73" s="1"/>
  <c r="U19" i="73"/>
  <c r="U8" i="73" a="1"/>
  <c r="U8" i="73" s="1"/>
  <c r="U11" i="73" a="1"/>
  <c r="U11" i="73" s="1"/>
  <c r="U10" i="73" a="1"/>
  <c r="U10" i="73" s="1"/>
  <c r="M8" i="73" s="1"/>
  <c r="U5" i="73" a="1"/>
  <c r="U5" i="73" s="1"/>
  <c r="U13" i="73" a="1"/>
  <c r="U13" i="73" s="1"/>
  <c r="U7" i="73" a="1"/>
  <c r="U7" i="73" s="1"/>
  <c r="U3" i="73" a="1"/>
  <c r="U3" i="73" s="1"/>
  <c r="U16" i="73" a="1"/>
  <c r="U16" i="73" s="1"/>
  <c r="U9" i="73" a="1"/>
  <c r="U9" i="73" s="1"/>
  <c r="U4" i="73" a="1"/>
  <c r="U4" i="73" s="1"/>
  <c r="AP9" i="73" a="1"/>
  <c r="AP9" i="73" s="1"/>
  <c r="AP8" i="73" a="1"/>
  <c r="AP8" i="73" s="1"/>
  <c r="AP17" i="73" a="1"/>
  <c r="AP17" i="73" s="1"/>
  <c r="AP14" i="73" a="1"/>
  <c r="AP14" i="73" s="1"/>
  <c r="AP16" i="73" a="1"/>
  <c r="AP16" i="73" s="1"/>
  <c r="AP13" i="73" a="1"/>
  <c r="AP13" i="73" s="1"/>
  <c r="AP4" i="73" a="1"/>
  <c r="AP4" i="73" s="1"/>
  <c r="AP12" i="73" a="1"/>
  <c r="AP12" i="73" s="1"/>
  <c r="AP5" i="73" a="1"/>
  <c r="AP5" i="73" s="1"/>
  <c r="N86" i="73" s="1"/>
  <c r="AP19" i="73"/>
  <c r="AP37" i="73"/>
  <c r="AP6" i="73" a="1"/>
  <c r="AP6" i="73" s="1"/>
  <c r="AP11" i="73" a="1"/>
  <c r="AP11" i="73" s="1"/>
  <c r="AP10" i="73" a="1"/>
  <c r="AP10" i="73" s="1"/>
  <c r="AP7" i="73" a="1"/>
  <c r="AP7" i="73" s="1"/>
  <c r="AP3" i="73" a="1"/>
  <c r="AP3" i="73" s="1"/>
  <c r="AP15" i="73" a="1"/>
  <c r="AP15" i="73" s="1"/>
  <c r="AP18" i="73" a="1"/>
  <c r="AP18" i="73" s="1"/>
  <c r="AD15" i="73" a="1"/>
  <c r="AD15" i="73" s="1"/>
  <c r="AD4" i="73" a="1"/>
  <c r="AD4" i="73" s="1"/>
  <c r="AD5" i="73" a="1"/>
  <c r="AD5" i="73" s="1"/>
  <c r="AD37" i="73"/>
  <c r="AD10" i="73" a="1"/>
  <c r="AD10" i="73" s="1"/>
  <c r="AD6" i="73" a="1"/>
  <c r="AD6" i="73" s="1"/>
  <c r="AD14" i="73" a="1"/>
  <c r="AD14" i="73" s="1"/>
  <c r="M37" i="73" s="1"/>
  <c r="AD18" i="73" a="1"/>
  <c r="AD18" i="73" s="1"/>
  <c r="AD13" i="73" a="1"/>
  <c r="AD13" i="73" s="1"/>
  <c r="AD17" i="73" a="1"/>
  <c r="AD17" i="73" s="1"/>
  <c r="AD16" i="73" a="1"/>
  <c r="AD16" i="73" s="1"/>
  <c r="AD8" i="73" a="1"/>
  <c r="AD8" i="73" s="1"/>
  <c r="AD12" i="73" a="1"/>
  <c r="AD12" i="73" s="1"/>
  <c r="AD9" i="73" a="1"/>
  <c r="AD9" i="73" s="1"/>
  <c r="AD19" i="73"/>
  <c r="AD11" i="73" a="1"/>
  <c r="AD11" i="73" s="1"/>
  <c r="AD7" i="73" a="1"/>
  <c r="AD7" i="73" s="1"/>
  <c r="AD3" i="73" a="1"/>
  <c r="AD3" i="73" s="1"/>
  <c r="AK7" i="73" a="1"/>
  <c r="AK7" i="73" s="1"/>
  <c r="AK17" i="73" a="1"/>
  <c r="AK17" i="73" s="1"/>
  <c r="AK16" i="73" a="1"/>
  <c r="AK16" i="73" s="1"/>
  <c r="AK12" i="73" a="1"/>
  <c r="AK12" i="73" s="1"/>
  <c r="AK9" i="73" a="1"/>
  <c r="AK9" i="73" s="1"/>
  <c r="N61" i="73" s="1"/>
  <c r="AK19" i="73"/>
  <c r="AK8" i="73" a="1"/>
  <c r="AK8" i="73" s="1"/>
  <c r="AK15" i="73" a="1"/>
  <c r="AK15" i="73" s="1"/>
  <c r="AK37" i="73"/>
  <c r="AK5" i="73" a="1"/>
  <c r="AK5" i="73" s="1"/>
  <c r="AK4" i="73" a="1"/>
  <c r="AK4" i="73" s="1"/>
  <c r="AK18" i="73" a="1"/>
  <c r="AK18" i="73" s="1"/>
  <c r="AK14" i="73" a="1"/>
  <c r="AK14" i="73" s="1"/>
  <c r="AK3" i="73" a="1"/>
  <c r="AK3" i="73" s="1"/>
  <c r="AK13" i="73" a="1"/>
  <c r="AK13" i="73" s="1"/>
  <c r="AK6" i="73" a="1"/>
  <c r="AK6" i="73" s="1"/>
  <c r="N62" i="73" s="1"/>
  <c r="AK11" i="73" a="1"/>
  <c r="AK11" i="73" s="1"/>
  <c r="AK10" i="73" a="1"/>
  <c r="AK10" i="73" s="1"/>
  <c r="T18" i="73" a="1"/>
  <c r="T18" i="73" s="1"/>
  <c r="T15" i="73" a="1"/>
  <c r="T15" i="73" s="1"/>
  <c r="T17" i="73" a="1"/>
  <c r="T17" i="73" s="1"/>
  <c r="T14" i="73" a="1"/>
  <c r="T14" i="73" s="1"/>
  <c r="T37" i="73"/>
  <c r="T6" i="73" a="1"/>
  <c r="T6" i="73" s="1"/>
  <c r="T4" i="73" a="1"/>
  <c r="T4" i="73" s="1"/>
  <c r="T19" i="73"/>
  <c r="T8" i="73" a="1"/>
  <c r="T8" i="73" s="1"/>
  <c r="T11" i="73" a="1"/>
  <c r="T11" i="73" s="1"/>
  <c r="T3" i="73" a="1"/>
  <c r="T3" i="73" s="1"/>
  <c r="N6" i="73" s="1"/>
  <c r="T10" i="73" a="1"/>
  <c r="T10" i="73" s="1"/>
  <c r="T5" i="73" a="1"/>
  <c r="T5" i="73" s="1"/>
  <c r="T13" i="73" a="1"/>
  <c r="T13" i="73" s="1"/>
  <c r="T7" i="73" a="1"/>
  <c r="T7" i="73" s="1"/>
  <c r="T9" i="73" a="1"/>
  <c r="T9" i="73" s="1"/>
  <c r="T16" i="73" a="1"/>
  <c r="T16" i="73" s="1"/>
  <c r="T12" i="73" a="1"/>
  <c r="T12" i="73" s="1"/>
  <c r="X14" i="73" a="1"/>
  <c r="X14" i="73" s="1"/>
  <c r="X10" i="73" a="1"/>
  <c r="X10" i="73" s="1"/>
  <c r="X13" i="73" a="1"/>
  <c r="X13" i="73" s="1"/>
  <c r="X18" i="73" a="1"/>
  <c r="X18" i="73" s="1"/>
  <c r="X8" i="73" a="1"/>
  <c r="X8" i="73" s="1"/>
  <c r="X12" i="73" a="1"/>
  <c r="X12" i="73" s="1"/>
  <c r="X37" i="73"/>
  <c r="X19" i="73"/>
  <c r="X4" i="73" a="1"/>
  <c r="X4" i="73" s="1"/>
  <c r="X11" i="73" a="1"/>
  <c r="X11" i="73" s="1"/>
  <c r="X16" i="73" a="1"/>
  <c r="X16" i="73" s="1"/>
  <c r="X3" i="73" a="1"/>
  <c r="X3" i="73" s="1"/>
  <c r="N21" i="73" s="1"/>
  <c r="X9" i="73" a="1"/>
  <c r="X9" i="73" s="1"/>
  <c r="X5" i="73" a="1"/>
  <c r="X5" i="73" s="1"/>
  <c r="X7" i="73" a="1"/>
  <c r="X7" i="73" s="1"/>
  <c r="X15" i="73" a="1"/>
  <c r="X15" i="73" s="1"/>
  <c r="X17" i="73" a="1"/>
  <c r="X17" i="73" s="1"/>
  <c r="X6" i="73" a="1"/>
  <c r="X6" i="73" s="1"/>
  <c r="AL14" i="73" a="1"/>
  <c r="AL14" i="73" s="1"/>
  <c r="AL17" i="73" a="1"/>
  <c r="AL17" i="73" s="1"/>
  <c r="AL5" i="73" a="1"/>
  <c r="AL5" i="73" s="1"/>
  <c r="AL13" i="73" a="1"/>
  <c r="AL13" i="73" s="1"/>
  <c r="AL9" i="73" a="1"/>
  <c r="AL9" i="73" s="1"/>
  <c r="AL16" i="73" a="1"/>
  <c r="AL16" i="73" s="1"/>
  <c r="AL12" i="73" a="1"/>
  <c r="AL12" i="73" s="1"/>
  <c r="M67" i="73" s="1"/>
  <c r="AL15" i="73" a="1"/>
  <c r="AL15" i="73" s="1"/>
  <c r="AL3" i="73" a="1"/>
  <c r="AL3" i="73" s="1"/>
  <c r="AL11" i="73" a="1"/>
  <c r="AL11" i="73" s="1"/>
  <c r="AL6" i="73" a="1"/>
  <c r="AL6" i="73" s="1"/>
  <c r="AL7" i="73" a="1"/>
  <c r="AL7" i="73" s="1"/>
  <c r="AL4" i="73" a="1"/>
  <c r="AL4" i="73" s="1"/>
  <c r="AL37" i="73"/>
  <c r="AL19" i="73"/>
  <c r="AL10" i="73" a="1"/>
  <c r="AL10" i="73" s="1"/>
  <c r="AL18" i="73" a="1"/>
  <c r="AL18" i="73" s="1"/>
  <c r="AL8" i="73" a="1"/>
  <c r="AL8" i="73" s="1"/>
  <c r="N68" i="73" s="1"/>
  <c r="M43" i="73"/>
  <c r="N14" i="73"/>
  <c r="N22" i="73"/>
  <c r="M12" i="73"/>
  <c r="M44" i="73"/>
  <c r="N23" i="73"/>
  <c r="M9" i="73"/>
  <c r="N12" i="73"/>
  <c r="M13" i="73"/>
  <c r="M53" i="73"/>
  <c r="N24" i="73"/>
  <c r="N40" i="73"/>
  <c r="M14" i="73"/>
  <c r="M22" i="73"/>
  <c r="M86" i="73"/>
  <c r="N9" i="73"/>
  <c r="M23" i="73"/>
  <c r="N10" i="73"/>
  <c r="M24" i="73"/>
  <c r="N11" i="73"/>
  <c r="N35" i="73"/>
  <c r="N13" i="73"/>
  <c r="N36" i="73"/>
  <c r="M10" i="73"/>
  <c r="M50" i="73"/>
  <c r="S19" i="73"/>
  <c r="S18" i="73" a="1"/>
  <c r="S18" i="73" s="1"/>
  <c r="S7" i="73" a="1"/>
  <c r="S7" i="73" s="1"/>
  <c r="S11" i="73" a="1"/>
  <c r="S11" i="73" s="1"/>
  <c r="S8" i="73" a="1"/>
  <c r="S8" i="73" s="1"/>
  <c r="S3" i="73" a="1"/>
  <c r="S3" i="73" s="1"/>
  <c r="N2" i="73" s="1"/>
  <c r="S13" i="73" a="1"/>
  <c r="S13" i="73" s="1"/>
  <c r="S9" i="73" a="1"/>
  <c r="S9" i="73" s="1"/>
  <c r="S37" i="73"/>
  <c r="S6" i="73" a="1"/>
  <c r="S6" i="73" s="1"/>
  <c r="S5" i="73" a="1"/>
  <c r="S5" i="73" s="1"/>
  <c r="S10" i="73" a="1"/>
  <c r="S10" i="73" s="1"/>
  <c r="N4" i="73" s="1"/>
  <c r="S14" i="73" a="1"/>
  <c r="S14" i="73" s="1"/>
  <c r="O118" i="73"/>
  <c r="S15" i="73" a="1"/>
  <c r="S15" i="73" s="1"/>
  <c r="S4" i="73" a="1"/>
  <c r="S4" i="73" s="1"/>
  <c r="S16" i="73" a="1"/>
  <c r="S16" i="73" s="1"/>
  <c r="S17" i="73" a="1"/>
  <c r="S17" i="73" s="1"/>
  <c r="S12" i="73" a="1"/>
  <c r="S12" i="73" s="1"/>
  <c r="O45" i="73"/>
  <c r="AC10" i="73" a="1"/>
  <c r="AC10" i="73" s="1"/>
  <c r="AC9" i="73" a="1"/>
  <c r="AC9" i="73" s="1"/>
  <c r="AC37" i="73"/>
  <c r="AC18" i="73" a="1"/>
  <c r="AC18" i="73" s="1"/>
  <c r="AC15" i="73" a="1"/>
  <c r="AC15" i="73" s="1"/>
  <c r="AC13" i="73" a="1"/>
  <c r="AC13" i="73" s="1"/>
  <c r="N33" i="73" s="1"/>
  <c r="AC8" i="73" a="1"/>
  <c r="AC8" i="73" s="1"/>
  <c r="AC5" i="73" a="1"/>
  <c r="AC5" i="73" s="1"/>
  <c r="AC12" i="73" a="1"/>
  <c r="AC12" i="73" s="1"/>
  <c r="AC17" i="73" a="1"/>
  <c r="AC17" i="73" s="1"/>
  <c r="AC19" i="73"/>
  <c r="AC3" i="73" a="1"/>
  <c r="AC3" i="73" s="1"/>
  <c r="AC11" i="73" a="1"/>
  <c r="AC11" i="73" s="1"/>
  <c r="AC14" i="73" a="1"/>
  <c r="AC14" i="73" s="1"/>
  <c r="AC6" i="73" a="1"/>
  <c r="AC6" i="73" s="1"/>
  <c r="AC16" i="73" a="1"/>
  <c r="AC16" i="73" s="1"/>
  <c r="AC7" i="73" a="1"/>
  <c r="AC7" i="73" s="1"/>
  <c r="AC4" i="73" a="1"/>
  <c r="AC4" i="73" s="1"/>
  <c r="AM5" i="73" a="1"/>
  <c r="AM5" i="73" s="1"/>
  <c r="AM6" i="73" a="1"/>
  <c r="AM6" i="73" s="1"/>
  <c r="M74" i="73" s="1"/>
  <c r="AM18" i="73" a="1"/>
  <c r="AM18" i="73" s="1"/>
  <c r="AM37" i="73"/>
  <c r="AM10" i="73" a="1"/>
  <c r="AM10" i="73" s="1"/>
  <c r="AM3" i="73" a="1"/>
  <c r="AM3" i="73" s="1"/>
  <c r="M75" i="73" s="1"/>
  <c r="AM7" i="73" a="1"/>
  <c r="AM7" i="73" s="1"/>
  <c r="AM15" i="73" a="1"/>
  <c r="AM15" i="73" s="1"/>
  <c r="AM14" i="73" a="1"/>
  <c r="AM14" i="73" s="1"/>
  <c r="AM17" i="73" a="1"/>
  <c r="AM17" i="73" s="1"/>
  <c r="AM12" i="73" a="1"/>
  <c r="AM12" i="73" s="1"/>
  <c r="AM9" i="73" a="1"/>
  <c r="AM9" i="73" s="1"/>
  <c r="AM13" i="73" a="1"/>
  <c r="AM13" i="73" s="1"/>
  <c r="AM19" i="73"/>
  <c r="AM11" i="73" a="1"/>
  <c r="AM11" i="73" s="1"/>
  <c r="AM16" i="73" a="1"/>
  <c r="AM16" i="73" s="1"/>
  <c r="AM4" i="73" a="1"/>
  <c r="AM4" i="73" s="1"/>
  <c r="AM8" i="73" a="1"/>
  <c r="AM8" i="73" s="1"/>
  <c r="AG17" i="73" a="1"/>
  <c r="AG17" i="73" s="1"/>
  <c r="AG19" i="73"/>
  <c r="AG3" i="73" a="1"/>
  <c r="AG3" i="73" s="1"/>
  <c r="M46" i="73" s="1"/>
  <c r="AG16" i="73" a="1"/>
  <c r="AG16" i="73" s="1"/>
  <c r="AG6" i="73" a="1"/>
  <c r="AG6" i="73" s="1"/>
  <c r="AG9" i="73" a="1"/>
  <c r="AG9" i="73" s="1"/>
  <c r="AG7" i="73" a="1"/>
  <c r="AG7" i="73" s="1"/>
  <c r="AG15" i="73" a="1"/>
  <c r="AG15" i="73" s="1"/>
  <c r="AG11" i="73" a="1"/>
  <c r="AG11" i="73" s="1"/>
  <c r="AG14" i="73" a="1"/>
  <c r="AG14" i="73" s="1"/>
  <c r="AG8" i="73" a="1"/>
  <c r="AG8" i="73" s="1"/>
  <c r="AG13" i="73" a="1"/>
  <c r="AG13" i="73" s="1"/>
  <c r="AG10" i="73" a="1"/>
  <c r="AG10" i="73" s="1"/>
  <c r="AG12" i="73" a="1"/>
  <c r="AG12" i="73" s="1"/>
  <c r="AG5" i="73" a="1"/>
  <c r="AG5" i="73" s="1"/>
  <c r="AG37" i="73"/>
  <c r="AG18" i="73" a="1"/>
  <c r="AG18" i="73" s="1"/>
  <c r="AG4" i="73" a="1"/>
  <c r="AG4" i="73" s="1"/>
  <c r="O48" i="73" s="1"/>
  <c r="L27" i="77"/>
  <c r="I27" i="77"/>
  <c r="J27" i="77"/>
  <c r="AR12" i="73" a="1"/>
  <c r="AR12" i="73" s="1"/>
  <c r="AR14" i="73" a="1"/>
  <c r="AR14" i="73" s="1"/>
  <c r="AR10" i="73" a="1"/>
  <c r="AR10" i="73" s="1"/>
  <c r="AR13" i="73" a="1"/>
  <c r="AR13" i="73" s="1"/>
  <c r="AR9" i="73" a="1"/>
  <c r="AR9" i="73" s="1"/>
  <c r="AR4" i="73" a="1"/>
  <c r="AR4" i="73" s="1"/>
  <c r="AR3" i="73" a="1"/>
  <c r="AR3" i="73" s="1"/>
  <c r="N109" i="73" s="1"/>
  <c r="AR6" i="73" a="1"/>
  <c r="AR6" i="73" s="1"/>
  <c r="AR37" i="73"/>
  <c r="AR7" i="73" a="1"/>
  <c r="AR7" i="73" s="1"/>
  <c r="AR18" i="73" a="1"/>
  <c r="AR18" i="73" s="1"/>
  <c r="AR19" i="73"/>
  <c r="AR11" i="73" a="1"/>
  <c r="AR11" i="73" s="1"/>
  <c r="N118" i="73" s="1"/>
  <c r="AR17" i="73" a="1"/>
  <c r="AR17" i="73" s="1"/>
  <c r="AR5" i="73" a="1"/>
  <c r="AR5" i="73" s="1"/>
  <c r="AR8" i="73" a="1"/>
  <c r="AR8" i="73" s="1"/>
  <c r="AR15" i="73" a="1"/>
  <c r="AR15" i="73" s="1"/>
  <c r="AR16" i="73" a="1"/>
  <c r="AR16" i="73" s="1"/>
  <c r="AA10" i="73" a="1"/>
  <c r="AA10" i="73" s="1"/>
  <c r="AA13" i="73" a="1"/>
  <c r="AA13" i="73" s="1"/>
  <c r="AA18" i="73" a="1"/>
  <c r="AA18" i="73" s="1"/>
  <c r="AA12" i="73" a="1"/>
  <c r="AA12" i="73" s="1"/>
  <c r="AA8" i="73" a="1"/>
  <c r="AA8" i="73" s="1"/>
  <c r="AA3" i="73" a="1"/>
  <c r="AA3" i="73" s="1"/>
  <c r="M27" i="73" s="1"/>
  <c r="AA37" i="73"/>
  <c r="AA17" i="73" a="1"/>
  <c r="AA17" i="73" s="1"/>
  <c r="AA5" i="73" a="1"/>
  <c r="AA5" i="73" s="1"/>
  <c r="AA19" i="73"/>
  <c r="AA16" i="73" a="1"/>
  <c r="AA16" i="73" s="1"/>
  <c r="AA4" i="73" a="1"/>
  <c r="AA4" i="73" s="1"/>
  <c r="AA11" i="73" a="1"/>
  <c r="AA11" i="73" s="1"/>
  <c r="AA9" i="73" a="1"/>
  <c r="AA9" i="73" s="1"/>
  <c r="AA6" i="73" a="1"/>
  <c r="AA6" i="73" s="1"/>
  <c r="AA15" i="73" a="1"/>
  <c r="AA15" i="73" s="1"/>
  <c r="AA14" i="73" a="1"/>
  <c r="AA14" i="73" s="1"/>
  <c r="AA7" i="73" a="1"/>
  <c r="AA7" i="73" s="1"/>
  <c r="M29" i="73" s="1"/>
  <c r="AJ16" i="73" a="1"/>
  <c r="AJ16" i="73" s="1"/>
  <c r="AJ9" i="73" a="1"/>
  <c r="AJ9" i="73" s="1"/>
  <c r="AJ37" i="73"/>
  <c r="AJ15" i="73" a="1"/>
  <c r="AJ15" i="73" s="1"/>
  <c r="AJ3" i="73" a="1"/>
  <c r="AJ3" i="73" s="1"/>
  <c r="AJ12" i="73" a="1"/>
  <c r="AJ12" i="73" s="1"/>
  <c r="AJ14" i="73" a="1"/>
  <c r="AJ14" i="73" s="1"/>
  <c r="AJ6" i="73" a="1"/>
  <c r="AJ6" i="73" s="1"/>
  <c r="AJ19" i="73"/>
  <c r="AJ13" i="73" a="1"/>
  <c r="AJ13" i="73" s="1"/>
  <c r="AJ11" i="73" a="1"/>
  <c r="AJ11" i="73" s="1"/>
  <c r="AJ4" i="73" a="1"/>
  <c r="AJ4" i="73" s="1"/>
  <c r="N59" i="73" s="1"/>
  <c r="AJ10" i="73" a="1"/>
  <c r="AJ10" i="73" s="1"/>
  <c r="AJ5" i="73" a="1"/>
  <c r="AJ5" i="73" s="1"/>
  <c r="N55" i="73" s="1"/>
  <c r="AJ18" i="73" a="1"/>
  <c r="AJ18" i="73" s="1"/>
  <c r="AJ7" i="73" a="1"/>
  <c r="AJ7" i="73" s="1"/>
  <c r="AJ17" i="73" a="1"/>
  <c r="AJ17" i="73" s="1"/>
  <c r="AJ8" i="73" a="1"/>
  <c r="AJ8" i="73" s="1"/>
  <c r="AO17" i="73" a="1"/>
  <c r="AO17" i="73" s="1"/>
  <c r="AO19" i="73"/>
  <c r="AO8" i="73" a="1"/>
  <c r="AO8" i="73" s="1"/>
  <c r="AO16" i="73" a="1"/>
  <c r="AO16" i="73" s="1"/>
  <c r="AO11" i="73" a="1"/>
  <c r="AO11" i="73" s="1"/>
  <c r="AO4" i="73" a="1"/>
  <c r="AO4" i="73" s="1"/>
  <c r="M80" i="73" s="1"/>
  <c r="AO10" i="73" a="1"/>
  <c r="AO10" i="73" s="1"/>
  <c r="AO15" i="73" a="1"/>
  <c r="AO15" i="73" s="1"/>
  <c r="AO18" i="73" a="1"/>
  <c r="AO18" i="73" s="1"/>
  <c r="AO14" i="73" a="1"/>
  <c r="AO14" i="73" s="1"/>
  <c r="AO7" i="73" a="1"/>
  <c r="AO7" i="73" s="1"/>
  <c r="AO37" i="73"/>
  <c r="AO3" i="73" a="1"/>
  <c r="AO3" i="73" s="1"/>
  <c r="N85" i="73" s="1"/>
  <c r="AO13" i="73" a="1"/>
  <c r="AO13" i="73" s="1"/>
  <c r="AO12" i="73" a="1"/>
  <c r="AO12" i="73" s="1"/>
  <c r="AO5" i="73" a="1"/>
  <c r="AO5" i="73" s="1"/>
  <c r="AO6" i="73" a="1"/>
  <c r="AO6" i="73" s="1"/>
  <c r="AO9" i="73" a="1"/>
  <c r="AO9" i="73" s="1"/>
  <c r="Z8" i="73" a="1"/>
  <c r="Z8" i="73" s="1"/>
  <c r="Z12" i="73" a="1"/>
  <c r="Z12" i="73" s="1"/>
  <c r="Z19" i="73"/>
  <c r="Z5" i="73" a="1"/>
  <c r="Z5" i="73" s="1"/>
  <c r="Z17" i="73" a="1"/>
  <c r="Z17" i="73" s="1"/>
  <c r="Z16" i="73" a="1"/>
  <c r="Z16" i="73" s="1"/>
  <c r="Z37" i="73"/>
  <c r="Z9" i="73" a="1"/>
  <c r="Z9" i="73" s="1"/>
  <c r="Z11" i="73" a="1"/>
  <c r="Z11" i="73" s="1"/>
  <c r="Z7" i="73" a="1"/>
  <c r="Z7" i="73" s="1"/>
  <c r="Z3" i="73" a="1"/>
  <c r="Z3" i="73" s="1"/>
  <c r="M25" i="73" s="1"/>
  <c r="Z6" i="73" a="1"/>
  <c r="Z6" i="73" s="1"/>
  <c r="Z10" i="73" a="1"/>
  <c r="Z10" i="73" s="1"/>
  <c r="Z18" i="73" a="1"/>
  <c r="Z18" i="73" s="1"/>
  <c r="Z15" i="73" a="1"/>
  <c r="Z15" i="73" s="1"/>
  <c r="Z13" i="73" a="1"/>
  <c r="Z13" i="73" s="1"/>
  <c r="Z14" i="73" a="1"/>
  <c r="Z14" i="73" s="1"/>
  <c r="Z4" i="73" a="1"/>
  <c r="Z4" i="73" s="1"/>
  <c r="W19" i="73"/>
  <c r="W7" i="73" a="1"/>
  <c r="W7" i="73" s="1"/>
  <c r="W9" i="73" a="1"/>
  <c r="W9" i="73" s="1"/>
  <c r="W37" i="73"/>
  <c r="W11" i="73" a="1"/>
  <c r="W11" i="73" s="1"/>
  <c r="W5" i="73" a="1"/>
  <c r="W5" i="73" s="1"/>
  <c r="W10" i="73" a="1"/>
  <c r="W10" i="73" s="1"/>
  <c r="W6" i="73" a="1"/>
  <c r="W6" i="73" s="1"/>
  <c r="W15" i="73" a="1"/>
  <c r="W15" i="73" s="1"/>
  <c r="W18" i="73" a="1"/>
  <c r="W18" i="73" s="1"/>
  <c r="W13" i="73" a="1"/>
  <c r="W13" i="73" s="1"/>
  <c r="W8" i="73" a="1"/>
  <c r="W8" i="73" s="1"/>
  <c r="W3" i="73" a="1"/>
  <c r="W3" i="73" s="1"/>
  <c r="N15" i="73" s="1"/>
  <c r="W12" i="73" a="1"/>
  <c r="W12" i="73" s="1"/>
  <c r="W16" i="73" a="1"/>
  <c r="W16" i="73" s="1"/>
  <c r="W17" i="73" a="1"/>
  <c r="W17" i="73" s="1"/>
  <c r="W4" i="73" a="1"/>
  <c r="W4" i="73" s="1"/>
  <c r="W14" i="73" a="1"/>
  <c r="W14" i="73" s="1"/>
  <c r="I30" i="77"/>
  <c r="J30" i="77"/>
  <c r="K30" i="77"/>
  <c r="L30" i="77"/>
  <c r="AQ18" i="73" a="1"/>
  <c r="AQ18" i="73" s="1"/>
  <c r="AQ15" i="73" a="1"/>
  <c r="AQ15" i="73" s="1"/>
  <c r="AQ11" i="73" a="1"/>
  <c r="AQ11" i="73" s="1"/>
  <c r="AQ5" i="73" a="1"/>
  <c r="AQ5" i="73" s="1"/>
  <c r="M87" i="73" s="1"/>
  <c r="AQ14" i="73" a="1"/>
  <c r="AQ14" i="73" s="1"/>
  <c r="AQ6" i="73" a="1"/>
  <c r="AQ6" i="73" s="1"/>
  <c r="AQ37" i="73"/>
  <c r="AQ7" i="73" a="1"/>
  <c r="AQ7" i="73" s="1"/>
  <c r="AQ10" i="73" a="1"/>
  <c r="AQ10" i="73" s="1"/>
  <c r="AQ19" i="73"/>
  <c r="AQ8" i="73" a="1"/>
  <c r="AQ8" i="73" s="1"/>
  <c r="AQ13" i="73" a="1"/>
  <c r="AQ13" i="73" s="1"/>
  <c r="AQ3" i="73" a="1"/>
  <c r="AQ3" i="73" s="1"/>
  <c r="N92" i="73" s="1"/>
  <c r="AQ16" i="73" a="1"/>
  <c r="AQ16" i="73" s="1"/>
  <c r="AQ4" i="73" a="1"/>
  <c r="AQ4" i="73" s="1"/>
  <c r="AQ9" i="73" a="1"/>
  <c r="AQ9" i="73" s="1"/>
  <c r="AQ12" i="73" a="1"/>
  <c r="AQ12" i="73" s="1"/>
  <c r="AQ17" i="73" a="1"/>
  <c r="AQ17" i="73" s="1"/>
  <c r="AE5" i="73" a="1"/>
  <c r="AE5" i="73" s="1"/>
  <c r="AE8" i="73" a="1"/>
  <c r="AE8" i="73" s="1"/>
  <c r="AE14" i="73" a="1"/>
  <c r="AE14" i="73" s="1"/>
  <c r="AE10" i="73" a="1"/>
  <c r="AE10" i="73" s="1"/>
  <c r="AE13" i="73" a="1"/>
  <c r="AE13" i="73" s="1"/>
  <c r="AE18" i="73" a="1"/>
  <c r="AE18" i="73" s="1"/>
  <c r="AE12" i="73" a="1"/>
  <c r="AE12" i="73" s="1"/>
  <c r="AE17" i="73" a="1"/>
  <c r="AE17" i="73" s="1"/>
  <c r="AE37" i="73"/>
  <c r="AE6" i="73" a="1"/>
  <c r="AE6" i="73" s="1"/>
  <c r="AE4" i="73" a="1"/>
  <c r="AE4" i="73" s="1"/>
  <c r="AE15" i="73" a="1"/>
  <c r="AE15" i="73" s="1"/>
  <c r="AE19" i="73"/>
  <c r="AE7" i="73" a="1"/>
  <c r="AE7" i="73" s="1"/>
  <c r="AE11" i="73" a="1"/>
  <c r="AE11" i="73" s="1"/>
  <c r="AE16" i="73" a="1"/>
  <c r="AE16" i="73" s="1"/>
  <c r="AE3" i="73" a="1"/>
  <c r="AE3" i="73" s="1"/>
  <c r="N41" i="73" s="1"/>
  <c r="AE9" i="73" a="1"/>
  <c r="AE9" i="73" s="1"/>
  <c r="AN15" i="73" a="1"/>
  <c r="AN15" i="73" s="1"/>
  <c r="AN19" i="73"/>
  <c r="AN6" i="73" a="1"/>
  <c r="AN6" i="73" s="1"/>
  <c r="AN11" i="73" a="1"/>
  <c r="AN11" i="73" s="1"/>
  <c r="AN7" i="73" a="1"/>
  <c r="AN7" i="73" s="1"/>
  <c r="AN10" i="73" a="1"/>
  <c r="AN10" i="73" s="1"/>
  <c r="AN14" i="73" a="1"/>
  <c r="AN14" i="73" s="1"/>
  <c r="AN18" i="73" a="1"/>
  <c r="AN18" i="73" s="1"/>
  <c r="AN8" i="73" a="1"/>
  <c r="AN8" i="73" s="1"/>
  <c r="AN5" i="73" a="1"/>
  <c r="AN5" i="73" s="1"/>
  <c r="AN37" i="73"/>
  <c r="AN13" i="73" a="1"/>
  <c r="AN13" i="73" s="1"/>
  <c r="AN4" i="73" a="1"/>
  <c r="AN4" i="73" s="1"/>
  <c r="AN9" i="73" a="1"/>
  <c r="AN9" i="73" s="1"/>
  <c r="AN17" i="73" a="1"/>
  <c r="AN17" i="73" s="1"/>
  <c r="AN16" i="73" a="1"/>
  <c r="AN16" i="73" s="1"/>
  <c r="AN12" i="73" a="1"/>
  <c r="AN12" i="73" s="1"/>
  <c r="AN3" i="73" a="1"/>
  <c r="AN3" i="73" s="1"/>
  <c r="N78" i="73" s="1"/>
  <c r="J29" i="77"/>
  <c r="K29" i="77"/>
  <c r="L29" i="77"/>
  <c r="I29" i="77"/>
  <c r="AB7" i="63"/>
  <c r="AA10" i="63"/>
  <c r="AC38" i="73" l="1"/>
  <c r="AC34" i="73"/>
  <c r="O33" i="73"/>
  <c r="O34" i="73"/>
  <c r="AC31" i="73"/>
  <c r="AC20" i="73"/>
  <c r="AC23" i="73"/>
  <c r="AC21" i="73"/>
  <c r="AC26" i="73"/>
  <c r="AC29" i="73"/>
  <c r="AC28" i="73"/>
  <c r="O32" i="73"/>
  <c r="AC25" i="73"/>
  <c r="AC27" i="73"/>
  <c r="AC35" i="73"/>
  <c r="AC24" i="73"/>
  <c r="AC32" i="73"/>
  <c r="AC30" i="73"/>
  <c r="AC22" i="73"/>
  <c r="AC33" i="73"/>
  <c r="M98" i="73"/>
  <c r="M34" i="73"/>
  <c r="N117" i="73"/>
  <c r="M73" i="73"/>
  <c r="N83" i="73"/>
  <c r="N19" i="73"/>
  <c r="M64" i="73"/>
  <c r="N77" i="73"/>
  <c r="M81" i="73"/>
  <c r="N82" i="73"/>
  <c r="N18" i="73"/>
  <c r="M71" i="73"/>
  <c r="M7" i="73"/>
  <c r="N81" i="73"/>
  <c r="N17" i="73"/>
  <c r="M70" i="73"/>
  <c r="M6" i="73"/>
  <c r="N88" i="73"/>
  <c r="M77" i="73"/>
  <c r="N103" i="73"/>
  <c r="N39" i="73"/>
  <c r="M92" i="73"/>
  <c r="M28" i="73"/>
  <c r="N102" i="73"/>
  <c r="N38" i="73"/>
  <c r="M91" i="73"/>
  <c r="AJ33" i="73"/>
  <c r="AJ25" i="73"/>
  <c r="AJ34" i="73"/>
  <c r="AJ27" i="73"/>
  <c r="AJ29" i="73"/>
  <c r="O55" i="73"/>
  <c r="AJ24" i="73"/>
  <c r="AJ38" i="73"/>
  <c r="O57" i="73"/>
  <c r="O58" i="73"/>
  <c r="AJ32" i="73"/>
  <c r="AJ30" i="73"/>
  <c r="O54" i="73"/>
  <c r="AJ28" i="73"/>
  <c r="AJ20" i="73"/>
  <c r="L57" i="73" s="1"/>
  <c r="AJ26" i="73"/>
  <c r="AJ35" i="73"/>
  <c r="O60" i="73"/>
  <c r="O59" i="73"/>
  <c r="AJ21" i="73"/>
  <c r="L58" i="73" s="1"/>
  <c r="AJ23" i="73"/>
  <c r="O56" i="73"/>
  <c r="AJ31" i="73"/>
  <c r="AJ22" i="73"/>
  <c r="L32" i="73"/>
  <c r="L33" i="73"/>
  <c r="L59" i="73"/>
  <c r="L34" i="73"/>
  <c r="L54" i="73"/>
  <c r="L60" i="73"/>
  <c r="M90" i="73"/>
  <c r="M26" i="73"/>
  <c r="M57" i="73"/>
  <c r="N75" i="73"/>
  <c r="M56" i="73"/>
  <c r="N45" i="73"/>
  <c r="M65" i="73"/>
  <c r="N74" i="73"/>
  <c r="M63" i="73"/>
  <c r="N5" i="73"/>
  <c r="N73" i="73"/>
  <c r="M62" i="73"/>
  <c r="N93" i="73"/>
  <c r="N80" i="73"/>
  <c r="N16" i="73"/>
  <c r="M69" i="73"/>
  <c r="M5" i="73"/>
  <c r="N95" i="73"/>
  <c r="N31" i="73"/>
  <c r="M84" i="73"/>
  <c r="M20" i="73"/>
  <c r="N94" i="73"/>
  <c r="N30" i="73"/>
  <c r="M83" i="73"/>
  <c r="M19" i="73"/>
  <c r="O29" i="73"/>
  <c r="AA27" i="73"/>
  <c r="AA23" i="73"/>
  <c r="AA35" i="73"/>
  <c r="AA30" i="73"/>
  <c r="AA21" i="73"/>
  <c r="AA26" i="73"/>
  <c r="O27" i="73"/>
  <c r="AA20" i="73"/>
  <c r="L27" i="73" s="1"/>
  <c r="AA34" i="73"/>
  <c r="AA28" i="73"/>
  <c r="AA32" i="73"/>
  <c r="O28" i="73"/>
  <c r="AA33" i="73"/>
  <c r="AA31" i="73"/>
  <c r="AA22" i="73"/>
  <c r="AA24" i="73"/>
  <c r="AA29" i="73"/>
  <c r="AA25" i="73"/>
  <c r="AA38" i="73"/>
  <c r="O106" i="73"/>
  <c r="N101" i="73"/>
  <c r="M82" i="73"/>
  <c r="M18" i="73"/>
  <c r="N116" i="73"/>
  <c r="M41" i="73"/>
  <c r="N67" i="73"/>
  <c r="M112" i="73"/>
  <c r="M48" i="73"/>
  <c r="N108" i="73"/>
  <c r="M49" i="73"/>
  <c r="N66" i="73"/>
  <c r="M55" i="73"/>
  <c r="N60" i="73"/>
  <c r="N65" i="73"/>
  <c r="M118" i="73"/>
  <c r="M54" i="73"/>
  <c r="N72" i="73"/>
  <c r="N8" i="73"/>
  <c r="M61" i="73"/>
  <c r="N87" i="73"/>
  <c r="M76" i="73"/>
  <c r="U35" i="73"/>
  <c r="U25" i="73"/>
  <c r="U34" i="73"/>
  <c r="U33" i="73"/>
  <c r="U20" i="73"/>
  <c r="L8" i="73" s="1"/>
  <c r="U31" i="73"/>
  <c r="U30" i="73"/>
  <c r="U24" i="73"/>
  <c r="U32" i="73"/>
  <c r="U26" i="73"/>
  <c r="U22" i="73"/>
  <c r="U29" i="73"/>
  <c r="U21" i="73"/>
  <c r="U27" i="73"/>
  <c r="O7" i="73"/>
  <c r="O8" i="73"/>
  <c r="U38" i="73"/>
  <c r="U28" i="73"/>
  <c r="U23" i="73"/>
  <c r="O50" i="73"/>
  <c r="AH26" i="73"/>
  <c r="AH22" i="73"/>
  <c r="AH31" i="73"/>
  <c r="AH35" i="73"/>
  <c r="AH28" i="73"/>
  <c r="AH24" i="73"/>
  <c r="AH32" i="73"/>
  <c r="AH33" i="73"/>
  <c r="O49" i="73"/>
  <c r="AH27" i="73"/>
  <c r="AH23" i="73"/>
  <c r="AH38" i="73"/>
  <c r="AH30" i="73"/>
  <c r="O51" i="73"/>
  <c r="AH21" i="73"/>
  <c r="AH20" i="73"/>
  <c r="L49" i="73" s="1"/>
  <c r="AH29" i="73"/>
  <c r="AH34" i="73"/>
  <c r="AH25" i="73"/>
  <c r="AB25" i="73"/>
  <c r="AB27" i="73"/>
  <c r="AB21" i="73"/>
  <c r="AB23" i="73"/>
  <c r="AB38" i="73"/>
  <c r="AB33" i="73"/>
  <c r="O30" i="73"/>
  <c r="AB32" i="73"/>
  <c r="AB28" i="73"/>
  <c r="AB29" i="73"/>
  <c r="AB31" i="73"/>
  <c r="O31" i="73"/>
  <c r="AB20" i="73"/>
  <c r="L30" i="73" s="1"/>
  <c r="AB34" i="73"/>
  <c r="AB26" i="73"/>
  <c r="AB35" i="73"/>
  <c r="AB24" i="73"/>
  <c r="AB22" i="73"/>
  <c r="AB30" i="73"/>
  <c r="AF38" i="73"/>
  <c r="AF26" i="73"/>
  <c r="AF29" i="73"/>
  <c r="AF27" i="73"/>
  <c r="AF20" i="73"/>
  <c r="L43" i="73" s="1"/>
  <c r="O43" i="73"/>
  <c r="AF34" i="73"/>
  <c r="AF32" i="73"/>
  <c r="AF25" i="73"/>
  <c r="AF35" i="73"/>
  <c r="AF31" i="73"/>
  <c r="AF33" i="73"/>
  <c r="AF22" i="73"/>
  <c r="AF24" i="73"/>
  <c r="AF30" i="73"/>
  <c r="AF21" i="73"/>
  <c r="O44" i="73"/>
  <c r="AF28" i="73"/>
  <c r="AF23" i="73"/>
  <c r="O116" i="73"/>
  <c r="O103" i="73"/>
  <c r="AR34" i="73"/>
  <c r="O107" i="73"/>
  <c r="O108" i="73"/>
  <c r="O114" i="73"/>
  <c r="O112" i="73"/>
  <c r="O115" i="73"/>
  <c r="AR38" i="73"/>
  <c r="AR28" i="73"/>
  <c r="O110" i="73"/>
  <c r="AR21" i="73"/>
  <c r="AR35" i="73"/>
  <c r="AR22" i="73"/>
  <c r="AR30" i="73"/>
  <c r="AR33" i="73"/>
  <c r="AR32" i="73"/>
  <c r="O104" i="73"/>
  <c r="O109" i="73"/>
  <c r="O105" i="73"/>
  <c r="AR23" i="73"/>
  <c r="O117" i="73"/>
  <c r="O111" i="73"/>
  <c r="AR29" i="73"/>
  <c r="AR24" i="73"/>
  <c r="AR31" i="73"/>
  <c r="AR25" i="73"/>
  <c r="AR20" i="73"/>
  <c r="L106" i="73" s="1"/>
  <c r="O113" i="73"/>
  <c r="AR26" i="73"/>
  <c r="AR27" i="73"/>
  <c r="N69" i="73"/>
  <c r="M104" i="73"/>
  <c r="M40" i="73"/>
  <c r="N84" i="73"/>
  <c r="M17" i="73"/>
  <c r="N58" i="73"/>
  <c r="M111" i="73"/>
  <c r="M47" i="73"/>
  <c r="M105" i="73"/>
  <c r="N57" i="73"/>
  <c r="M110" i="73"/>
  <c r="N76" i="73"/>
  <c r="N64" i="73"/>
  <c r="M117" i="73"/>
  <c r="N37" i="73"/>
  <c r="N79" i="73"/>
  <c r="M68" i="73"/>
  <c r="M4" i="73"/>
  <c r="O21" i="73"/>
  <c r="X20" i="73"/>
  <c r="L21" i="73" s="1"/>
  <c r="X24" i="73"/>
  <c r="X32" i="73"/>
  <c r="X25" i="73"/>
  <c r="X28" i="73"/>
  <c r="X30" i="73"/>
  <c r="X27" i="73"/>
  <c r="O20" i="73"/>
  <c r="X35" i="73"/>
  <c r="X38" i="73"/>
  <c r="X29" i="73"/>
  <c r="X26" i="73"/>
  <c r="X34" i="73"/>
  <c r="X21" i="73"/>
  <c r="X23" i="73"/>
  <c r="X33" i="73"/>
  <c r="X22" i="73"/>
  <c r="X31" i="73"/>
  <c r="O39" i="73"/>
  <c r="O36" i="73"/>
  <c r="AD32" i="73"/>
  <c r="AD22" i="73"/>
  <c r="O40" i="73"/>
  <c r="AD23" i="73"/>
  <c r="AD31" i="73"/>
  <c r="AD29" i="73"/>
  <c r="AD33" i="73"/>
  <c r="O37" i="73"/>
  <c r="AD20" i="73"/>
  <c r="L40" i="73" s="1"/>
  <c r="AD27" i="73"/>
  <c r="AD24" i="73"/>
  <c r="O38" i="73"/>
  <c r="AD21" i="73"/>
  <c r="AD38" i="73"/>
  <c r="AD35" i="73"/>
  <c r="AD26" i="73"/>
  <c r="AD30" i="73"/>
  <c r="AD34" i="73"/>
  <c r="O35" i="73"/>
  <c r="AD25" i="73"/>
  <c r="AD28" i="73"/>
  <c r="Y32" i="73"/>
  <c r="Y38" i="73"/>
  <c r="O23" i="73"/>
  <c r="Y25" i="73"/>
  <c r="Y23" i="73"/>
  <c r="Y30" i="73"/>
  <c r="Y24" i="73"/>
  <c r="Y35" i="73"/>
  <c r="Y22" i="73"/>
  <c r="Y28" i="73"/>
  <c r="Y20" i="73"/>
  <c r="L24" i="73" s="1"/>
  <c r="Y33" i="73"/>
  <c r="Y31" i="73"/>
  <c r="Y26" i="73"/>
  <c r="Y27" i="73"/>
  <c r="Y29" i="73"/>
  <c r="O24" i="73"/>
  <c r="Y21" i="73"/>
  <c r="Y34" i="73"/>
  <c r="AN27" i="73"/>
  <c r="AN32" i="73"/>
  <c r="AN34" i="73"/>
  <c r="AN24" i="73"/>
  <c r="AN35" i="73"/>
  <c r="AN21" i="73"/>
  <c r="O78" i="73"/>
  <c r="AN20" i="73"/>
  <c r="L77" i="73" s="1"/>
  <c r="AN33" i="73"/>
  <c r="AN25" i="73"/>
  <c r="AN22" i="73"/>
  <c r="AN29" i="73"/>
  <c r="AN23" i="73"/>
  <c r="AN31" i="73"/>
  <c r="AN26" i="73"/>
  <c r="AN30" i="73"/>
  <c r="O76" i="73"/>
  <c r="O77" i="73"/>
  <c r="AN38" i="73"/>
  <c r="AN28" i="73"/>
  <c r="W38" i="73"/>
  <c r="W24" i="73"/>
  <c r="O18" i="73"/>
  <c r="O19" i="73"/>
  <c r="W27" i="73"/>
  <c r="W20" i="73"/>
  <c r="L15" i="73" s="1"/>
  <c r="W26" i="73"/>
  <c r="W32" i="73"/>
  <c r="O16" i="73"/>
  <c r="W30" i="73"/>
  <c r="W22" i="73"/>
  <c r="W28" i="73"/>
  <c r="W35" i="73"/>
  <c r="W25" i="73"/>
  <c r="W21" i="73"/>
  <c r="W29" i="73"/>
  <c r="O17" i="73"/>
  <c r="W34" i="73"/>
  <c r="W33" i="73"/>
  <c r="W23" i="73"/>
  <c r="W31" i="73"/>
  <c r="O89" i="73"/>
  <c r="AQ35" i="73"/>
  <c r="AQ27" i="73"/>
  <c r="O100" i="73"/>
  <c r="O95" i="73"/>
  <c r="AQ32" i="73"/>
  <c r="AQ20" i="73"/>
  <c r="L88" i="73" s="1"/>
  <c r="O99" i="73"/>
  <c r="O93" i="73"/>
  <c r="O90" i="73"/>
  <c r="AQ38" i="73"/>
  <c r="AQ26" i="73"/>
  <c r="O101" i="73"/>
  <c r="AQ34" i="73"/>
  <c r="AQ28" i="73"/>
  <c r="O87" i="73"/>
  <c r="O88" i="73"/>
  <c r="AQ30" i="73"/>
  <c r="AQ31" i="73"/>
  <c r="O96" i="73"/>
  <c r="O97" i="73"/>
  <c r="AQ25" i="73"/>
  <c r="AQ29" i="73"/>
  <c r="O98" i="73"/>
  <c r="O91" i="73"/>
  <c r="O102" i="73"/>
  <c r="O94" i="73"/>
  <c r="AQ24" i="73"/>
  <c r="AQ33" i="73"/>
  <c r="AQ21" i="73"/>
  <c r="AQ23" i="73"/>
  <c r="AQ22" i="73"/>
  <c r="O92" i="73"/>
  <c r="O70" i="73"/>
  <c r="AM33" i="73"/>
  <c r="AM28" i="73"/>
  <c r="O74" i="73"/>
  <c r="O75" i="73"/>
  <c r="AM22" i="73"/>
  <c r="AM32" i="73"/>
  <c r="AM24" i="73"/>
  <c r="AM25" i="73"/>
  <c r="O72" i="73"/>
  <c r="AM29" i="73"/>
  <c r="AM30" i="73"/>
  <c r="O73" i="73"/>
  <c r="AM20" i="73"/>
  <c r="L74" i="73" s="1"/>
  <c r="AM38" i="73"/>
  <c r="AM35" i="73"/>
  <c r="AM26" i="73"/>
  <c r="O71" i="73"/>
  <c r="AM23" i="73"/>
  <c r="AM34" i="73"/>
  <c r="AM21" i="73"/>
  <c r="AM31" i="73"/>
  <c r="AM27" i="73"/>
  <c r="S24" i="73"/>
  <c r="S23" i="73"/>
  <c r="S21" i="73"/>
  <c r="S31" i="73"/>
  <c r="S30" i="73"/>
  <c r="S27" i="73"/>
  <c r="S38" i="73"/>
  <c r="S22" i="73"/>
  <c r="S20" i="73"/>
  <c r="L3" i="73" s="1"/>
  <c r="O4" i="73"/>
  <c r="S28" i="73"/>
  <c r="S35" i="73"/>
  <c r="S29" i="73"/>
  <c r="S32" i="73"/>
  <c r="S34" i="73"/>
  <c r="S26" i="73"/>
  <c r="S33" i="73"/>
  <c r="S25" i="73"/>
  <c r="M66" i="73"/>
  <c r="M2" i="73"/>
  <c r="N44" i="73"/>
  <c r="N115" i="73"/>
  <c r="N51" i="73"/>
  <c r="M96" i="73"/>
  <c r="M32" i="73"/>
  <c r="N52" i="73"/>
  <c r="N114" i="73"/>
  <c r="N50" i="73"/>
  <c r="M103" i="73"/>
  <c r="M39" i="73"/>
  <c r="N113" i="73"/>
  <c r="N49" i="73"/>
  <c r="M102" i="73"/>
  <c r="M38" i="73"/>
  <c r="O2" i="73"/>
  <c r="N56" i="73"/>
  <c r="M109" i="73"/>
  <c r="M45" i="73"/>
  <c r="N100" i="73"/>
  <c r="N71" i="73"/>
  <c r="N7" i="73"/>
  <c r="M60" i="73"/>
  <c r="M114" i="73"/>
  <c r="N70" i="73"/>
  <c r="M59" i="73"/>
  <c r="O68" i="73"/>
  <c r="AL29" i="73"/>
  <c r="AL25" i="73"/>
  <c r="AL22" i="73"/>
  <c r="AL28" i="73"/>
  <c r="AL23" i="73"/>
  <c r="AL20" i="73"/>
  <c r="L68" i="73" s="1"/>
  <c r="AL32" i="73"/>
  <c r="O64" i="73"/>
  <c r="O69" i="73"/>
  <c r="AL27" i="73"/>
  <c r="AL30" i="73"/>
  <c r="AL35" i="73"/>
  <c r="AL38" i="73"/>
  <c r="AL31" i="73"/>
  <c r="O66" i="73"/>
  <c r="AL24" i="73"/>
  <c r="AL21" i="73"/>
  <c r="O67" i="73"/>
  <c r="O65" i="73"/>
  <c r="AL26" i="73"/>
  <c r="AL34" i="73"/>
  <c r="AL33" i="73"/>
  <c r="O46" i="73"/>
  <c r="AG35" i="73"/>
  <c r="AG30" i="73"/>
  <c r="AG34" i="73"/>
  <c r="AG25" i="73"/>
  <c r="AG26" i="73"/>
  <c r="AG33" i="73"/>
  <c r="AG29" i="73"/>
  <c r="AG24" i="73"/>
  <c r="O47" i="73"/>
  <c r="AG31" i="73"/>
  <c r="AG23" i="73"/>
  <c r="AG27" i="73"/>
  <c r="AG22" i="73"/>
  <c r="AG38" i="73"/>
  <c r="AG21" i="73"/>
  <c r="AG32" i="73"/>
  <c r="AG20" i="73"/>
  <c r="L47" i="73" s="1"/>
  <c r="AG28" i="73"/>
  <c r="O15" i="73"/>
  <c r="N53" i="73"/>
  <c r="M58" i="73"/>
  <c r="N20" i="73"/>
  <c r="N107" i="73"/>
  <c r="M88" i="73"/>
  <c r="N28" i="73"/>
  <c r="N106" i="73"/>
  <c r="N42" i="73"/>
  <c r="M95" i="73"/>
  <c r="M31" i="73"/>
  <c r="N105" i="73"/>
  <c r="M94" i="73"/>
  <c r="N112" i="73"/>
  <c r="N48" i="73"/>
  <c r="M101" i="73"/>
  <c r="N63" i="73"/>
  <c r="M116" i="73"/>
  <c r="M115" i="73"/>
  <c r="AK20" i="73"/>
  <c r="L62" i="73" s="1"/>
  <c r="AK30" i="73"/>
  <c r="AK32" i="73"/>
  <c r="AK31" i="73"/>
  <c r="O62" i="73"/>
  <c r="O63" i="73"/>
  <c r="AK23" i="73"/>
  <c r="AK21" i="73"/>
  <c r="AK33" i="73"/>
  <c r="AK38" i="73"/>
  <c r="AK29" i="73"/>
  <c r="AK25" i="73"/>
  <c r="AK28" i="73"/>
  <c r="AK34" i="73"/>
  <c r="AK35" i="73"/>
  <c r="AK26" i="73"/>
  <c r="AK27" i="73"/>
  <c r="AK24" i="73"/>
  <c r="AK22" i="73"/>
  <c r="O61" i="73"/>
  <c r="N99" i="73"/>
  <c r="N34" i="73"/>
  <c r="N97" i="73"/>
  <c r="N104" i="73"/>
  <c r="M93" i="73"/>
  <c r="M108" i="73"/>
  <c r="N54" i="73"/>
  <c r="M107" i="73"/>
  <c r="T20" i="73"/>
  <c r="L5" i="73" s="1"/>
  <c r="T22" i="73"/>
  <c r="T29" i="73"/>
  <c r="O6" i="73"/>
  <c r="O5" i="73"/>
  <c r="T23" i="73"/>
  <c r="T28" i="73"/>
  <c r="T25" i="73"/>
  <c r="T30" i="73"/>
  <c r="T35" i="73"/>
  <c r="T33" i="73"/>
  <c r="T21" i="73"/>
  <c r="T38" i="73"/>
  <c r="T31" i="73"/>
  <c r="T27" i="73"/>
  <c r="T32" i="73"/>
  <c r="T34" i="73"/>
  <c r="T24" i="73"/>
  <c r="T26" i="73"/>
  <c r="O14" i="73"/>
  <c r="V26" i="73"/>
  <c r="V27" i="73"/>
  <c r="V32" i="73"/>
  <c r="V22" i="73"/>
  <c r="V34" i="73"/>
  <c r="O11" i="73"/>
  <c r="O12" i="73"/>
  <c r="V21" i="73"/>
  <c r="V30" i="73"/>
  <c r="V33" i="73"/>
  <c r="V23" i="73"/>
  <c r="V25" i="73"/>
  <c r="V28" i="73"/>
  <c r="O9" i="73"/>
  <c r="O13" i="73"/>
  <c r="O10" i="73"/>
  <c r="V20" i="73"/>
  <c r="L9" i="73" s="1"/>
  <c r="V35" i="73"/>
  <c r="V38" i="73"/>
  <c r="V31" i="73"/>
  <c r="V29" i="73"/>
  <c r="V24" i="73"/>
  <c r="AE27" i="73"/>
  <c r="AE35" i="73"/>
  <c r="AE31" i="73"/>
  <c r="AE33" i="73"/>
  <c r="AE30" i="73"/>
  <c r="AE21" i="73"/>
  <c r="AE20" i="73"/>
  <c r="L41" i="73" s="1"/>
  <c r="O42" i="73"/>
  <c r="O41" i="73"/>
  <c r="AE29" i="73"/>
  <c r="AE22" i="73"/>
  <c r="AE38" i="73"/>
  <c r="AE24" i="73"/>
  <c r="AE32" i="73"/>
  <c r="AE23" i="73"/>
  <c r="AE25" i="73"/>
  <c r="AE26" i="73"/>
  <c r="AE28" i="73"/>
  <c r="AE34" i="73"/>
  <c r="N29" i="73"/>
  <c r="M113" i="73"/>
  <c r="M16" i="73"/>
  <c r="N98" i="73"/>
  <c r="Z35" i="73"/>
  <c r="Z38" i="73"/>
  <c r="Z27" i="73"/>
  <c r="Z34" i="73"/>
  <c r="O26" i="73"/>
  <c r="Z29" i="73"/>
  <c r="Z31" i="73"/>
  <c r="Z21" i="73"/>
  <c r="Z33" i="73"/>
  <c r="Z28" i="73"/>
  <c r="Z20" i="73"/>
  <c r="L26" i="73" s="1"/>
  <c r="Z25" i="73"/>
  <c r="O25" i="73"/>
  <c r="Z23" i="73"/>
  <c r="Z22" i="73"/>
  <c r="Z32" i="73"/>
  <c r="Z26" i="73"/>
  <c r="Z24" i="73"/>
  <c r="Z30" i="73"/>
  <c r="O81" i="73"/>
  <c r="AO27" i="73"/>
  <c r="AO23" i="73"/>
  <c r="O85" i="73"/>
  <c r="AO21" i="73"/>
  <c r="AO28" i="73"/>
  <c r="AO22" i="73"/>
  <c r="AO38" i="73"/>
  <c r="AO31" i="73"/>
  <c r="O80" i="73"/>
  <c r="AO34" i="73"/>
  <c r="AO20" i="73"/>
  <c r="L80" i="73" s="1"/>
  <c r="AO33" i="73"/>
  <c r="O84" i="73"/>
  <c r="O79" i="73"/>
  <c r="AO25" i="73"/>
  <c r="AO32" i="73"/>
  <c r="O83" i="73"/>
  <c r="AO26" i="73"/>
  <c r="AO35" i="73"/>
  <c r="AO24" i="73"/>
  <c r="O82" i="73"/>
  <c r="AO30" i="73"/>
  <c r="AO29" i="73"/>
  <c r="M106" i="73"/>
  <c r="M42" i="73"/>
  <c r="M33" i="73"/>
  <c r="M89" i="73"/>
  <c r="N91" i="73"/>
  <c r="N27" i="73"/>
  <c r="M72" i="73"/>
  <c r="M97" i="73"/>
  <c r="N90" i="73"/>
  <c r="N26" i="73"/>
  <c r="M79" i="73"/>
  <c r="M15" i="73"/>
  <c r="N89" i="73"/>
  <c r="N25" i="73"/>
  <c r="M78" i="73"/>
  <c r="N96" i="73"/>
  <c r="N32" i="73"/>
  <c r="M85" i="73"/>
  <c r="M21" i="73"/>
  <c r="N111" i="73"/>
  <c r="N47" i="73"/>
  <c r="M100" i="73"/>
  <c r="M36" i="73"/>
  <c r="N110" i="73"/>
  <c r="N46" i="73"/>
  <c r="M99" i="73"/>
  <c r="M35" i="73"/>
  <c r="AP25" i="73"/>
  <c r="AP20" i="73"/>
  <c r="L86" i="73" s="1"/>
  <c r="AP26" i="73"/>
  <c r="AP28" i="73"/>
  <c r="AP35" i="73"/>
  <c r="AP33" i="73"/>
  <c r="AP23" i="73"/>
  <c r="AP29" i="73"/>
  <c r="AP30" i="73"/>
  <c r="AP31" i="73"/>
  <c r="O86" i="73"/>
  <c r="I86" i="73" s="1"/>
  <c r="J86" i="73" s="1"/>
  <c r="B25" i="75" s="1"/>
  <c r="D25" i="75" s="1"/>
  <c r="H28" i="77" s="1"/>
  <c r="R28" i="77" s="1"/>
  <c r="A43" i="83" s="1"/>
  <c r="AP21" i="73"/>
  <c r="AP38" i="73"/>
  <c r="AP24" i="73"/>
  <c r="AP34" i="73"/>
  <c r="AP27" i="73"/>
  <c r="AP32" i="73"/>
  <c r="AP22" i="73"/>
  <c r="AI26" i="73"/>
  <c r="AI29" i="73"/>
  <c r="AI33" i="73"/>
  <c r="AI35" i="73"/>
  <c r="AI31" i="73"/>
  <c r="AI38" i="73"/>
  <c r="AI21" i="73"/>
  <c r="O53" i="73"/>
  <c r="AI27" i="73"/>
  <c r="AI22" i="73"/>
  <c r="AI34" i="73"/>
  <c r="AI23" i="73"/>
  <c r="AI30" i="73"/>
  <c r="AI24" i="73"/>
  <c r="AI20" i="73"/>
  <c r="L53" i="73" s="1"/>
  <c r="AI32" i="73"/>
  <c r="AI25" i="73"/>
  <c r="O52" i="73"/>
  <c r="AI28" i="73"/>
  <c r="O22" i="73"/>
  <c r="AC7" i="63"/>
  <c r="AB10" i="63"/>
  <c r="I46" i="73" l="1"/>
  <c r="J46" i="73" s="1"/>
  <c r="B16" i="75" s="1"/>
  <c r="D16" i="75" s="1"/>
  <c r="H19" i="77" s="1"/>
  <c r="R19" i="77" s="1"/>
  <c r="A29" i="83" s="1"/>
  <c r="I50" i="73"/>
  <c r="J50" i="73" s="1"/>
  <c r="L45" i="73"/>
  <c r="I45" i="73" s="1"/>
  <c r="J45" i="73" s="1"/>
  <c r="L13" i="73"/>
  <c r="L50" i="73"/>
  <c r="L84" i="73"/>
  <c r="L52" i="73"/>
  <c r="L20" i="73"/>
  <c r="L92" i="73"/>
  <c r="L14" i="73"/>
  <c r="I14" i="73" s="1"/>
  <c r="J14" i="73" s="1"/>
  <c r="L46" i="73"/>
  <c r="L93" i="73"/>
  <c r="L48" i="73"/>
  <c r="I48" i="73" s="1"/>
  <c r="J48" i="73" s="1"/>
  <c r="L81" i="73"/>
  <c r="L112" i="73"/>
  <c r="I112" i="73" s="1"/>
  <c r="J112" i="73" s="1"/>
  <c r="I26" i="73"/>
  <c r="J26" i="73" s="1"/>
  <c r="I44" i="73"/>
  <c r="J44" i="73" s="1"/>
  <c r="I106" i="73"/>
  <c r="J106" i="73" s="1"/>
  <c r="L61" i="73"/>
  <c r="L102" i="73"/>
  <c r="L31" i="73"/>
  <c r="I31" i="73" s="1"/>
  <c r="J31" i="73" s="1"/>
  <c r="L70" i="73"/>
  <c r="L101" i="73"/>
  <c r="I101" i="73" s="1"/>
  <c r="J101" i="73" s="1"/>
  <c r="L7" i="73"/>
  <c r="L94" i="73"/>
  <c r="L63" i="73"/>
  <c r="L10" i="73"/>
  <c r="L79" i="73"/>
  <c r="L16" i="73"/>
  <c r="L73" i="73"/>
  <c r="I73" i="73" s="1"/>
  <c r="J73" i="73" s="1"/>
  <c r="L108" i="73"/>
  <c r="I32" i="73"/>
  <c r="J32" i="73" s="1"/>
  <c r="B12" i="75" s="1"/>
  <c r="D12" i="75" s="1"/>
  <c r="H15" i="77" s="1"/>
  <c r="R15" i="77" s="1"/>
  <c r="A25" i="83" s="1"/>
  <c r="I34" i="73"/>
  <c r="J34" i="73" s="1"/>
  <c r="I80" i="73"/>
  <c r="J80" i="73" s="1"/>
  <c r="I22" i="73"/>
  <c r="J22" i="73" s="1"/>
  <c r="I81" i="73"/>
  <c r="J81" i="73" s="1"/>
  <c r="I5" i="73"/>
  <c r="J5" i="73" s="1"/>
  <c r="I74" i="73"/>
  <c r="J74" i="73" s="1"/>
  <c r="I24" i="73"/>
  <c r="J24" i="73" s="1"/>
  <c r="I108" i="73"/>
  <c r="J108" i="73" s="1"/>
  <c r="L22" i="73"/>
  <c r="L19" i="73"/>
  <c r="I19" i="73" s="1"/>
  <c r="J19" i="73" s="1"/>
  <c r="L82" i="73"/>
  <c r="L98" i="73"/>
  <c r="L23" i="73"/>
  <c r="I23" i="73" s="1"/>
  <c r="J23" i="73" s="1"/>
  <c r="L18" i="73"/>
  <c r="I18" i="73" s="1"/>
  <c r="J18" i="73" s="1"/>
  <c r="L28" i="73"/>
  <c r="I28" i="73" s="1"/>
  <c r="J28" i="73" s="1"/>
  <c r="L76" i="73"/>
  <c r="L105" i="73"/>
  <c r="L25" i="73"/>
  <c r="I25" i="73" s="1"/>
  <c r="J25" i="73" s="1"/>
  <c r="B9" i="75" s="1"/>
  <c r="D9" i="75" s="1"/>
  <c r="H12" i="77" s="1"/>
  <c r="R12" i="77" s="1"/>
  <c r="A21" i="83" s="1"/>
  <c r="L56" i="73"/>
  <c r="I56" i="73" s="1"/>
  <c r="J56" i="73" s="1"/>
  <c r="L72" i="73"/>
  <c r="I54" i="73"/>
  <c r="J54" i="73" s="1"/>
  <c r="I33" i="73"/>
  <c r="J33" i="73" s="1"/>
  <c r="I10" i="73"/>
  <c r="J10" i="73" s="1"/>
  <c r="I96" i="73"/>
  <c r="J96" i="73" s="1"/>
  <c r="I16" i="73"/>
  <c r="J16" i="73" s="1"/>
  <c r="I105" i="73"/>
  <c r="J105" i="73" s="1"/>
  <c r="L107" i="73"/>
  <c r="I107" i="73" s="1"/>
  <c r="J107" i="73" s="1"/>
  <c r="L115" i="73"/>
  <c r="L44" i="73"/>
  <c r="L78" i="73"/>
  <c r="I78" i="73" s="1"/>
  <c r="J78" i="73" s="1"/>
  <c r="L67" i="73"/>
  <c r="I67" i="73" s="1"/>
  <c r="J67" i="73" s="1"/>
  <c r="L90" i="73"/>
  <c r="L36" i="73"/>
  <c r="I36" i="73" s="1"/>
  <c r="J36" i="73" s="1"/>
  <c r="L109" i="73"/>
  <c r="L35" i="73"/>
  <c r="L116" i="73"/>
  <c r="L113" i="73"/>
  <c r="I113" i="73" s="1"/>
  <c r="J113" i="73" s="1"/>
  <c r="L96" i="73"/>
  <c r="L104" i="73"/>
  <c r="I52" i="73"/>
  <c r="J52" i="73" s="1"/>
  <c r="B18" i="75" s="1"/>
  <c r="D18" i="75" s="1"/>
  <c r="H21" i="77" s="1"/>
  <c r="R21" i="77" s="1"/>
  <c r="A32" i="83" s="1"/>
  <c r="I79" i="73"/>
  <c r="J79" i="73" s="1"/>
  <c r="I41" i="73"/>
  <c r="J41" i="73" s="1"/>
  <c r="I13" i="73"/>
  <c r="J13" i="73" s="1"/>
  <c r="I72" i="73"/>
  <c r="J72" i="73" s="1"/>
  <c r="I94" i="73"/>
  <c r="J94" i="73" s="1"/>
  <c r="I38" i="73"/>
  <c r="J38" i="73" s="1"/>
  <c r="I20" i="73"/>
  <c r="J20" i="73" s="1"/>
  <c r="B7" i="75" s="1"/>
  <c r="D7" i="75" s="1"/>
  <c r="H10" i="77" s="1"/>
  <c r="R10" i="77" s="1"/>
  <c r="A9" i="83" s="1"/>
  <c r="I21" i="73"/>
  <c r="J21" i="73" s="1"/>
  <c r="I109" i="73"/>
  <c r="J109" i="73" s="1"/>
  <c r="I43" i="73"/>
  <c r="J43" i="73" s="1"/>
  <c r="I8" i="73"/>
  <c r="J8" i="73" s="1"/>
  <c r="L42" i="73"/>
  <c r="I42" i="73" s="1"/>
  <c r="J42" i="73" s="1"/>
  <c r="L117" i="73"/>
  <c r="I117" i="73" s="1"/>
  <c r="J117" i="73" s="1"/>
  <c r="L38" i="73"/>
  <c r="L85" i="73"/>
  <c r="L103" i="73"/>
  <c r="I103" i="73" s="1"/>
  <c r="J103" i="73" s="1"/>
  <c r="B27" i="75" s="1"/>
  <c r="D27" i="75" s="1"/>
  <c r="H30" i="77" s="1"/>
  <c r="R30" i="77" s="1"/>
  <c r="A45" i="83" s="1"/>
  <c r="L111" i="73"/>
  <c r="I111" i="73" s="1"/>
  <c r="J111" i="73" s="1"/>
  <c r="L91" i="73"/>
  <c r="L4" i="73"/>
  <c r="I4" i="73" s="1"/>
  <c r="J4" i="73" s="1"/>
  <c r="L17" i="73"/>
  <c r="I17" i="73" s="1"/>
  <c r="J17" i="73" s="1"/>
  <c r="L89" i="73"/>
  <c r="I89" i="73" s="1"/>
  <c r="J89" i="73" s="1"/>
  <c r="L100" i="73"/>
  <c r="I100" i="73" s="1"/>
  <c r="J100" i="73" s="1"/>
  <c r="N3" i="73"/>
  <c r="I59" i="73"/>
  <c r="J59" i="73" s="1"/>
  <c r="I82" i="73"/>
  <c r="J82" i="73" s="1"/>
  <c r="I84" i="73"/>
  <c r="J84" i="73" s="1"/>
  <c r="I9" i="73"/>
  <c r="J9" i="73" s="1"/>
  <c r="I63" i="73"/>
  <c r="J63" i="73" s="1"/>
  <c r="I15" i="73"/>
  <c r="J15" i="73" s="1"/>
  <c r="I70" i="73"/>
  <c r="J70" i="73" s="1"/>
  <c r="I102" i="73"/>
  <c r="J102" i="73" s="1"/>
  <c r="I90" i="73"/>
  <c r="J90" i="73" s="1"/>
  <c r="I35" i="73"/>
  <c r="J35" i="73" s="1"/>
  <c r="I40" i="73"/>
  <c r="J40" i="73" s="1"/>
  <c r="I104" i="73"/>
  <c r="J104" i="73" s="1"/>
  <c r="I7" i="73"/>
  <c r="J7" i="73" s="1"/>
  <c r="B4" i="75" s="1"/>
  <c r="D4" i="75" s="1"/>
  <c r="H7" i="77" s="1"/>
  <c r="R7" i="77" s="1"/>
  <c r="A5" i="83" s="1"/>
  <c r="I29" i="73"/>
  <c r="J29" i="73" s="1"/>
  <c r="L29" i="73"/>
  <c r="L114" i="73"/>
  <c r="I114" i="73" s="1"/>
  <c r="J114" i="73" s="1"/>
  <c r="L51" i="73"/>
  <c r="I51" i="73" s="1"/>
  <c r="J51" i="73" s="1"/>
  <c r="L69" i="73"/>
  <c r="I69" i="73" s="1"/>
  <c r="J69" i="73" s="1"/>
  <c r="L6" i="73"/>
  <c r="I6" i="73" s="1"/>
  <c r="J6" i="73" s="1"/>
  <c r="L39" i="73"/>
  <c r="I39" i="73" s="1"/>
  <c r="J39" i="73" s="1"/>
  <c r="L37" i="73"/>
  <c r="I37" i="73" s="1"/>
  <c r="J37" i="73" s="1"/>
  <c r="L12" i="73"/>
  <c r="I12" i="73" s="1"/>
  <c r="J12" i="73" s="1"/>
  <c r="L118" i="73"/>
  <c r="I118" i="73" s="1"/>
  <c r="J118" i="73" s="1"/>
  <c r="L65" i="73"/>
  <c r="I65" i="73" s="1"/>
  <c r="J65" i="73" s="1"/>
  <c r="L64" i="73"/>
  <c r="I64" i="73" s="1"/>
  <c r="J64" i="73" s="1"/>
  <c r="B21" i="75" s="1"/>
  <c r="D21" i="75" s="1"/>
  <c r="H24" i="77" s="1"/>
  <c r="R24" i="77" s="1"/>
  <c r="A35" i="83" s="1"/>
  <c r="O3" i="73"/>
  <c r="I3" i="73" s="1"/>
  <c r="J3" i="73" s="1"/>
  <c r="I60" i="73"/>
  <c r="J60" i="73" s="1"/>
  <c r="I58" i="73"/>
  <c r="J58" i="73" s="1"/>
  <c r="I53" i="73"/>
  <c r="J53" i="73" s="1"/>
  <c r="I62" i="73"/>
  <c r="J62" i="73" s="1"/>
  <c r="I92" i="73"/>
  <c r="J92" i="73" s="1"/>
  <c r="I91" i="73"/>
  <c r="J91" i="73" s="1"/>
  <c r="I88" i="73"/>
  <c r="J88" i="73" s="1"/>
  <c r="I93" i="73"/>
  <c r="J93" i="73" s="1"/>
  <c r="I77" i="73"/>
  <c r="J77" i="73" s="1"/>
  <c r="I116" i="73"/>
  <c r="J116" i="73" s="1"/>
  <c r="I30" i="73"/>
  <c r="J30" i="73" s="1"/>
  <c r="I27" i="73"/>
  <c r="J27" i="73" s="1"/>
  <c r="L95" i="73"/>
  <c r="I95" i="73" s="1"/>
  <c r="J95" i="73" s="1"/>
  <c r="L11" i="73"/>
  <c r="I11" i="73" s="1"/>
  <c r="J11" i="73" s="1"/>
  <c r="L66" i="73"/>
  <c r="I66" i="73" s="1"/>
  <c r="J66" i="73" s="1"/>
  <c r="L87" i="73"/>
  <c r="L71" i="73"/>
  <c r="I71" i="73" s="1"/>
  <c r="J71" i="73" s="1"/>
  <c r="L110" i="73"/>
  <c r="I110" i="73" s="1"/>
  <c r="J110" i="73" s="1"/>
  <c r="L55" i="73"/>
  <c r="I55" i="73" s="1"/>
  <c r="J55" i="73" s="1"/>
  <c r="L2" i="73"/>
  <c r="I2" i="73" s="1"/>
  <c r="J2" i="73" s="1"/>
  <c r="B2" i="75" s="1"/>
  <c r="D2" i="75" s="1"/>
  <c r="H5" i="77" s="1"/>
  <c r="R5" i="77" s="1"/>
  <c r="L97" i="73"/>
  <c r="I97" i="73" s="1"/>
  <c r="J97" i="73" s="1"/>
  <c r="M3" i="73"/>
  <c r="I57" i="73"/>
  <c r="J57" i="73" s="1"/>
  <c r="I85" i="73"/>
  <c r="J85" i="73" s="1"/>
  <c r="I61" i="73"/>
  <c r="J61" i="73" s="1"/>
  <c r="I47" i="73"/>
  <c r="J47" i="73" s="1"/>
  <c r="I68" i="73"/>
  <c r="J68" i="73" s="1"/>
  <c r="I98" i="73"/>
  <c r="J98" i="73" s="1"/>
  <c r="I87" i="73"/>
  <c r="J87" i="73" s="1"/>
  <c r="I99" i="73"/>
  <c r="J99" i="73" s="1"/>
  <c r="I76" i="73"/>
  <c r="J76" i="73" s="1"/>
  <c r="I115" i="73"/>
  <c r="J115" i="73" s="1"/>
  <c r="I49" i="73"/>
  <c r="J49" i="73" s="1"/>
  <c r="L75" i="73"/>
  <c r="I75" i="73" s="1"/>
  <c r="J75" i="73" s="1"/>
  <c r="L83" i="73"/>
  <c r="I83" i="73" s="1"/>
  <c r="J83" i="73" s="1"/>
  <c r="L99" i="73"/>
  <c r="AD7" i="63"/>
  <c r="AC10" i="63"/>
  <c r="A3" i="83" l="1"/>
  <c r="B19" i="75"/>
  <c r="D19" i="75" s="1"/>
  <c r="H22" i="77" s="1"/>
  <c r="R22" i="77" s="1"/>
  <c r="A33" i="83" s="1"/>
  <c r="B8" i="75"/>
  <c r="D8" i="75" s="1"/>
  <c r="H11" i="77" s="1"/>
  <c r="R11" i="77" s="1"/>
  <c r="A19" i="83" s="1"/>
  <c r="B5" i="75"/>
  <c r="D5" i="75" s="1"/>
  <c r="H8" i="77" s="1"/>
  <c r="R8" i="77" s="1"/>
  <c r="A6" i="83" s="1"/>
  <c r="B11" i="75"/>
  <c r="D11" i="75" s="1"/>
  <c r="H14" i="77" s="1"/>
  <c r="R14" i="77" s="1"/>
  <c r="A24" i="83" s="1"/>
  <c r="B15" i="75"/>
  <c r="D15" i="75" s="1"/>
  <c r="H18" i="77" s="1"/>
  <c r="R18" i="77" s="1"/>
  <c r="A28" i="83" s="1"/>
  <c r="B17" i="75"/>
  <c r="D17" i="75" s="1"/>
  <c r="H20" i="77" s="1"/>
  <c r="R20" i="77" s="1"/>
  <c r="A30" i="83" s="1"/>
  <c r="B22" i="75"/>
  <c r="D22" i="75" s="1"/>
  <c r="H25" i="77" s="1"/>
  <c r="R25" i="77" s="1"/>
  <c r="A37" i="83" s="1"/>
  <c r="B26" i="75"/>
  <c r="D26" i="75" s="1"/>
  <c r="H29" i="77" s="1"/>
  <c r="R29" i="77" s="1"/>
  <c r="A44" i="83" s="1"/>
  <c r="B24" i="75"/>
  <c r="D24" i="75" s="1"/>
  <c r="H27" i="77" s="1"/>
  <c r="R27" i="77" s="1"/>
  <c r="A41" i="83" s="1"/>
  <c r="B13" i="75"/>
  <c r="D13" i="75" s="1"/>
  <c r="H16" i="77" s="1"/>
  <c r="R16" i="77" s="1"/>
  <c r="A26" i="83" s="1"/>
  <c r="B10" i="75"/>
  <c r="D10" i="75" s="1"/>
  <c r="H13" i="77" s="1"/>
  <c r="R13" i="77" s="1"/>
  <c r="A22" i="83" s="1"/>
  <c r="B20" i="75"/>
  <c r="D20" i="75" s="1"/>
  <c r="H23" i="77" s="1"/>
  <c r="R23" i="77" s="1"/>
  <c r="A34" i="83" s="1"/>
  <c r="B23" i="75"/>
  <c r="D23" i="75" s="1"/>
  <c r="H26" i="77" s="1"/>
  <c r="R26" i="77" s="1"/>
  <c r="A39" i="83" s="1"/>
  <c r="B6" i="75"/>
  <c r="D6" i="75" s="1"/>
  <c r="H9" i="77" s="1"/>
  <c r="R9" i="77" s="1"/>
  <c r="A8" i="83" s="1"/>
  <c r="B14" i="75"/>
  <c r="D14" i="75" s="1"/>
  <c r="H17" i="77" s="1"/>
  <c r="R17" i="77" s="1"/>
  <c r="A27" i="83" s="1"/>
  <c r="B3" i="75"/>
  <c r="D3" i="75" s="1"/>
  <c r="H6" i="77" s="1"/>
  <c r="R6" i="77" s="1"/>
  <c r="A4" i="83" s="1"/>
  <c r="AE7" i="63"/>
  <c r="AD10" i="63"/>
  <c r="R37" i="77" l="1"/>
  <c r="AF7" i="63"/>
  <c r="AE10" i="63"/>
  <c r="AG7" i="63" l="1"/>
  <c r="AF10" i="63"/>
  <c r="AG10" i="63" l="1"/>
  <c r="AH7" i="63"/>
  <c r="AI7" i="63" l="1"/>
  <c r="AH10" i="63"/>
  <c r="AJ7" i="63" l="1"/>
  <c r="AI10" i="63"/>
  <c r="AK7" i="63" l="1"/>
  <c r="AJ10" i="63"/>
  <c r="AL7" i="63" l="1"/>
  <c r="AK10" i="63"/>
  <c r="AM7" i="63" l="1"/>
  <c r="AL10" i="63"/>
  <c r="AN7" i="63" l="1"/>
  <c r="AM10" i="63"/>
  <c r="AO7" i="63" l="1"/>
  <c r="AN10" i="63"/>
  <c r="AO10" i="63" l="1"/>
  <c r="AP7" i="63"/>
  <c r="AQ7" i="63" l="1"/>
  <c r="AP10" i="63"/>
  <c r="AR7" i="63" l="1"/>
  <c r="AQ10" i="63"/>
  <c r="AS7" i="63" l="1"/>
  <c r="AR10" i="63"/>
  <c r="AT7" i="63" l="1"/>
  <c r="AS10" i="63"/>
  <c r="AU7" i="63" l="1"/>
  <c r="AT10" i="63"/>
  <c r="AV7" i="63" l="1"/>
  <c r="AU10" i="63"/>
  <c r="AW7" i="63" l="1"/>
  <c r="AV10" i="63"/>
  <c r="AW10" i="63" l="1"/>
  <c r="AX7" i="63"/>
  <c r="AY7" i="63" l="1"/>
  <c r="AX10" i="63"/>
  <c r="AZ7" i="63" l="1"/>
  <c r="AY10" i="63"/>
  <c r="BA7" i="63" l="1"/>
  <c r="AZ10" i="63"/>
  <c r="BB7" i="63" l="1"/>
  <c r="BA10" i="63"/>
  <c r="BC7" i="63" l="1"/>
  <c r="BB10" i="63"/>
  <c r="BD7" i="63" l="1"/>
  <c r="BC10" i="63"/>
  <c r="BE7" i="63" l="1"/>
  <c r="BD10" i="63"/>
  <c r="BE10" i="63" l="1"/>
  <c r="BF7" i="63"/>
  <c r="BG7" i="63" l="1"/>
  <c r="BF10" i="63"/>
  <c r="BH7" i="63" l="1"/>
  <c r="BG10" i="63"/>
  <c r="BI7" i="63" l="1"/>
  <c r="BH10" i="63"/>
  <c r="BJ7" i="63" l="1"/>
  <c r="BI10" i="63"/>
  <c r="BK7" i="63" l="1"/>
  <c r="BJ10" i="63"/>
  <c r="BL7" i="63" l="1"/>
  <c r="BK10" i="63"/>
  <c r="BM7" i="63" l="1"/>
  <c r="BL10" i="63"/>
  <c r="BM10" i="63" l="1"/>
  <c r="BN7" i="63"/>
  <c r="BO7" i="63" l="1"/>
  <c r="BN10" i="63"/>
  <c r="BP7" i="63" l="1"/>
  <c r="BO10" i="63"/>
  <c r="BQ7" i="63" l="1"/>
  <c r="BP10" i="63"/>
  <c r="BR7" i="63" l="1"/>
  <c r="BQ10" i="63"/>
  <c r="BS7" i="63" l="1"/>
  <c r="BR10" i="63"/>
  <c r="BT7" i="63" l="1"/>
  <c r="BS10" i="63"/>
  <c r="BU7" i="63" l="1"/>
  <c r="BT10" i="63"/>
  <c r="BU10" i="63" l="1"/>
  <c r="BV7" i="63"/>
  <c r="BW7" i="63" l="1"/>
  <c r="BV10" i="63"/>
  <c r="BX7" i="63" l="1"/>
  <c r="BW10" i="63"/>
  <c r="BY7" i="63" l="1"/>
  <c r="BX10" i="63"/>
  <c r="BZ7" i="63" l="1"/>
  <c r="BY10" i="63"/>
  <c r="CA7" i="63" l="1"/>
  <c r="BZ10" i="63"/>
  <c r="CB7" i="63" l="1"/>
  <c r="CA10" i="63"/>
  <c r="CC7" i="63" l="1"/>
  <c r="CB10" i="63"/>
  <c r="CC10" i="63" l="1"/>
  <c r="CD7" i="63"/>
  <c r="CE7" i="63" l="1"/>
  <c r="CD10" i="63"/>
  <c r="CF7" i="63" l="1"/>
  <c r="CE10" i="63"/>
  <c r="CG7" i="63" l="1"/>
  <c r="CF10" i="63"/>
  <c r="CH7" i="63" l="1"/>
  <c r="CH10" i="63" s="1"/>
  <c r="CG10" i="63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9EF07F5-297E-4847-A700-43D1C98292FD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<sst xmlns="http://schemas.openxmlformats.org/spreadsheetml/2006/main" count="4275" uniqueCount="1196">
  <si>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</si>
  <si>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</si>
  <si>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</si>
  <si>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</si>
  <si>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</si>
  <si>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</si>
  <si>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</si>
  <si>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</si>
  <si>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</si>
  <si>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</si>
  <si>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</si>
  <si>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</si>
  <si>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</si>
  <si>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</si>
  <si>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</si>
  <si>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</si>
  <si>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</si>
  <si>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</si>
  <si>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</si>
  <si>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</si>
  <si>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</si>
  <si>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</si>
  <si>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</si>
  <si>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</si>
  <si>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</si>
  <si>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</si>
  <si>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</si>
  <si>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</si>
  <si>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</si>
  <si>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</si>
  <si>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</si>
  <si>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</si>
  <si>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</si>
  <si>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</si>
  <si>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</si>
  <si>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</si>
  <si>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</si>
  <si>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</si>
  <si>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</si>
  <si>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</si>
  <si>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</si>
  <si>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</si>
  <si>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</si>
  <si>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</si>
  <si>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</si>
  <si>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</si>
  <si>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</si>
  <si>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</si>
  <si>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</si>
  <si>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</si>
  <si>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</si>
  <si>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</si>
  <si>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</si>
  <si>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</si>
  <si>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</si>
  <si>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</si>
  <si>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</si>
  <si>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</si>
  <si>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</si>
  <si>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</si>
  <si>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</si>
  <si>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</si>
  <si>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</si>
  <si>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</si>
  <si>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</si>
  <si>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</si>
  <si>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</si>
  <si>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</si>
  <si>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</si>
  <si>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</si>
  <si>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</si>
  <si>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</si>
  <si>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</si>
  <si>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</si>
  <si>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</si>
  <si>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</si>
  <si>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</si>
  <si>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</si>
  <si>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</si>
  <si>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</si>
  <si>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</si>
  <si>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</si>
  <si>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</si>
  <si>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</si>
  <si>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</si>
  <si>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</si>
  <si>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</si>
  <si>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</si>
  <si>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</si>
  <si>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</si>
  <si>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</si>
  <si>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</si>
  <si>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</si>
  <si>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</si>
  <si>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</si>
  <si>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</si>
  <si>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</si>
  <si>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</si>
  <si>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</si>
  <si>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</si>
  <si>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</si>
  <si>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</si>
  <si>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</si>
  <si>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</si>
  <si>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</si>
  <si>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</si>
  <si>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</si>
  <si>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</si>
  <si>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</si>
  <si>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</si>
  <si>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</si>
  <si>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</si>
  <si>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</si>
  <si>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</si>
  <si>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</si>
  <si>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</si>
  <si>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</si>
  <si>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</si>
  <si>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</si>
  <si>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</si>
  <si>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</si>
  <si>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</si>
  <si>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</si>
  <si>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</si>
  <si>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</si>
  <si>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</si>
  <si>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</si>
  <si>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</si>
  <si>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</si>
  <si>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</si>
  <si>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</si>
  <si>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</si>
  <si>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</si>
  <si>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</si>
  <si>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</si>
  <si>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</si>
  <si>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</si>
  <si>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</si>
  <si>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</si>
  <si>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</si>
  <si>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</si>
  <si>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</si>
  <si>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</si>
  <si>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</si>
  <si>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</si>
  <si>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</si>
  <si>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</si>
  <si>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</si>
  <si>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</si>
  <si>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</si>
  <si>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</si>
  <si>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</si>
  <si>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</si>
  <si>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</si>
  <si>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</si>
  <si>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</si>
  <si>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</si>
  <si>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</si>
  <si>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</si>
  <si>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</si>
  <si>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</si>
  <si>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</si>
  <si>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</si>
  <si>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</si>
  <si>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</si>
  <si>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</si>
  <si>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</si>
  <si>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</si>
  <si>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</si>
  <si>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</si>
  <si>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</si>
  <si>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</si>
  <si>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</si>
  <si>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</si>
  <si>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</si>
  <si>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</si>
  <si>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</si>
  <si>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</si>
  <si>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</si>
  <si>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</si>
  <si>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</si>
  <si>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</si>
  <si>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</si>
  <si>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</si>
  <si>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</si>
  <si>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</si>
  <si>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</si>
  <si>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</si>
  <si>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</si>
  <si>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</si>
  <si>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</si>
  <si>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</si>
  <si>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</si>
  <si>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</si>
  <si>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</si>
  <si>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</si>
  <si>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</si>
  <si>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</si>
  <si>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</si>
  <si>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</si>
  <si>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</si>
  <si>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</si>
  <si>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</si>
  <si>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</si>
  <si>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</si>
  <si>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</si>
  <si>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</si>
  <si>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</si>
  <si>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</si>
  <si>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</si>
  <si>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</si>
  <si>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</si>
  <si>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</si>
  <si>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</si>
  <si>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</si>
  <si>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</si>
  <si>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</si>
  <si>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</si>
  <si>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</si>
  <si>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</si>
  <si>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</si>
  <si>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</si>
  <si>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</si>
  <si>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</si>
  <si>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</si>
  <si>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</si>
  <si>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</si>
  <si>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</si>
  <si>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</si>
  <si>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</si>
  <si>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</si>
  <si>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</si>
  <si>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</si>
  <si>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</si>
  <si>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</si>
  <si>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</si>
  <si>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</si>
  <si>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</si>
  <si>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</si>
  <si>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</si>
  <si>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</si>
  <si>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</si>
  <si>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</si>
  <si>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</si>
  <si>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</si>
  <si>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</si>
  <si>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</si>
  <si>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</si>
  <si>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</si>
  <si>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</si>
  <si>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</si>
  <si>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</si>
  <si>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</si>
  <si>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</si>
  <si>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</si>
  <si>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</si>
  <si>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</si>
  <si>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</si>
  <si>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</si>
  <si>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</si>
  <si>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</si>
  <si>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</si>
  <si>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</si>
  <si>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</si>
  <si>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</si>
  <si>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</si>
  <si>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</si>
  <si>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</si>
  <si>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</si>
  <si>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</si>
  <si>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</si>
  <si>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</si>
  <si>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</si>
  <si>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</si>
  <si>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</si>
  <si>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</si>
  <si>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</si>
  <si>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</si>
  <si>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</si>
  <si>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</si>
  <si>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</si>
  <si>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</si>
  <si>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</si>
  <si>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</si>
  <si>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</si>
  <si>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</si>
  <si>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</si>
  <si>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</si>
  <si>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</si>
  <si>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</si>
  <si>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</si>
  <si>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</si>
  <si>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</si>
  <si>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</si>
  <si>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</si>
  <si>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</si>
  <si>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</si>
  <si>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</si>
  <si>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</si>
  <si>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</si>
  <si>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</si>
  <si>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</si>
  <si>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</si>
  <si>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</si>
  <si>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</si>
  <si>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</si>
  <si>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</si>
  <si>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</si>
  <si>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</si>
  <si>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</si>
  <si>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</si>
  <si>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</si>
  <si>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</si>
  <si>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</si>
  <si>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</si>
  <si>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</si>
  <si>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</si>
  <si>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</si>
  <si>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</si>
  <si>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</si>
  <si>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</si>
  <si>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</si>
  <si>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</si>
  <si>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</si>
  <si>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</si>
  <si>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</si>
  <si>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</si>
  <si>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</si>
  <si>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</si>
  <si>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</si>
  <si>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</si>
  <si>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</si>
  <si>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</si>
  <si>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</si>
  <si>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</si>
  <si>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</si>
  <si>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</si>
  <si>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</si>
  <si>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</si>
  <si>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</si>
  <si>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</si>
  <si>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</si>
  <si>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</si>
  <si>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</si>
  <si>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</si>
  <si>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</si>
  <si>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</si>
  <si>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</si>
  <si>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</si>
  <si>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</si>
  <si>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</si>
  <si>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</si>
  <si>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</si>
  <si>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</si>
  <si>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</si>
  <si>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</si>
  <si>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</si>
  <si>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</si>
  <si>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</si>
  <si>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</si>
  <si>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</si>
  <si>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</si>
  <si>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</si>
  <si>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</si>
  <si>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</si>
  <si>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</si>
  <si>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</si>
  <si>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</si>
  <si>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</si>
  <si>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</si>
  <si>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</si>
  <si>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</si>
  <si>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</si>
  <si>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</si>
  <si>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</si>
  <si>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</si>
  <si>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</si>
  <si>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</si>
  <si>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</si>
  <si>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</si>
  <si>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</si>
  <si>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</si>
  <si>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</si>
  <si>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</si>
  <si>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</si>
  <si>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</si>
  <si>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</si>
  <si>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</si>
  <si>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</si>
  <si>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</si>
  <si>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</si>
  <si>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</si>
  <si>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</si>
  <si>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</si>
  <si>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</si>
  <si>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</si>
  <si>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</si>
  <si>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</si>
  <si>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</si>
  <si>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</si>
  <si>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</si>
  <si>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</si>
  <si>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</si>
  <si>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</si>
  <si>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</si>
  <si>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</si>
  <si>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</si>
  <si>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</si>
  <si>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</si>
  <si>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</si>
  <si>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</si>
  <si>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</si>
  <si>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</si>
  <si>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</si>
  <si>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</si>
  <si>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</si>
  <si>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</si>
  <si>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</si>
  <si>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</si>
  <si>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</si>
  <si>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</si>
  <si>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</si>
  <si>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</si>
  <si>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</si>
  <si>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</si>
  <si>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</si>
  <si>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</si>
  <si>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</si>
  <si>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</si>
  <si>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</si>
  <si>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</si>
  <si>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</si>
  <si>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</si>
  <si>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</si>
  <si>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</si>
  <si>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</si>
  <si>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</si>
  <si>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</si>
  <si>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</si>
  <si>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</si>
  <si>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</si>
  <si>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</si>
  <si>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</si>
  <si>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</si>
  <si>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</si>
  <si>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</si>
  <si>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</si>
  <si>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</si>
  <si>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</si>
  <si>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</si>
  <si>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</si>
  <si>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</si>
  <si>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</si>
  <si>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</si>
  <si>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</si>
  <si>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</si>
  <si>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</si>
  <si>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</si>
  <si>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</si>
  <si>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</si>
  <si>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</si>
  <si>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</si>
  <si>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</si>
  <si>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</si>
  <si>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</si>
  <si>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</si>
  <si>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</si>
  <si>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</si>
  <si>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</si>
  <si>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</si>
  <si>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</si>
  <si>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</si>
  <si>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</si>
  <si>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</si>
  <si>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</si>
  <si>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</si>
  <si>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</si>
  <si>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</si>
  <si>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</si>
  <si>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</si>
  <si>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</si>
  <si>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</si>
  <si>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</si>
  <si>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</si>
  <si>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</si>
  <si>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</si>
  <si>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</si>
  <si>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</si>
  <si>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</si>
  <si>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</si>
  <si>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</si>
  <si>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</si>
  <si>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</si>
  <si>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</si>
  <si>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</si>
  <si>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</si>
  <si>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</si>
  <si>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</si>
  <si>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</si>
  <si>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</si>
  <si>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</si>
  <si>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</si>
  <si>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</si>
  <si>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</si>
  <si>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</si>
  <si>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</si>
  <si>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</si>
  <si>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</si>
  <si>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</si>
  <si>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</si>
  <si>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</si>
  <si>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</si>
  <si>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</si>
  <si>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</si>
  <si>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</si>
  <si>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</si>
  <si>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</si>
  <si>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</si>
  <si>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</si>
  <si>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</si>
  <si>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</si>
  <si>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</si>
  <si>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</si>
  <si>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</si>
  <si>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</si>
  <si>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</si>
  <si>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</si>
  <si>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</si>
  <si>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</si>
  <si>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</si>
  <si>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</si>
  <si>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</si>
  <si>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</si>
  <si>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</si>
  <si>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</si>
  <si>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</si>
  <si>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</si>
  <si>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</si>
  <si>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</si>
  <si>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</si>
  <si>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</si>
  <si>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</si>
  <si>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</si>
  <si>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</si>
  <si>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</si>
  <si>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</si>
  <si>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</si>
  <si>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</si>
  <si>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</si>
  <si>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</si>
  <si>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</si>
  <si>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</si>
  <si>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</si>
  <si>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</si>
  <si>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</si>
  <si>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</si>
  <si>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</si>
  <si>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</si>
  <si>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</si>
  <si>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</si>
  <si>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</si>
  <si>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</si>
  <si>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</si>
  <si>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</si>
  <si>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</si>
  <si>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</si>
  <si>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</si>
  <si>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</si>
  <si>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</si>
  <si>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</si>
  <si>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</si>
  <si>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</si>
  <si>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</si>
  <si>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</si>
  <si>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</si>
  <si>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</si>
  <si>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</si>
  <si>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</si>
  <si>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</si>
  <si>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</si>
  <si>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</si>
  <si>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</si>
  <si>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</si>
  <si>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</si>
  <si>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</si>
  <si>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</si>
  <si>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</si>
  <si>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</si>
  <si>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</si>
  <si>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</si>
  <si>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</si>
  <si>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</si>
  <si>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</si>
  <si>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</si>
  <si>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</si>
  <si>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</si>
  <si>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</si>
  <si>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</si>
  <si>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</si>
  <si>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</si>
  <si>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</si>
  <si>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</si>
  <si>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</si>
  <si>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</si>
  <si>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</si>
  <si>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</si>
  <si>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</si>
  <si>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</si>
  <si>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</si>
  <si>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</si>
  <si>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</si>
  <si>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</si>
  <si>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</si>
  <si>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</si>
  <si>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</si>
  <si>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</si>
  <si>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</si>
  <si>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</si>
  <si>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</si>
  <si>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</si>
  <si>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</si>
  <si>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</si>
  <si>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>Steel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</si>
  <si>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</si>
  <si>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</si>
  <si>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</si>
  <si>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</si>
  <si>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</si>
  <si>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</si>
  <si>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</si>
  <si>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</si>
  <si>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</si>
  <si>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</si>
  <si>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</si>
  <si>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</si>
  <si>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</si>
  <si>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</si>
  <si>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</si>
  <si>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</si>
  <si>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</si>
  <si>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</si>
  <si>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</si>
  <si>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</si>
  <si>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</si>
  <si>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</si>
  <si>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</si>
  <si>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</si>
  <si>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</si>
  <si>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</si>
  <si>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</si>
  <si>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</si>
  <si>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</si>
  <si>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</si>
  <si>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</si>
  <si>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</si>
  <si>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</si>
  <si>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</si>
  <si>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</si>
  <si>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</si>
  <si>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</si>
  <si>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</si>
  <si>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</si>
  <si>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</si>
  <si>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</si>
  <si>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</si>
  <si>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</si>
  <si>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</si>
  <si>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</si>
  <si>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</si>
  <si>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</si>
  <si>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</si>
  <si>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</si>
  <si>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</si>
  <si>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</si>
  <si>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</si>
  <si>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</si>
  <si>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</si>
  <si>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</si>
  <si>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</si>
  <si>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</si>
  <si>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</si>
  <si>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</si>
  <si>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</si>
  <si>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</si>
  <si>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</si>
  <si>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</si>
  <si>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</si>
  <si>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</si>
  <si>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</si>
  <si>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</si>
  <si>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</si>
  <si>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</si>
  <si>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</si>
  <si>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</si>
  <si>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</si>
  <si>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</si>
  <si>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</si>
  <si>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</si>
  <si>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</si>
  <si>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</si>
  <si>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</si>
  <si>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</si>
  <si>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</si>
  <si>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</si>
  <si>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</si>
  <si>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</si>
  <si>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</si>
  <si>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</si>
  <si>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</si>
  <si>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</si>
  <si>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</si>
  <si>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</si>
  <si>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</si>
  <si>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</si>
  <si>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</si>
  <si>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</si>
  <si>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</si>
  <si>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</si>
  <si>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</si>
  <si>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</si>
  <si>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</si>
  <si>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</si>
  <si>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</si>
  <si>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</si>
  <si>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</si>
  <si>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</si>
  <si>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</si>
  <si>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</si>
  <si>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</si>
  <si>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</si>
  <si>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</si>
  <si>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</si>
  <si>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</si>
  <si>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</si>
  <si>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</si>
  <si>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</si>
  <si>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</si>
  <si>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</si>
  <si>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</si>
  <si>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</si>
  <si>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</si>
  <si>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</si>
  <si>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</si>
  <si>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</si>
  <si>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</si>
  <si>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</si>
  <si>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</si>
  <si>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</si>
  <si>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</si>
  <si>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</si>
  <si>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</si>
  <si>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</si>
  <si>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</si>
  <si>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</si>
  <si>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</si>
  <si>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</si>
  <si>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</si>
  <si>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</si>
  <si>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</si>
  <si>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</si>
  <si>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</si>
  <si>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</si>
  <si>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</si>
  <si>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</si>
  <si>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</si>
  <si>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</si>
  <si>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</si>
  <si>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</si>
  <si>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</si>
  <si>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</si>
  <si>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</si>
  <si>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</si>
  <si>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</si>
  <si>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</si>
  <si>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</si>
  <si>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</si>
  <si>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</si>
  <si>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</si>
  <si>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</si>
  <si>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</si>
  <si>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</si>
  <si>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</si>
  <si>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</si>
  <si>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</si>
  <si>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</si>
  <si>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</si>
  <si>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</si>
  <si>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</si>
  <si>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</si>
  <si>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</si>
  <si>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</si>
  <si>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</si>
  <si>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</si>
  <si>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</si>
  <si>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</si>
  <si>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</si>
  <si>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</si>
  <si>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</si>
  <si>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</si>
  <si>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</si>
  <si>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</si>
  <si>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</si>
  <si>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</si>
  <si>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</si>
  <si>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</si>
  <si>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</si>
  <si>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</si>
  <si>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</si>
  <si>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Unsorted</t>
  </si>
  <si>
    <t>Sorted</t>
  </si>
  <si>
    <t>Current Year´s Output</t>
  </si>
  <si>
    <t>Item ID &amp; OP</t>
  </si>
  <si>
    <t>Item ID &amp; WS</t>
  </si>
  <si>
    <t xml:space="preserve">Yield Strength (MPa) 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</si>
  <si>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</si>
  <si>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</si>
  <si>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</si>
  <si>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</si>
  <si>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</si>
  <si>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Specific Gravity</t>
  </si>
  <si>
    <t xml:space="preserve">Performance Index (γ) </t>
  </si>
  <si>
    <t xml:space="preserve">Material </t>
  </si>
  <si>
    <t xml:space="preserve">Working Stress (MPa) 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</si>
  <si>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</si>
  <si>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</si>
  <si>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</si>
  <si>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</si>
  <si>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</si>
  <si>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Tensile Strength</t>
  </si>
  <si>
    <t xml:space="preserve">Toughness  </t>
  </si>
  <si>
    <t>MN m-3/2</t>
  </si>
  <si>
    <t xml:space="preserve">Density </t>
  </si>
  <si>
    <t>Unit</t>
  </si>
  <si>
    <t>MPa</t>
  </si>
  <si>
    <t>GPa</t>
  </si>
  <si>
    <t>t/m3</t>
  </si>
  <si>
    <t>Relative</t>
  </si>
  <si>
    <t>Yield Strength</t>
  </si>
  <si>
    <t xml:space="preserve">Young’s Modulus 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</si>
  <si>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</si>
  <si>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</si>
  <si>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</si>
  <si>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</si>
  <si>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</si>
  <si>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</si>
  <si>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</si>
  <si>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</si>
  <si>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</si>
  <si>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</si>
  <si>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</si>
  <si>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</si>
  <si>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</si>
  <si>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</si>
  <si>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</si>
  <si>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</si>
  <si>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</si>
  <si>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</si>
  <si>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</si>
  <si>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</si>
  <si>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</si>
  <si>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</si>
  <si>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</si>
  <si>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Water, sea</t>
  </si>
  <si>
    <t>Wood, Oak</t>
  </si>
  <si>
    <t>Zinc</t>
  </si>
  <si>
    <t>Cost per ton</t>
  </si>
  <si>
    <t xml:space="preserve"> €/t</t>
  </si>
  <si>
    <t>Water (4℃)</t>
  </si>
  <si>
    <t>kg/m3</t>
  </si>
  <si>
    <t>Density of water at 4℃ (kg/m3)</t>
  </si>
  <si>
    <t>Specific Gravity (kg/m3)</t>
  </si>
  <si>
    <t>Safety Factor 
Working Stress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</si>
  <si>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</si>
  <si>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</si>
  <si>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</si>
  <si>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</si>
  <si>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</si>
  <si>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</si>
  <si>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</si>
  <si>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</si>
  <si>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</si>
  <si>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</si>
  <si>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</si>
  <si>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</si>
  <si>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</si>
  <si>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</si>
  <si>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</si>
  <si>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</si>
  <si>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</si>
  <si>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</si>
  <si>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</si>
  <si>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</si>
  <si>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</si>
  <si>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</si>
  <si>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</si>
  <si>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</si>
  <si>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</si>
  <si>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</si>
  <si>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</si>
  <si>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</si>
  <si>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</si>
  <si>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</si>
  <si>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</si>
  <si>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</si>
  <si>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</si>
  <si>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</si>
  <si>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</si>
  <si>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</si>
  <si>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</si>
  <si>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</si>
  <si>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</si>
  <si>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</si>
  <si>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</si>
  <si>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</si>
  <si>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</si>
  <si>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</si>
  <si>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</si>
  <si>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</si>
  <si>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</si>
  <si>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</si>
  <si>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</si>
  <si>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</si>
  <si>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</si>
  <si>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Hight low (cm)</t>
  </si>
  <si>
    <t>Length of seat tube Road bike (size)</t>
  </si>
  <si>
    <t>Length of seat tube Mountain bike (size)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</si>
  <si>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</si>
  <si>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</si>
  <si>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</si>
  <si>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</si>
  <si>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</si>
  <si>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</si>
  <si>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</si>
  <si>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</si>
  <si>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</si>
  <si>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</si>
  <si>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</si>
  <si>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</si>
  <si>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</si>
  <si>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</si>
  <si>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</si>
  <si>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</si>
  <si>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</si>
  <si>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</si>
  <si>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</si>
  <si>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Max Lots per WS2</t>
  </si>
  <si>
    <t>Machine Footprint</t>
  </si>
  <si>
    <t>Space Coefficient</t>
  </si>
  <si>
    <t>a</t>
  </si>
  <si>
    <t>b</t>
  </si>
  <si>
    <t>f(x)= exp(-0.6x+b)+3</t>
  </si>
  <si>
    <t>Calculation of Individual Work Place</t>
  </si>
  <si>
    <t>Calculation of Functional Areas</t>
  </si>
  <si>
    <t>Total Space of Machine</t>
  </si>
  <si>
    <t># of work stations</t>
  </si>
  <si>
    <r>
      <t>A</t>
    </r>
    <r>
      <rPr>
        <b/>
        <vertAlign val="subscript"/>
        <sz val="12"/>
        <color theme="0"/>
        <rFont val="Arial"/>
        <family val="2"/>
      </rPr>
      <t>T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</si>
  <si>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­WIP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</si>
  <si>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F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</si>
  <si>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>Q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</si>
  <si>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Inlet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</si>
  <si>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Outlet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</si>
  <si>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Raw Material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</si>
  <si>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Components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</si>
  <si>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Special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</si>
  <si>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Functional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</si>
  <si>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L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</si>
  <si>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W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</si>
  <si>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Footage M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</si>
  <si>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t xml:space="preserve">Assembly Part No:  </t>
  </si>
  <si>
    <t xml:space="preserve">Authored By:  </t>
  </si>
  <si>
    <t>James Smith</t>
  </si>
  <si>
    <t>Level Symbol</t>
  </si>
  <si>
    <t>Units of Measure</t>
  </si>
  <si>
    <t>BOM Levels</t>
  </si>
  <si>
    <t>Revision</t>
  </si>
  <si>
    <t>Make/Buy</t>
  </si>
  <si>
    <t xml:space="preserve">Assembly Name:  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</si>
  <si>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</si>
  <si>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</si>
  <si>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</si>
  <si>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</si>
  <si>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</si>
  <si>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</si>
  <si>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</si>
  <si>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</si>
  <si>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>Yilmaz Uygun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</si>
  <si>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</si>
  <si>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</si>
  <si>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</si>
  <si>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</si>
  <si>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</si>
  <si>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</si>
  <si>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</si>
  <si>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</si>
  <si>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</si>
  <si>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</si>
  <si>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</si>
  <si>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</si>
  <si>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</si>
  <si>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</si>
  <si>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</si>
  <si>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</si>
  <si>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</si>
  <si>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</si>
  <si>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</si>
  <si>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</si>
  <si>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</si>
  <si>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</si>
  <si>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</si>
  <si>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</si>
  <si>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</si>
  <si>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</si>
  <si>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</si>
  <si>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</si>
  <si>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</si>
  <si>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</si>
  <si>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</si>
  <si>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</si>
  <si>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</si>
  <si>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</si>
  <si>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</si>
  <si>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/>
  </si>
  <si>
    <t>make</t>
  </si>
  <si>
    <t>GAL</t>
  </si>
  <si>
    <t>F</t>
  </si>
  <si>
    <t>Turbine</t>
  </si>
  <si>
    <t>IN</t>
  </si>
  <si>
    <t>G</t>
  </si>
  <si>
    <t>I-1001</t>
  </si>
  <si>
    <t>Axis</t>
  </si>
  <si>
    <t>Stainless Steel X12Cr13</t>
  </si>
  <si>
    <t>IN²</t>
  </si>
  <si>
    <t>H</t>
  </si>
  <si>
    <t>Shaft</t>
  </si>
  <si>
    <t>Composite carbonfiber</t>
  </si>
  <si>
    <t>L</t>
  </si>
  <si>
    <t>J</t>
  </si>
  <si>
    <t>Bearing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</si>
  <si>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</si>
  <si>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</si>
  <si>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</si>
  <si>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</si>
  <si>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</si>
  <si>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</si>
  <si>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</si>
  <si>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</si>
  <si>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</si>
  <si>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</si>
  <si>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</si>
  <si>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</si>
  <si>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</si>
  <si>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</si>
  <si>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</si>
  <si>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</si>
  <si>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</si>
  <si>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</si>
  <si>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</si>
  <si>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</si>
  <si>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</si>
  <si>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</si>
  <si>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</si>
  <si>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</si>
  <si>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</si>
  <si>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</si>
  <si>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</si>
  <si>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</si>
  <si>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</si>
  <si>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</si>
  <si>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</si>
  <si>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</si>
  <si>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</si>
  <si>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</si>
  <si>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</si>
  <si>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</si>
  <si>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</si>
  <si>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</si>
  <si>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</si>
  <si>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</si>
  <si>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</si>
  <si>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</si>
  <si>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</si>
  <si>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</si>
  <si>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</si>
  <si>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</si>
  <si>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</si>
  <si>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</si>
  <si>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</si>
  <si>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</si>
  <si>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</si>
  <si>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</si>
  <si>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</si>
  <si>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</si>
  <si>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</si>
  <si>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</si>
  <si>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</si>
  <si>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</si>
  <si>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</si>
  <si>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From</t>
  </si>
  <si>
    <t>To</t>
  </si>
  <si>
    <t>Output</t>
  </si>
  <si>
    <t>Cumulative Material Flow Matrix</t>
  </si>
  <si>
    <t>Transportation Units</t>
  </si>
  <si>
    <t>Distances in:</t>
  </si>
  <si>
    <t>m</t>
  </si>
  <si>
    <t>Transportation Intensity</t>
  </si>
  <si>
    <t>[m*TU]</t>
  </si>
  <si>
    <t>Arrow Size</t>
  </si>
  <si>
    <t>Cluster</t>
  </si>
  <si>
    <t>Shape Length</t>
  </si>
  <si>
    <t>Reach</t>
  </si>
  <si>
    <t>Grasp</t>
  </si>
  <si>
    <t>Move</t>
  </si>
  <si>
    <t>Position</t>
  </si>
  <si>
    <t>Apply Pressure</t>
  </si>
  <si>
    <t>Turn</t>
  </si>
  <si>
    <t>Release</t>
  </si>
  <si>
    <t>Disengage</t>
  </si>
  <si>
    <t>Total TMU</t>
  </si>
  <si>
    <t>Time [s]</t>
  </si>
  <si>
    <t>Total (required) manual operation time per year [s]</t>
  </si>
  <si>
    <t>Total (required) manual operation time per year [h]</t>
  </si>
  <si>
    <t>Manual Setup time</t>
  </si>
  <si>
    <t>Total other time [h]</t>
  </si>
  <si>
    <t>Total Manual Time [h]</t>
  </si>
  <si>
    <t># of Operators</t>
  </si>
  <si>
    <t>Distance in cm</t>
  </si>
  <si>
    <t>TMU</t>
  </si>
  <si>
    <t>Code</t>
  </si>
  <si>
    <t>Class of Fit</t>
  </si>
  <si>
    <t>Symmetry</t>
  </si>
  <si>
    <t>Handle</t>
  </si>
  <si>
    <t>Weight</t>
  </si>
  <si>
    <t>Angle</t>
  </si>
  <si>
    <t>Case</t>
  </si>
  <si>
    <t># of setups</t>
  </si>
  <si>
    <t>manual setup time [s]</t>
  </si>
  <si>
    <t>Total setup time [s]</t>
  </si>
  <si>
    <t>Total setup time [h]</t>
  </si>
  <si>
    <t>1A</t>
  </si>
  <si>
    <t>Loose</t>
  </si>
  <si>
    <t>NS</t>
  </si>
  <si>
    <t>Easy</t>
  </si>
  <si>
    <t>Small</t>
  </si>
  <si>
    <t>30°</t>
  </si>
  <si>
    <t>Close</t>
  </si>
  <si>
    <t>S</t>
  </si>
  <si>
    <t>Difficult</t>
  </si>
  <si>
    <t>Medium</t>
  </si>
  <si>
    <t>60°</t>
  </si>
  <si>
    <t>Tight</t>
  </si>
  <si>
    <t>1B</t>
  </si>
  <si>
    <t>DM</t>
  </si>
  <si>
    <t>120°</t>
  </si>
  <si>
    <t>4A</t>
  </si>
  <si>
    <t>RLF</t>
  </si>
  <si>
    <t>Large</t>
  </si>
  <si>
    <t>90°</t>
  </si>
  <si>
    <t>4B</t>
  </si>
  <si>
    <t>Exact</t>
  </si>
  <si>
    <t>SS</t>
  </si>
  <si>
    <t>APA</t>
  </si>
  <si>
    <t>APB</t>
  </si>
  <si>
    <t>1C1</t>
  </si>
  <si>
    <t>1C2</t>
  </si>
  <si>
    <t>1C3</t>
  </si>
  <si>
    <t>4C</t>
  </si>
  <si>
    <t>Annual 
Working 
Time</t>
  </si>
  <si>
    <t>Time in TMU</t>
  </si>
  <si>
    <t>Hand in motion</t>
  </si>
  <si>
    <t>Type of Grasp</t>
  </si>
  <si>
    <t>Pickup</t>
  </si>
  <si>
    <t>Regrasp</t>
  </si>
  <si>
    <t>Transfer</t>
  </si>
  <si>
    <t>Select</t>
  </si>
  <si>
    <t>Contact</t>
  </si>
  <si>
    <t>Weight Allowances</t>
  </si>
  <si>
    <t>Weight in kg</t>
  </si>
  <si>
    <t>Dynamic factor</t>
  </si>
  <si>
    <t>Static constant TMU</t>
  </si>
  <si>
    <t>Easy to Handle</t>
  </si>
  <si>
    <t>Difficult to Handle</t>
  </si>
  <si>
    <t>Symbol</t>
  </si>
  <si>
    <t xml:space="preserve">45° </t>
  </si>
  <si>
    <t>75°</t>
  </si>
  <si>
    <t>105°</t>
  </si>
  <si>
    <t>135°</t>
  </si>
  <si>
    <t>150°</t>
  </si>
  <si>
    <t>165°</t>
  </si>
  <si>
    <t>180°</t>
  </si>
  <si>
    <t>Height of Recoil</t>
  </si>
  <si>
    <t>Up to 2.5 cm</t>
  </si>
  <si>
    <t>2.5 to 12.7 cm</t>
  </si>
  <si>
    <t>12.7 to 30.5 cm</t>
  </si>
  <si>
    <t>h</t>
  </si>
  <si>
    <t>min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</si>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</sst>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.000%"/>
    <numFmt numFmtId="165" formatCode="0.0"/>
    <numFmt numFmtId="166" formatCode="0.000"/>
  </numFmts>
  <fonts count="44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vertAlign val="subscript"/>
      <sz val="12"/>
      <color theme="0"/>
      <name val="Arial"/>
      <family val="2"/>
    </font>
    <font>
      <b/>
      <vertAlign val="superscript"/>
      <sz val="12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ourier New"/>
      <family val="1"/>
    </font>
    <font>
      <b/>
      <sz val="11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2"/>
      <name val="Trade Gothic LT Std"/>
    </font>
    <font>
      <b/>
      <sz val="12"/>
      <color theme="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46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9" fillId="5" borderId="0" xfId="1" applyFont="1" applyFill="1"/>
    <xf numFmtId="0" fontId="7" fillId="5" borderId="0" xfId="1" applyFill="1"/>
    <xf numFmtId="0" fontId="10" fillId="5" borderId="0" xfId="1" applyFont="1" applyFill="1"/>
    <xf numFmtId="0" fontId="9" fillId="5" borderId="37" xfId="1" applyFont="1" applyFill="1" applyBorder="1"/>
    <xf numFmtId="0" fontId="9" fillId="5" borderId="38" xfId="1" applyFont="1" applyFill="1" applyBorder="1"/>
    <xf numFmtId="0" fontId="11" fillId="5" borderId="0" xfId="1" applyFont="1" applyFill="1"/>
    <xf numFmtId="0" fontId="12" fillId="5" borderId="0" xfId="1" applyFont="1" applyFill="1"/>
    <xf numFmtId="0" fontId="12" fillId="5" borderId="37" xfId="1" applyFont="1" applyFill="1" applyBorder="1" applyAlignment="1">
      <alignment horizontal="center" vertical="center"/>
    </xf>
    <xf numFmtId="0" fontId="12" fillId="5" borderId="38" xfId="1" applyFont="1" applyFill="1" applyBorder="1" applyAlignment="1">
      <alignment horizontal="center" vertical="center"/>
    </xf>
    <xf numFmtId="0" fontId="12" fillId="5" borderId="0" xfId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7" fillId="5" borderId="0" xfId="1" applyFill="1" applyAlignment="1">
      <alignment horizontal="center" vertical="center"/>
    </xf>
    <xf numFmtId="0" fontId="12" fillId="5" borderId="37" xfId="1" applyFont="1" applyFill="1" applyBorder="1"/>
    <xf numFmtId="0" fontId="12" fillId="5" borderId="38" xfId="1" applyFont="1" applyFill="1" applyBorder="1"/>
    <xf numFmtId="0" fontId="11" fillId="5" borderId="0" xfId="1" applyFont="1" applyFill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1" fillId="5" borderId="37" xfId="1" applyFont="1" applyFill="1" applyBorder="1"/>
    <xf numFmtId="0" fontId="11" fillId="5" borderId="38" xfId="1" applyFont="1" applyFill="1" applyBorder="1"/>
    <xf numFmtId="0" fontId="15" fillId="6" borderId="46" xfId="1" applyFont="1" applyFill="1" applyBorder="1"/>
    <xf numFmtId="0" fontId="15" fillId="6" borderId="40" xfId="1" applyFont="1" applyFill="1" applyBorder="1" applyAlignment="1">
      <alignment horizontal="center" vertical="center" textRotation="90" wrapText="1"/>
    </xf>
    <xf numFmtId="0" fontId="15" fillId="6" borderId="41" xfId="1" applyFont="1" applyFill="1" applyBorder="1" applyAlignment="1">
      <alignment horizontal="center" vertical="center" wrapText="1"/>
    </xf>
    <xf numFmtId="0" fontId="15" fillId="6" borderId="47" xfId="1" applyFont="1" applyFill="1" applyBorder="1"/>
    <xf numFmtId="0" fontId="7" fillId="6" borderId="1" xfId="1" applyFill="1" applyBorder="1" applyAlignment="1">
      <alignment horizontal="center" vertical="center"/>
    </xf>
    <xf numFmtId="0" fontId="18" fillId="7" borderId="1" xfId="1" applyFont="1" applyFill="1" applyBorder="1" applyAlignment="1">
      <alignment horizontal="left" vertical="center"/>
    </xf>
    <xf numFmtId="0" fontId="20" fillId="5" borderId="1" xfId="1" applyFont="1" applyFill="1" applyBorder="1" applyAlignment="1">
      <alignment horizontal="center" vertical="center"/>
    </xf>
    <xf numFmtId="0" fontId="15" fillId="5" borderId="0" xfId="1" applyFont="1" applyFill="1"/>
    <xf numFmtId="9" fontId="15" fillId="5" borderId="0" xfId="2" applyFont="1" applyFill="1"/>
    <xf numFmtId="0" fontId="4" fillId="0" borderId="0" xfId="1" applyFont="1"/>
    <xf numFmtId="0" fontId="6" fillId="0" borderId="0" xfId="1" applyFont="1"/>
    <xf numFmtId="0" fontId="6" fillId="2" borderId="1" xfId="1" applyFont="1" applyFill="1" applyBorder="1"/>
    <xf numFmtId="0" fontId="6" fillId="0" borderId="1" xfId="1" applyFont="1" applyBorder="1"/>
    <xf numFmtId="2" fontId="6" fillId="0" borderId="1" xfId="1" applyNumberFormat="1" applyFont="1" applyBorder="1"/>
    <xf numFmtId="0" fontId="6" fillId="0" borderId="7" xfId="1" applyFont="1" applyBorder="1"/>
    <xf numFmtId="0" fontId="6" fillId="2" borderId="7" xfId="1" applyFont="1" applyFill="1" applyBorder="1"/>
    <xf numFmtId="0" fontId="1" fillId="2" borderId="0" xfId="1" applyFont="1" applyFill="1"/>
    <xf numFmtId="0" fontId="1" fillId="2" borderId="1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2" fontId="7" fillId="0" borderId="1" xfId="1" applyNumberFormat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 wrapText="1" readingOrder="1"/>
    </xf>
    <xf numFmtId="0" fontId="1" fillId="2" borderId="48" xfId="0" applyFont="1" applyFill="1" applyBorder="1" applyAlignment="1">
      <alignment horizontal="center" vertical="center" wrapText="1" readingOrder="1"/>
    </xf>
    <xf numFmtId="0" fontId="1" fillId="8" borderId="10" xfId="0" applyFont="1" applyFill="1" applyBorder="1" applyAlignment="1">
      <alignment horizontal="center" vertical="center" wrapText="1" readingOrder="1"/>
    </xf>
    <xf numFmtId="0" fontId="1" fillId="8" borderId="9" xfId="0" applyFont="1" applyFill="1" applyBorder="1" applyAlignment="1">
      <alignment horizontal="center" vertical="center" wrapText="1" readingOrder="1"/>
    </xf>
    <xf numFmtId="0" fontId="1" fillId="8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8" borderId="48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8" borderId="35" xfId="0" applyFont="1" applyFill="1" applyBorder="1" applyAlignment="1">
      <alignment horizontal="center" vertical="center" wrapText="1" readingOrder="1"/>
    </xf>
    <xf numFmtId="0" fontId="5" fillId="0" borderId="49" xfId="0" applyFont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8" borderId="2" xfId="0" applyFont="1" applyFill="1" applyBorder="1" applyAlignment="1">
      <alignment horizontal="center" vertical="center" wrapText="1" readingOrder="1"/>
    </xf>
    <xf numFmtId="0" fontId="2" fillId="8" borderId="3" xfId="0" applyFont="1" applyFill="1" applyBorder="1" applyAlignment="1">
      <alignment horizontal="center" vertical="center" wrapText="1" readingOrder="1"/>
    </xf>
    <xf numFmtId="0" fontId="2" fillId="8" borderId="23" xfId="0" applyFont="1" applyFill="1" applyBorder="1" applyAlignment="1">
      <alignment horizontal="center" vertical="center" wrapText="1" readingOrder="1"/>
    </xf>
    <xf numFmtId="0" fontId="2" fillId="8" borderId="24" xfId="0" applyFont="1" applyFill="1" applyBorder="1" applyAlignment="1">
      <alignment horizontal="center" vertical="center" wrapText="1" readingOrder="1"/>
    </xf>
    <xf numFmtId="0" fontId="2" fillId="8" borderId="25" xfId="0" applyFont="1" applyFill="1" applyBorder="1" applyAlignment="1">
      <alignment horizontal="center" vertical="center" wrapText="1" readingOrder="1"/>
    </xf>
    <xf numFmtId="0" fontId="2" fillId="8" borderId="33" xfId="0" applyFont="1" applyFill="1" applyBorder="1" applyAlignment="1">
      <alignment horizontal="center" vertical="center" wrapText="1" readingOrder="1"/>
    </xf>
    <xf numFmtId="0" fontId="2" fillId="8" borderId="34" xfId="0" applyFont="1" applyFill="1" applyBorder="1" applyAlignment="1">
      <alignment horizontal="center" vertical="center" wrapText="1" readingOrder="1"/>
    </xf>
    <xf numFmtId="0" fontId="2" fillId="8" borderId="5" xfId="0" applyFont="1" applyFill="1" applyBorder="1" applyAlignment="1">
      <alignment horizontal="center" vertical="center" wrapText="1" readingOrder="1"/>
    </xf>
    <xf numFmtId="0" fontId="2" fillId="8" borderId="22" xfId="0" applyFont="1" applyFill="1" applyBorder="1" applyAlignment="1">
      <alignment horizontal="center" vertical="center" wrapText="1" readingOrder="1"/>
    </xf>
    <xf numFmtId="0" fontId="2" fillId="8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2" fillId="5" borderId="0" xfId="1" applyFont="1" applyFill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right" vertical="center" wrapText="1"/>
    </xf>
    <xf numFmtId="4" fontId="23" fillId="0" borderId="1" xfId="0" applyNumberFormat="1" applyFont="1" applyBorder="1" applyAlignment="1">
      <alignment horizontal="right" vertical="center" wrapText="1"/>
    </xf>
    <xf numFmtId="10" fontId="23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4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9" borderId="1" xfId="0" applyNumberFormat="1" applyFill="1" applyBorder="1"/>
    <xf numFmtId="0" fontId="24" fillId="10" borderId="4" xfId="0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36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8" borderId="23" xfId="0" applyFont="1" applyFill="1" applyBorder="1" applyAlignment="1">
      <alignment horizontal="center" vertical="center" wrapText="1" readingOrder="1"/>
    </xf>
    <xf numFmtId="0" fontId="1" fillId="8" borderId="24" xfId="0" applyFont="1" applyFill="1" applyBorder="1" applyAlignment="1">
      <alignment horizontal="center" vertical="center" wrapText="1" readingOrder="1"/>
    </xf>
    <xf numFmtId="0" fontId="1" fillId="8" borderId="25" xfId="0" applyFont="1" applyFill="1" applyBorder="1" applyAlignment="1">
      <alignment horizontal="center" vertical="center" wrapText="1" readingOrder="1"/>
    </xf>
    <xf numFmtId="0" fontId="1" fillId="8" borderId="34" xfId="0" applyFont="1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vertical="center"/>
    </xf>
    <xf numFmtId="3" fontId="0" fillId="11" borderId="1" xfId="0" applyNumberFormat="1" applyFill="1" applyBorder="1" applyAlignment="1">
      <alignment horizontal="right" vertical="center"/>
    </xf>
    <xf numFmtId="3" fontId="0" fillId="11" borderId="1" xfId="0" applyNumberFormat="1" applyFill="1" applyBorder="1" applyAlignment="1">
      <alignment vertical="center" wrapText="1"/>
    </xf>
    <xf numFmtId="164" fontId="0" fillId="11" borderId="1" xfId="0" applyNumberFormat="1" applyFill="1" applyBorder="1" applyAlignment="1">
      <alignment vertical="center" wrapText="1"/>
    </xf>
    <xf numFmtId="10" fontId="0" fillId="11" borderId="1" xfId="0" applyNumberFormat="1" applyFill="1" applyBorder="1" applyAlignment="1">
      <alignment vertic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4" fillId="0" borderId="1" xfId="0" applyFont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right" vertical="center"/>
    </xf>
    <xf numFmtId="0" fontId="27" fillId="2" borderId="1" xfId="0" applyFont="1" applyFill="1" applyBorder="1" applyAlignment="1">
      <alignment horizontal="center" vertical="center"/>
    </xf>
    <xf numFmtId="11" fontId="27" fillId="2" borderId="1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wrapText="1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2" fillId="0" borderId="23" xfId="0" applyFont="1" applyBorder="1"/>
    <xf numFmtId="0" fontId="2" fillId="0" borderId="25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0" xfId="0" applyFont="1"/>
    <xf numFmtId="0" fontId="0" fillId="9" borderId="1" xfId="0" applyFill="1" applyBorder="1"/>
    <xf numFmtId="0" fontId="29" fillId="0" borderId="1" xfId="0" applyFont="1" applyBorder="1"/>
    <xf numFmtId="0" fontId="29" fillId="9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21" xfId="0" applyFont="1" applyFill="1" applyBorder="1"/>
    <xf numFmtId="1" fontId="2" fillId="5" borderId="1" xfId="0" applyNumberFormat="1" applyFont="1" applyFill="1" applyBorder="1"/>
    <xf numFmtId="0" fontId="2" fillId="5" borderId="1" xfId="0" applyFont="1" applyFill="1" applyBorder="1"/>
    <xf numFmtId="165" fontId="1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0" borderId="0" xfId="0" applyNumberFormat="1"/>
    <xf numFmtId="2" fontId="0" fillId="0" borderId="0" xfId="0" applyNumberFormat="1"/>
    <xf numFmtId="0" fontId="31" fillId="0" borderId="0" xfId="0" applyFont="1"/>
    <xf numFmtId="0" fontId="26" fillId="0" borderId="12" xfId="0" applyFont="1" applyBorder="1" applyAlignment="1">
      <alignment vertical="center" wrapText="1"/>
    </xf>
    <xf numFmtId="0" fontId="32" fillId="2" borderId="13" xfId="0" applyFont="1" applyFill="1" applyBorder="1" applyAlignment="1">
      <alignment vertical="center" wrapText="1"/>
    </xf>
    <xf numFmtId="0" fontId="32" fillId="2" borderId="14" xfId="0" applyFont="1" applyFill="1" applyBorder="1" applyAlignment="1">
      <alignment horizontal="left" vertical="center" wrapText="1" indent="1"/>
    </xf>
    <xf numFmtId="0" fontId="32" fillId="2" borderId="50" xfId="0" applyFont="1" applyFill="1" applyBorder="1" applyAlignment="1">
      <alignment vertical="center" wrapText="1"/>
    </xf>
    <xf numFmtId="0" fontId="32" fillId="2" borderId="50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vertical="center" wrapText="1"/>
    </xf>
    <xf numFmtId="0" fontId="32" fillId="2" borderId="51" xfId="0" applyFont="1" applyFill="1" applyBorder="1" applyAlignment="1">
      <alignment horizontal="left" vertical="center" wrapText="1" indent="1"/>
    </xf>
    <xf numFmtId="0" fontId="32" fillId="2" borderId="0" xfId="0" applyFont="1" applyFill="1" applyAlignment="1">
      <alignment horizontal="left" vertical="center" wrapText="1" indent="1"/>
    </xf>
    <xf numFmtId="0" fontId="32" fillId="2" borderId="51" xfId="0" applyFont="1" applyFill="1" applyBorder="1" applyAlignment="1">
      <alignment vertical="center" wrapText="1"/>
    </xf>
    <xf numFmtId="9" fontId="32" fillId="2" borderId="12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left" vertical="center" wrapText="1" indent="1"/>
    </xf>
    <xf numFmtId="0" fontId="35" fillId="0" borderId="2" xfId="0" applyFont="1" applyBorder="1" applyAlignment="1">
      <alignment horizontal="left" vertical="center" wrapText="1" indent="1"/>
    </xf>
    <xf numFmtId="0" fontId="35" fillId="0" borderId="1" xfId="0" applyFont="1" applyBorder="1" applyAlignment="1">
      <alignment horizontal="right" vertical="center" wrapText="1" indent="1"/>
    </xf>
    <xf numFmtId="2" fontId="35" fillId="0" borderId="1" xfId="0" applyNumberFormat="1" applyFont="1" applyBorder="1" applyAlignment="1">
      <alignment horizontal="right" vertical="center" wrapText="1"/>
    </xf>
    <xf numFmtId="0" fontId="35" fillId="0" borderId="3" xfId="0" applyFont="1" applyBorder="1" applyAlignment="1">
      <alignment horizontal="right" vertical="center" wrapText="1" indent="1"/>
    </xf>
    <xf numFmtId="0" fontId="35" fillId="0" borderId="1" xfId="0" applyFont="1" applyBorder="1" applyAlignment="1">
      <alignment horizontal="left" vertical="center" wrapText="1" indent="1"/>
    </xf>
    <xf numFmtId="0" fontId="35" fillId="0" borderId="3" xfId="0" applyFont="1" applyBorder="1" applyAlignment="1">
      <alignment horizontal="left" vertical="center" wrapText="1" indent="1"/>
    </xf>
    <xf numFmtId="0" fontId="35" fillId="0" borderId="56" xfId="0" applyFont="1" applyBorder="1" applyAlignment="1">
      <alignment horizontal="left" vertical="center" wrapText="1" indent="1"/>
    </xf>
    <xf numFmtId="0" fontId="36" fillId="0" borderId="23" xfId="0" applyFont="1" applyBorder="1" applyAlignment="1">
      <alignment horizontal="left" vertical="center" wrapText="1" indent="1"/>
    </xf>
    <xf numFmtId="0" fontId="35" fillId="0" borderId="24" xfId="0" applyFont="1" applyBorder="1" applyAlignment="1">
      <alignment horizontal="left" vertical="center" wrapText="1" indent="1"/>
    </xf>
    <xf numFmtId="0" fontId="35" fillId="0" borderId="25" xfId="0" applyFont="1" applyBorder="1" applyAlignment="1">
      <alignment horizontal="left" vertical="center" wrapText="1" indent="1"/>
    </xf>
    <xf numFmtId="165" fontId="35" fillId="0" borderId="2" xfId="0" applyNumberFormat="1" applyFont="1" applyBorder="1" applyAlignment="1">
      <alignment horizontal="right" vertical="center" wrapText="1" indent="1"/>
    </xf>
    <xf numFmtId="165" fontId="35" fillId="0" borderId="1" xfId="0" applyNumberFormat="1" applyFont="1" applyBorder="1" applyAlignment="1">
      <alignment horizontal="left" vertical="center" wrapText="1" indent="1"/>
    </xf>
    <xf numFmtId="165" fontId="35" fillId="0" borderId="3" xfId="0" applyNumberFormat="1" applyFont="1" applyBorder="1" applyAlignment="1">
      <alignment horizontal="right" vertical="center" wrapText="1" indent="1"/>
    </xf>
    <xf numFmtId="165" fontId="35" fillId="0" borderId="2" xfId="0" applyNumberFormat="1" applyFont="1" applyBorder="1" applyAlignment="1">
      <alignment horizontal="left" vertical="center" wrapText="1" indent="1"/>
    </xf>
    <xf numFmtId="165" fontId="35" fillId="0" borderId="3" xfId="0" applyNumberFormat="1" applyFont="1" applyBorder="1" applyAlignment="1">
      <alignment horizontal="left" vertical="center" wrapText="1" indent="1"/>
    </xf>
    <xf numFmtId="165" fontId="35" fillId="0" borderId="23" xfId="0" applyNumberFormat="1" applyFont="1" applyBorder="1" applyAlignment="1">
      <alignment horizontal="left" vertical="center" wrapText="1" indent="1"/>
    </xf>
    <xf numFmtId="165" fontId="35" fillId="0" borderId="24" xfId="0" applyNumberFormat="1" applyFont="1" applyBorder="1" applyAlignment="1">
      <alignment horizontal="left" vertical="center" wrapText="1" indent="1"/>
    </xf>
    <xf numFmtId="165" fontId="37" fillId="0" borderId="25" xfId="0" applyNumberFormat="1" applyFont="1" applyBorder="1" applyAlignment="1">
      <alignment horizontal="left" vertical="center" wrapText="1" indent="1"/>
    </xf>
    <xf numFmtId="3" fontId="31" fillId="0" borderId="0" xfId="0" applyNumberFormat="1" applyFont="1"/>
    <xf numFmtId="0" fontId="38" fillId="0" borderId="0" xfId="0" applyFont="1" applyAlignment="1">
      <alignment horizontal="center"/>
    </xf>
    <xf numFmtId="0" fontId="39" fillId="12" borderId="13" xfId="0" applyFont="1" applyFill="1" applyBorder="1"/>
    <xf numFmtId="0" fontId="38" fillId="0" borderId="1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9" fillId="12" borderId="14" xfId="0" applyFont="1" applyFill="1" applyBorder="1"/>
    <xf numFmtId="0" fontId="39" fillId="12" borderId="15" xfId="0" applyFont="1" applyFill="1" applyBorder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6" fontId="0" fillId="0" borderId="1" xfId="0" applyNumberFormat="1" applyBorder="1" applyAlignment="1">
      <alignment horizontal="center"/>
    </xf>
    <xf numFmtId="6" fontId="0" fillId="13" borderId="1" xfId="0" applyNumberFormat="1" applyFill="1" applyBorder="1"/>
    <xf numFmtId="6" fontId="0" fillId="13" borderId="1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4" fillId="12" borderId="57" xfId="0" applyFont="1" applyFill="1" applyBorder="1" applyAlignment="1">
      <alignment horizontal="center"/>
    </xf>
    <xf numFmtId="0" fontId="4" fillId="12" borderId="58" xfId="0" applyFont="1" applyFill="1" applyBorder="1" applyAlignment="1">
      <alignment horizontal="center"/>
    </xf>
    <xf numFmtId="0" fontId="4" fillId="12" borderId="59" xfId="0" applyFont="1" applyFill="1" applyBorder="1" applyAlignment="1">
      <alignment horizontal="center"/>
    </xf>
    <xf numFmtId="0" fontId="40" fillId="14" borderId="1" xfId="0" applyFont="1" applyFill="1" applyBorder="1" applyAlignment="1">
      <alignment horizontal="center"/>
    </xf>
    <xf numFmtId="0" fontId="41" fillId="14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center" vertical="center" wrapText="1" readingOrder="1"/>
    </xf>
    <xf numFmtId="0" fontId="0" fillId="14" borderId="1" xfId="0" applyFill="1" applyBorder="1"/>
    <xf numFmtId="0" fontId="0" fillId="0" borderId="0" xfId="0" applyAlignment="1">
      <alignment horizontal="right"/>
    </xf>
    <xf numFmtId="0" fontId="2" fillId="15" borderId="1" xfId="0" applyFont="1" applyFill="1" applyBorder="1"/>
    <xf numFmtId="0" fontId="0" fillId="2" borderId="1" xfId="0" applyFill="1" applyBorder="1"/>
    <xf numFmtId="0" fontId="2" fillId="2" borderId="0" xfId="0" applyFont="1" applyFill="1"/>
    <xf numFmtId="0" fontId="0" fillId="0" borderId="43" xfId="0" applyBorder="1"/>
    <xf numFmtId="0" fontId="0" fillId="16" borderId="1" xfId="0" applyFill="1" applyBorder="1"/>
    <xf numFmtId="0" fontId="0" fillId="15" borderId="1" xfId="0" applyFill="1" applyBorder="1"/>
    <xf numFmtId="0" fontId="5" fillId="0" borderId="4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left" vertical="center"/>
    </xf>
    <xf numFmtId="0" fontId="4" fillId="16" borderId="1" xfId="0" applyFont="1" applyFill="1" applyBorder="1"/>
    <xf numFmtId="49" fontId="4" fillId="7" borderId="50" xfId="0" applyNumberFormat="1" applyFont="1" applyFill="1" applyBorder="1" applyAlignment="1">
      <alignment horizontal="center" wrapText="1"/>
    </xf>
    <xf numFmtId="0" fontId="0" fillId="7" borderId="2" xfId="0" applyFill="1" applyBorder="1"/>
    <xf numFmtId="0" fontId="0" fillId="7" borderId="1" xfId="0" applyFill="1" applyBorder="1"/>
    <xf numFmtId="0" fontId="0" fillId="7" borderId="3" xfId="0" applyFill="1" applyBorder="1"/>
    <xf numFmtId="49" fontId="4" fillId="7" borderId="26" xfId="0" applyNumberFormat="1" applyFont="1" applyFill="1" applyBorder="1" applyAlignment="1">
      <alignment horizontal="center" wrapText="1"/>
    </xf>
    <xf numFmtId="0" fontId="0" fillId="0" borderId="32" xfId="0" applyBorder="1"/>
    <xf numFmtId="0" fontId="0" fillId="0" borderId="60" xfId="0" applyBorder="1"/>
    <xf numFmtId="0" fontId="0" fillId="0" borderId="32" xfId="0" applyBorder="1" applyAlignment="1">
      <alignment horizontal="center"/>
    </xf>
    <xf numFmtId="165" fontId="0" fillId="0" borderId="60" xfId="0" applyNumberFormat="1" applyBorder="1"/>
    <xf numFmtId="3" fontId="0" fillId="0" borderId="32" xfId="0" applyNumberFormat="1" applyBorder="1"/>
    <xf numFmtId="165" fontId="0" fillId="0" borderId="26" xfId="0" applyNumberFormat="1" applyBorder="1"/>
    <xf numFmtId="165" fontId="0" fillId="0" borderId="31" xfId="0" applyNumberFormat="1" applyBorder="1"/>
    <xf numFmtId="0" fontId="0" fillId="0" borderId="31" xfId="0" applyBorder="1"/>
    <xf numFmtId="0" fontId="0" fillId="0" borderId="2" xfId="0" applyBorder="1" applyAlignment="1">
      <alignment horizontal="center"/>
    </xf>
    <xf numFmtId="0" fontId="4" fillId="0" borderId="33" xfId="0" applyFont="1" applyBorder="1"/>
    <xf numFmtId="0" fontId="4" fillId="0" borderId="48" xfId="0" applyFont="1" applyBorder="1"/>
    <xf numFmtId="0" fontId="4" fillId="0" borderId="34" xfId="0" applyFont="1" applyBorder="1"/>
    <xf numFmtId="3" fontId="0" fillId="0" borderId="49" xfId="0" applyNumberFormat="1" applyBorder="1"/>
    <xf numFmtId="49" fontId="4" fillId="7" borderId="42" xfId="0" applyNumberFormat="1" applyFont="1" applyFill="1" applyBorder="1" applyAlignment="1">
      <alignment horizontal="center" wrapText="1"/>
    </xf>
    <xf numFmtId="165" fontId="0" fillId="0" borderId="42" xfId="0" applyNumberFormat="1" applyBorder="1"/>
    <xf numFmtId="49" fontId="4" fillId="7" borderId="41" xfId="0" applyNumberFormat="1" applyFont="1" applyFill="1" applyBorder="1" applyAlignment="1">
      <alignment horizontal="center" wrapText="1"/>
    </xf>
    <xf numFmtId="165" fontId="0" fillId="0" borderId="41" xfId="0" applyNumberFormat="1" applyBorder="1"/>
    <xf numFmtId="9" fontId="4" fillId="7" borderId="35" xfId="0" applyNumberFormat="1" applyFont="1" applyFill="1" applyBorder="1" applyAlignment="1">
      <alignment horizontal="center" wrapText="1"/>
    </xf>
    <xf numFmtId="165" fontId="0" fillId="0" borderId="8" xfId="0" applyNumberFormat="1" applyBorder="1"/>
    <xf numFmtId="2" fontId="0" fillId="0" borderId="61" xfId="0" applyNumberFormat="1" applyBorder="1"/>
    <xf numFmtId="0" fontId="40" fillId="0" borderId="0" xfId="0" applyFont="1"/>
    <xf numFmtId="0" fontId="0" fillId="0" borderId="1" xfId="0" quotePrefix="1" applyBorder="1"/>
    <xf numFmtId="0" fontId="0" fillId="0" borderId="23" xfId="0" applyBorder="1" applyAlignment="1">
      <alignment horizontal="center"/>
    </xf>
    <xf numFmtId="0" fontId="0" fillId="0" borderId="62" xfId="0" applyBorder="1"/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5" fillId="7" borderId="7" xfId="2" applyFont="1" applyFill="1" applyBorder="1" applyAlignment="1">
      <alignment horizontal="center" vertical="center"/>
    </xf>
    <xf numFmtId="9" fontId="15" fillId="7" borderId="45" xfId="2" applyFont="1" applyFill="1" applyBorder="1" applyAlignment="1">
      <alignment horizontal="center" vertical="center"/>
    </xf>
    <xf numFmtId="9" fontId="15" fillId="7" borderId="16" xfId="2" applyFont="1" applyFill="1" applyBorder="1" applyAlignment="1">
      <alignment horizontal="center" vertical="center"/>
    </xf>
    <xf numFmtId="0" fontId="21" fillId="7" borderId="7" xfId="1" applyFont="1" applyFill="1" applyBorder="1" applyAlignment="1">
      <alignment horizontal="center" textRotation="90"/>
    </xf>
    <xf numFmtId="0" fontId="21" fillId="7" borderId="45" xfId="1" applyFont="1" applyFill="1" applyBorder="1" applyAlignment="1">
      <alignment horizontal="center" textRotation="90"/>
    </xf>
    <xf numFmtId="0" fontId="21" fillId="7" borderId="16" xfId="1" applyFont="1" applyFill="1" applyBorder="1" applyAlignment="1">
      <alignment horizontal="center" textRotation="90"/>
    </xf>
    <xf numFmtId="0" fontId="7" fillId="6" borderId="1" xfId="1" applyFill="1" applyBorder="1" applyAlignment="1">
      <alignment horizontal="right" vertical="center"/>
    </xf>
    <xf numFmtId="0" fontId="15" fillId="7" borderId="7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9" fontId="15" fillId="6" borderId="1" xfId="2" applyFont="1" applyFill="1" applyBorder="1" applyAlignment="1">
      <alignment horizontal="right" vertical="center"/>
    </xf>
    <xf numFmtId="0" fontId="15" fillId="6" borderId="1" xfId="1" applyFont="1" applyFill="1" applyBorder="1" applyAlignment="1">
      <alignment horizontal="right" vertical="center"/>
    </xf>
    <xf numFmtId="1" fontId="15" fillId="0" borderId="7" xfId="1" applyNumberFormat="1" applyFont="1" applyBorder="1" applyAlignment="1">
      <alignment horizontal="center" vertical="center"/>
    </xf>
    <xf numFmtId="1" fontId="15" fillId="0" borderId="45" xfId="1" applyNumberFormat="1" applyFont="1" applyBorder="1" applyAlignment="1">
      <alignment horizontal="center" vertical="center"/>
    </xf>
    <xf numFmtId="1" fontId="15" fillId="0" borderId="16" xfId="1" applyNumberFormat="1" applyFont="1" applyBorder="1" applyAlignment="1">
      <alignment horizontal="center" vertical="center"/>
    </xf>
    <xf numFmtId="0" fontId="7" fillId="0" borderId="7" xfId="1" applyBorder="1" applyAlignment="1">
      <alignment horizontal="center" vertical="center" textRotation="90" wrapText="1"/>
    </xf>
    <xf numFmtId="0" fontId="7" fillId="0" borderId="45" xfId="1" applyBorder="1" applyAlignment="1">
      <alignment horizontal="center" vertical="center" textRotation="90" wrapText="1"/>
    </xf>
    <xf numFmtId="0" fontId="7" fillId="0" borderId="16" xfId="1" applyBorder="1" applyAlignment="1">
      <alignment horizontal="center" vertical="center" textRotation="90" wrapText="1"/>
    </xf>
    <xf numFmtId="9" fontId="7" fillId="0" borderId="7" xfId="1" applyNumberFormat="1" applyBorder="1" applyAlignment="1">
      <alignment horizontal="center" vertical="center" textRotation="90" wrapText="1"/>
    </xf>
    <xf numFmtId="0" fontId="19" fillId="0" borderId="7" xfId="1" applyFont="1" applyBorder="1" applyAlignment="1">
      <alignment horizontal="center" vertical="center"/>
    </xf>
    <xf numFmtId="0" fontId="19" fillId="0" borderId="45" xfId="1" applyFont="1" applyBorder="1" applyAlignment="1">
      <alignment horizontal="center" vertical="center"/>
    </xf>
    <xf numFmtId="0" fontId="19" fillId="0" borderId="16" xfId="1" applyFont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4" xfId="1" applyBorder="1" applyAlignment="1">
      <alignment horizontal="center" vertical="center" textRotation="90"/>
    </xf>
    <xf numFmtId="0" fontId="7" fillId="0" borderId="39" xfId="1" applyBorder="1" applyAlignment="1">
      <alignment horizontal="center" vertical="center" textRotation="90"/>
    </xf>
    <xf numFmtId="0" fontId="7" fillId="0" borderId="40" xfId="1" applyBorder="1" applyAlignment="1">
      <alignment horizontal="center" vertical="center" textRotation="90"/>
    </xf>
    <xf numFmtId="0" fontId="7" fillId="0" borderId="41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42" xfId="1" applyBorder="1" applyAlignment="1">
      <alignment horizontal="center" vertical="center" textRotation="90"/>
    </xf>
    <xf numFmtId="0" fontId="7" fillId="5" borderId="43" xfId="1" applyFill="1" applyBorder="1" applyAlignment="1">
      <alignment horizontal="center"/>
    </xf>
    <xf numFmtId="0" fontId="8" fillId="6" borderId="39" xfId="1" applyFont="1" applyFill="1" applyBorder="1" applyAlignment="1">
      <alignment horizontal="center" wrapText="1"/>
    </xf>
    <xf numFmtId="0" fontId="8" fillId="6" borderId="8" xfId="1" applyFont="1" applyFill="1" applyBorder="1" applyAlignment="1">
      <alignment horizontal="center"/>
    </xf>
    <xf numFmtId="0" fontId="8" fillId="6" borderId="40" xfId="1" applyFont="1" applyFill="1" applyBorder="1" applyAlignment="1">
      <alignment horizontal="center" wrapText="1"/>
    </xf>
    <xf numFmtId="0" fontId="8" fillId="6" borderId="42" xfId="1" applyFont="1" applyFill="1" applyBorder="1" applyAlignment="1">
      <alignment horizontal="center"/>
    </xf>
    <xf numFmtId="0" fontId="15" fillId="6" borderId="9" xfId="1" applyFont="1" applyFill="1" applyBorder="1" applyAlignment="1">
      <alignment horizontal="center" textRotation="90"/>
    </xf>
    <xf numFmtId="0" fontId="15" fillId="6" borderId="26" xfId="1" applyFont="1" applyFill="1" applyBorder="1" applyAlignment="1">
      <alignment horizontal="center" textRotation="90"/>
    </xf>
    <xf numFmtId="0" fontId="7" fillId="5" borderId="1" xfId="1" applyFill="1" applyBorder="1" applyAlignment="1">
      <alignment horizontal="center" textRotation="90"/>
    </xf>
    <xf numFmtId="0" fontId="8" fillId="6" borderId="4" xfId="1" applyFont="1" applyFill="1" applyBorder="1" applyAlignment="1">
      <alignment horizontal="center" wrapText="1"/>
    </xf>
    <xf numFmtId="0" fontId="8" fillId="6" borderId="41" xfId="1" applyFont="1" applyFill="1" applyBorder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7" fillId="6" borderId="7" xfId="1" applyFill="1" applyBorder="1" applyAlignment="1">
      <alignment horizontal="center" vertical="center" wrapText="1"/>
    </xf>
    <xf numFmtId="0" fontId="7" fillId="6" borderId="45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0" fontId="15" fillId="6" borderId="1" xfId="1" applyFont="1" applyFill="1" applyBorder="1" applyAlignment="1">
      <alignment horizontal="center" textRotation="90"/>
    </xf>
    <xf numFmtId="0" fontId="15" fillId="6" borderId="1" xfId="1" applyFont="1" applyFill="1" applyBorder="1" applyAlignment="1">
      <alignment horizontal="center" textRotation="90" wrapText="1"/>
    </xf>
    <xf numFmtId="0" fontId="7" fillId="6" borderId="4" xfId="1" applyFill="1" applyBorder="1" applyAlignment="1">
      <alignment horizontal="center" vertical="center"/>
    </xf>
    <xf numFmtId="0" fontId="7" fillId="6" borderId="39" xfId="1" applyFill="1" applyBorder="1" applyAlignment="1">
      <alignment horizontal="center" vertical="center"/>
    </xf>
    <xf numFmtId="0" fontId="7" fillId="6" borderId="40" xfId="1" applyFill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7" fillId="5" borderId="43" xfId="1" applyFill="1" applyBorder="1" applyAlignment="1">
      <alignment horizontal="right" vertical="center"/>
    </xf>
    <xf numFmtId="0" fontId="7" fillId="5" borderId="0" xfId="1" applyFill="1" applyAlignment="1">
      <alignment horizontal="right" vertical="center"/>
    </xf>
    <xf numFmtId="0" fontId="7" fillId="5" borderId="41" xfId="1" applyFill="1" applyBorder="1" applyAlignment="1">
      <alignment horizontal="right" vertical="center"/>
    </xf>
    <xf numFmtId="0" fontId="7" fillId="5" borderId="8" xfId="1" applyFill="1" applyBorder="1" applyAlignment="1">
      <alignment horizontal="right" vertical="center"/>
    </xf>
    <xf numFmtId="0" fontId="14" fillId="5" borderId="44" xfId="1" applyFont="1" applyFill="1" applyBorder="1" applyAlignment="1">
      <alignment horizontal="center" vertical="center"/>
    </xf>
    <xf numFmtId="0" fontId="14" fillId="5" borderId="42" xfId="1" applyFont="1" applyFill="1" applyBorder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13" fillId="5" borderId="39" xfId="1" applyFont="1" applyFill="1" applyBorder="1" applyAlignment="1">
      <alignment horizontal="center" vertical="center"/>
    </xf>
    <xf numFmtId="0" fontId="13" fillId="5" borderId="40" xfId="1" applyFont="1" applyFill="1" applyBorder="1" applyAlignment="1">
      <alignment horizontal="center" vertical="center"/>
    </xf>
    <xf numFmtId="0" fontId="13" fillId="5" borderId="41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2" xfId="1" applyFont="1" applyFill="1" applyBorder="1" applyAlignment="1">
      <alignment horizontal="center" vertical="center"/>
    </xf>
    <xf numFmtId="0" fontId="12" fillId="5" borderId="44" xfId="1" applyFont="1" applyFill="1" applyBorder="1" applyAlignment="1">
      <alignment horizontal="center" vertical="center"/>
    </xf>
    <xf numFmtId="0" fontId="12" fillId="5" borderId="42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8" borderId="5" xfId="0" applyFont="1" applyFill="1" applyBorder="1" applyAlignment="1">
      <alignment horizontal="center" vertical="center" wrapText="1" readingOrder="1"/>
    </xf>
    <xf numFmtId="0" fontId="1" fillId="8" borderId="22" xfId="0" applyFont="1" applyFill="1" applyBorder="1" applyAlignment="1">
      <alignment horizontal="center" vertical="center" wrapText="1" readingOrder="1"/>
    </xf>
    <xf numFmtId="0" fontId="1" fillId="8" borderId="6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6" fillId="0" borderId="50" xfId="0" applyFont="1" applyBorder="1" applyAlignment="1">
      <alignment horizontal="left" vertical="center" wrapText="1" indent="1"/>
    </xf>
    <xf numFmtId="0" fontId="26" fillId="0" borderId="51" xfId="0" applyFont="1" applyBorder="1" applyAlignment="1">
      <alignment horizontal="left" vertical="center" wrapText="1" indent="1"/>
    </xf>
    <xf numFmtId="0" fontId="26" fillId="0" borderId="13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 wrapText="1"/>
    </xf>
    <xf numFmtId="0" fontId="32" fillId="2" borderId="13" xfId="0" applyFont="1" applyFill="1" applyBorder="1" applyAlignment="1">
      <alignment horizontal="center" vertical="center" wrapText="1"/>
    </xf>
    <xf numFmtId="0" fontId="32" fillId="2" borderId="14" xfId="0" applyFont="1" applyFill="1" applyBorder="1" applyAlignment="1">
      <alignment horizontal="center" vertical="center" wrapText="1"/>
    </xf>
    <xf numFmtId="0" fontId="32" fillId="2" borderId="1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4" fillId="7" borderId="15" xfId="0" applyFont="1" applyFill="1" applyBorder="1" applyAlignment="1">
      <alignment horizontal="center"/>
    </xf>
    <xf numFmtId="0" fontId="4" fillId="7" borderId="61" xfId="0" applyFont="1" applyFill="1" applyBorder="1" applyAlignment="1">
      <alignment horizontal="center"/>
    </xf>
    <xf numFmtId="0" fontId="4" fillId="7" borderId="27" xfId="0" applyFont="1" applyFill="1" applyBorder="1" applyAlignment="1">
      <alignment horizontal="center"/>
    </xf>
    <xf numFmtId="0" fontId="4" fillId="7" borderId="28" xfId="0" applyFont="1" applyFill="1" applyBorder="1" applyAlignment="1">
      <alignment horizontal="center"/>
    </xf>
    <xf numFmtId="0" fontId="4" fillId="7" borderId="29" xfId="0" applyFont="1" applyFill="1" applyBorder="1" applyAlignment="1">
      <alignment horizontal="center"/>
    </xf>
    <xf numFmtId="0" fontId="4" fillId="7" borderId="57" xfId="0" applyFont="1" applyFill="1" applyBorder="1" applyAlignment="1">
      <alignment horizontal="center"/>
    </xf>
    <xf numFmtId="0" fontId="4" fillId="7" borderId="32" xfId="0" applyFont="1" applyFill="1" applyBorder="1" applyAlignment="1">
      <alignment horizontal="center"/>
    </xf>
    <xf numFmtId="0" fontId="4" fillId="7" borderId="59" xfId="0" applyFont="1" applyFill="1" applyBorder="1" applyAlignment="1">
      <alignment horizontal="center"/>
    </xf>
    <xf numFmtId="0" fontId="4" fillId="7" borderId="60" xfId="0" applyFont="1" applyFill="1" applyBorder="1" applyAlignment="1">
      <alignment horizontal="center"/>
    </xf>
    <xf numFmtId="49" fontId="4" fillId="7" borderId="13" xfId="0" applyNumberFormat="1" applyFont="1" applyFill="1" applyBorder="1" applyAlignment="1">
      <alignment horizontal="center" wrapText="1"/>
    </xf>
    <xf numFmtId="49" fontId="4" fillId="7" borderId="49" xfId="0" applyNumberFormat="1" applyFont="1" applyFill="1" applyBorder="1" applyAlignment="1">
      <alignment horizontal="center" wrapText="1"/>
    </xf>
    <xf numFmtId="49" fontId="4" fillId="7" borderId="57" xfId="0" applyNumberFormat="1" applyFont="1" applyFill="1" applyBorder="1" applyAlignment="1">
      <alignment horizontal="center" wrapText="1"/>
    </xf>
    <xf numFmtId="49" fontId="4" fillId="7" borderId="32" xfId="0" applyNumberFormat="1" applyFont="1" applyFill="1" applyBorder="1" applyAlignment="1">
      <alignment horizontal="center" wrapText="1"/>
    </xf>
    <xf numFmtId="49" fontId="4" fillId="7" borderId="59" xfId="0" applyNumberFormat="1" applyFont="1" applyFill="1" applyBorder="1" applyAlignment="1">
      <alignment horizontal="center" wrapText="1"/>
    </xf>
    <xf numFmtId="49" fontId="4" fillId="7" borderId="60" xfId="0" applyNumberFormat="1" applyFont="1" applyFill="1" applyBorder="1" applyAlignment="1">
      <alignment horizontal="center" wrapText="1"/>
    </xf>
    <xf numFmtId="49" fontId="4" fillId="7" borderId="14" xfId="0" applyNumberFormat="1" applyFont="1" applyFill="1" applyBorder="1" applyAlignment="1">
      <alignment horizontal="center" wrapText="1"/>
    </xf>
    <xf numFmtId="49" fontId="4" fillId="7" borderId="15" xfId="0" applyNumberFormat="1" applyFont="1" applyFill="1" applyBorder="1" applyAlignment="1">
      <alignment horizontal="center" wrapText="1"/>
    </xf>
    <xf numFmtId="49" fontId="4" fillId="7" borderId="8" xfId="0" applyNumberFormat="1" applyFont="1" applyFill="1" applyBorder="1" applyAlignment="1">
      <alignment horizontal="center" wrapText="1"/>
    </xf>
    <xf numFmtId="0" fontId="4" fillId="7" borderId="50" xfId="0" applyFont="1" applyFill="1" applyBorder="1" applyAlignment="1">
      <alignment horizontal="center" wrapText="1"/>
    </xf>
    <xf numFmtId="0" fontId="4" fillId="7" borderId="31" xfId="0" applyFont="1" applyFill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51" xfId="0" applyFont="1" applyBorder="1" applyAlignment="1">
      <alignment horizontal="center"/>
    </xf>
    <xf numFmtId="2" fontId="0" fillId="12" borderId="30" xfId="0" applyNumberFormat="1" applyFill="1" applyBorder="1"/>
  </cellXfs>
  <cellStyles count="3">
    <cellStyle name="Normal" xfId="0" builtinId="0"/>
    <cellStyle name="Normal 2" xfId="1" xr:uid="{58F7976B-1E5A-9043-B195-5532D66B1549}"/>
    <cellStyle name="Per cent 2" xfId="2" xr:uid="{2DC9D4FF-02EC-7245-BAAE-2C68B353EA7A}"/>
  </cellStyles>
  <dxfs count="14"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1">
                  <c:v>-199310.36</c:v>
                </c:pt>
                <c:pt idx="2">
                  <c:v>-202420</c:v>
                </c:pt>
                <c:pt idx="3">
                  <c:v>-205157</c:v>
                </c:pt>
                <c:pt idx="4">
                  <c:v>-205605.6</c:v>
                </c:pt>
                <c:pt idx="5">
                  <c:v>-202424.432</c:v>
                </c:pt>
                <c:pt idx="6">
                  <c:v>-192929.16064000002</c:v>
                </c:pt>
                <c:pt idx="7">
                  <c:v>-168826.48385280001</c:v>
                </c:pt>
                <c:pt idx="8">
                  <c:v>-116767.13352985602</c:v>
                </c:pt>
                <c:pt idx="9">
                  <c:v>-8549.8762004531454</c:v>
                </c:pt>
                <c:pt idx="10">
                  <c:v>213177.48627553778</c:v>
                </c:pt>
                <c:pt idx="11">
                  <c:v>660830.11600104859</c:v>
                </c:pt>
                <c:pt idx="12">
                  <c:v>1560662.1383210695</c:v>
                </c:pt>
                <c:pt idx="13">
                  <c:v>2072822.6410874908</c:v>
                </c:pt>
                <c:pt idx="14">
                  <c:v>2614350.6739092409</c:v>
                </c:pt>
                <c:pt idx="15">
                  <c:v>3119911.2473874255</c:v>
                </c:pt>
                <c:pt idx="16">
                  <c:v>3588633.3323351741</c:v>
                </c:pt>
                <c:pt idx="17">
                  <c:v>3800578.8589818776</c:v>
                </c:pt>
                <c:pt idx="18">
                  <c:v>4021580.7161615151</c:v>
                </c:pt>
                <c:pt idx="19">
                  <c:v>4159285.7504847455</c:v>
                </c:pt>
                <c:pt idx="20">
                  <c:v>4295772.7654944398</c:v>
                </c:pt>
                <c:pt idx="21">
                  <c:v>4405127.5208043288</c:v>
                </c:pt>
                <c:pt idx="22">
                  <c:v>4517051.7312204158</c:v>
                </c:pt>
                <c:pt idx="23">
                  <c:v>4621668.0658448236</c:v>
                </c:pt>
                <c:pt idx="24">
                  <c:v>4762503.1471617203</c:v>
                </c:pt>
                <c:pt idx="25">
                  <c:v>4882200.5501049552</c:v>
                </c:pt>
                <c:pt idx="26">
                  <c:v>4965194.8011070536</c:v>
                </c:pt>
                <c:pt idx="27">
                  <c:v>5098857.3771291953</c:v>
                </c:pt>
                <c:pt idx="28">
                  <c:v>5245976.7046717787</c:v>
                </c:pt>
                <c:pt idx="29">
                  <c:v>5394147.1587652145</c:v>
                </c:pt>
                <c:pt idx="30">
                  <c:v>5470133.0619405191</c:v>
                </c:pt>
                <c:pt idx="31">
                  <c:v>5611707.6831793291</c:v>
                </c:pt>
                <c:pt idx="32">
                  <c:v>5700684.2368429154</c:v>
                </c:pt>
                <c:pt idx="33">
                  <c:v>5836283.8815797735</c:v>
                </c:pt>
                <c:pt idx="34">
                  <c:v>5974421.7192113698</c:v>
                </c:pt>
                <c:pt idx="35">
                  <c:v>6120861.7935955971</c:v>
                </c:pt>
                <c:pt idx="36">
                  <c:v>6251506.0894675087</c:v>
                </c:pt>
                <c:pt idx="37">
                  <c:v>6382941.5312568592</c:v>
                </c:pt>
                <c:pt idx="38">
                  <c:v>6480088.9818819957</c:v>
                </c:pt>
                <c:pt idx="39">
                  <c:v>6555743.2415196355</c:v>
                </c:pt>
                <c:pt idx="40">
                  <c:v>6615352.0463500284</c:v>
                </c:pt>
                <c:pt idx="41">
                  <c:v>6665469.0672770292</c:v>
                </c:pt>
                <c:pt idx="42">
                  <c:v>6650553.9086225703</c:v>
                </c:pt>
                <c:pt idx="43">
                  <c:v>6636331.1067950213</c:v>
                </c:pt>
                <c:pt idx="44">
                  <c:v>6628485.1289309217</c:v>
                </c:pt>
                <c:pt idx="45">
                  <c:v>6619744.3715095399</c:v>
                </c:pt>
                <c:pt idx="46">
                  <c:v>6608130.1589397304</c:v>
                </c:pt>
                <c:pt idx="47">
                  <c:v>6598062.7421185253</c:v>
                </c:pt>
                <c:pt idx="48">
                  <c:v>6588432.2969608959</c:v>
                </c:pt>
                <c:pt idx="49">
                  <c:v>6578918.9229001142</c:v>
                </c:pt>
                <c:pt idx="50">
                  <c:v>6568096.6413581166</c:v>
                </c:pt>
                <c:pt idx="51">
                  <c:v>6556277.3941852786</c:v>
                </c:pt>
                <c:pt idx="52">
                  <c:v>6543457.0420689844</c:v>
                </c:pt>
                <c:pt idx="53">
                  <c:v>6531369.3629103638</c:v>
                </c:pt>
                <c:pt idx="54">
                  <c:v>6519141.0501685711</c:v>
                </c:pt>
                <c:pt idx="55">
                  <c:v>6507399.7111719418</c:v>
                </c:pt>
                <c:pt idx="56">
                  <c:v>6494481.8653953811</c:v>
                </c:pt>
                <c:pt idx="57">
                  <c:v>6481962.942703289</c:v>
                </c:pt>
                <c:pt idx="58">
                  <c:v>6467626.2815573541</c:v>
                </c:pt>
                <c:pt idx="59">
                  <c:v>6455338.1271885019</c:v>
                </c:pt>
                <c:pt idx="60">
                  <c:v>6443434.6297322717</c:v>
                </c:pt>
                <c:pt idx="61">
                  <c:v>6430646.8423269168</c:v>
                </c:pt>
                <c:pt idx="62">
                  <c:v>6415547.7191734556</c:v>
                </c:pt>
                <c:pt idx="63">
                  <c:v>6401055.1135569243</c:v>
                </c:pt>
                <c:pt idx="64">
                  <c:v>6387953.7758280626</c:v>
                </c:pt>
                <c:pt idx="65">
                  <c:v>6372367.3513446245</c:v>
                </c:pt>
                <c:pt idx="66">
                  <c:v>6358714.3783715162</c:v>
                </c:pt>
                <c:pt idx="67">
                  <c:v>6344066.2859389465</c:v>
                </c:pt>
                <c:pt idx="68">
                  <c:v>6316251.3916577259</c:v>
                </c:pt>
                <c:pt idx="69">
                  <c:v>6278660.8994908808</c:v>
                </c:pt>
                <c:pt idx="70">
                  <c:v>6236660.8974806983</c:v>
                </c:pt>
                <c:pt idx="71">
                  <c:v>6183609.3554303125</c:v>
                </c:pt>
                <c:pt idx="72">
                  <c:v>6156235.1225389186</c:v>
                </c:pt>
                <c:pt idx="73">
                  <c:v>6100337.9249896966</c:v>
                </c:pt>
                <c:pt idx="74">
                  <c:v>6036056.36348949</c:v>
                </c:pt>
                <c:pt idx="75">
                  <c:v>5906819.9107592804</c:v>
                </c:pt>
                <c:pt idx="76">
                  <c:v>5698401.9089744659</c:v>
                </c:pt>
                <c:pt idx="77">
                  <c:v>5440578.5671539549</c:v>
                </c:pt>
                <c:pt idx="78">
                  <c:v>5008364.9584970344</c:v>
                </c:pt>
                <c:pt idx="79">
                  <c:v>4248494.017666975</c:v>
                </c:pt>
                <c:pt idx="80">
                  <c:v>3441092.5380203142</c:v>
                </c:pt>
                <c:pt idx="81">
                  <c:v>2482742.1687807203</c:v>
                </c:pt>
                <c:pt idx="82">
                  <c:v>1120714.4121563348</c:v>
                </c:pt>
                <c:pt idx="83">
                  <c:v>-95000.379600538523</c:v>
                </c:pt>
                <c:pt idx="84">
                  <c:v>-225890.0071925493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0822994263320906E-3"/>
          <c:y val="0.81827572204334276"/>
          <c:w val="0.52967824778789208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F-BA42-ACAC-42CF12B7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92512"/>
        <c:axId val="253647088"/>
      </c:lineChart>
      <c:catAx>
        <c:axId val="2965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3647088"/>
        <c:crosses val="autoZero"/>
        <c:auto val="1"/>
        <c:lblAlgn val="ctr"/>
        <c:lblOffset val="100"/>
        <c:noMultiLvlLbl val="0"/>
      </c:catAx>
      <c:valAx>
        <c:axId val="2536470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965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'S20 Material FOM'!$E$1</c:f>
              <c:strCache>
                <c:ptCount val="1"/>
                <c:pt idx="0">
                  <c:v>Figure of merit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9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0-4C45-A197-FEF15C26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79791"/>
        <c:axId val="2097280575"/>
      </c:barChart>
      <c:catAx>
        <c:axId val="209717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280575"/>
        <c:crosses val="autoZero"/>
        <c:auto val="1"/>
        <c:lblAlgn val="ctr"/>
        <c:lblOffset val="100"/>
        <c:noMultiLvlLbl val="0"/>
      </c:catAx>
      <c:valAx>
        <c:axId val="2097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17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'S25 Space Coefficient'!$B$1</c:f>
              <c:strCache>
                <c:ptCount val="1"/>
                <c:pt idx="0">
                  <c:v>Space Coefficient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'S25 Space Coefficient'!$A$2:$A$149</c:f>
              <c:numCache>
                <c:formatCode>0.0</c:formatCode>
                <c:ptCount val="148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1.3</c:v>
                </c:pt>
                <c:pt idx="11">
                  <c:v>1.4</c:v>
                </c:pt>
                <c:pt idx="12">
                  <c:v>1.5</c:v>
                </c:pt>
                <c:pt idx="13">
                  <c:v>1.6</c:v>
                </c:pt>
                <c:pt idx="14">
                  <c:v>1.7</c:v>
                </c:pt>
                <c:pt idx="15">
                  <c:v>1.8</c:v>
                </c:pt>
                <c:pt idx="16">
                  <c:v>1.9</c:v>
                </c:pt>
                <c:pt idx="17">
                  <c:v>2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2.2999999999999998</c:v>
                </c:pt>
                <c:pt idx="21">
                  <c:v>2.4</c:v>
                </c:pt>
                <c:pt idx="22">
                  <c:v>2.5</c:v>
                </c:pt>
                <c:pt idx="23">
                  <c:v>2.6</c:v>
                </c:pt>
                <c:pt idx="24">
                  <c:v>2.7</c:v>
                </c:pt>
                <c:pt idx="25">
                  <c:v>2.8</c:v>
                </c:pt>
                <c:pt idx="26">
                  <c:v>2.9</c:v>
                </c:pt>
                <c:pt idx="27">
                  <c:v>3</c:v>
                </c:pt>
                <c:pt idx="28">
                  <c:v>3.1</c:v>
                </c:pt>
                <c:pt idx="29">
                  <c:v>3.2</c:v>
                </c:pt>
                <c:pt idx="30">
                  <c:v>3.3</c:v>
                </c:pt>
                <c:pt idx="31">
                  <c:v>3.4</c:v>
                </c:pt>
                <c:pt idx="32">
                  <c:v>3.5</c:v>
                </c:pt>
                <c:pt idx="33">
                  <c:v>3.6</c:v>
                </c:pt>
                <c:pt idx="34">
                  <c:v>3.7</c:v>
                </c:pt>
                <c:pt idx="35">
                  <c:v>3.8</c:v>
                </c:pt>
                <c:pt idx="36">
                  <c:v>3.9</c:v>
                </c:pt>
                <c:pt idx="37">
                  <c:v>4</c:v>
                </c:pt>
                <c:pt idx="38">
                  <c:v>4.0999999999999996</c:v>
                </c:pt>
                <c:pt idx="39">
                  <c:v>4.2</c:v>
                </c:pt>
                <c:pt idx="40">
                  <c:v>4.3</c:v>
                </c:pt>
                <c:pt idx="41">
                  <c:v>4.4000000000000004</c:v>
                </c:pt>
                <c:pt idx="42">
                  <c:v>4.5</c:v>
                </c:pt>
                <c:pt idx="43">
                  <c:v>4.5999999999999996</c:v>
                </c:pt>
                <c:pt idx="44">
                  <c:v>4.7</c:v>
                </c:pt>
                <c:pt idx="45">
                  <c:v>4.8</c:v>
                </c:pt>
                <c:pt idx="46">
                  <c:v>4.9000000000000004</c:v>
                </c:pt>
                <c:pt idx="47">
                  <c:v>5</c:v>
                </c:pt>
                <c:pt idx="48">
                  <c:v>5.0999999999999996</c:v>
                </c:pt>
                <c:pt idx="49">
                  <c:v>5.2</c:v>
                </c:pt>
                <c:pt idx="50">
                  <c:v>5.3</c:v>
                </c:pt>
                <c:pt idx="51">
                  <c:v>5.4</c:v>
                </c:pt>
                <c:pt idx="52">
                  <c:v>5.4999999999999902</c:v>
                </c:pt>
                <c:pt idx="53">
                  <c:v>5.5999999999999899</c:v>
                </c:pt>
                <c:pt idx="54">
                  <c:v>5.7</c:v>
                </c:pt>
                <c:pt idx="55">
                  <c:v>5.7999999999999901</c:v>
                </c:pt>
                <c:pt idx="56">
                  <c:v>5.8999999999999897</c:v>
                </c:pt>
                <c:pt idx="57">
                  <c:v>5.9999999999999902</c:v>
                </c:pt>
                <c:pt idx="58">
                  <c:v>6.0999999999999899</c:v>
                </c:pt>
                <c:pt idx="59">
                  <c:v>6.1999999999999904</c:v>
                </c:pt>
                <c:pt idx="60">
                  <c:v>6.2999999999999901</c:v>
                </c:pt>
                <c:pt idx="61">
                  <c:v>6.3999999999999897</c:v>
                </c:pt>
                <c:pt idx="62">
                  <c:v>6.4999999999999902</c:v>
                </c:pt>
                <c:pt idx="63">
                  <c:v>6.5999999999999899</c:v>
                </c:pt>
                <c:pt idx="64">
                  <c:v>6.6999999999999904</c:v>
                </c:pt>
                <c:pt idx="65">
                  <c:v>6.7999999999999901</c:v>
                </c:pt>
                <c:pt idx="66">
                  <c:v>6.8999999999999897</c:v>
                </c:pt>
                <c:pt idx="67">
                  <c:v>6.9999999999999902</c:v>
                </c:pt>
                <c:pt idx="68">
                  <c:v>7.0999999999999899</c:v>
                </c:pt>
                <c:pt idx="69">
                  <c:v>7.1999999999999904</c:v>
                </c:pt>
                <c:pt idx="70">
                  <c:v>7.2999999999999901</c:v>
                </c:pt>
                <c:pt idx="71">
                  <c:v>7.3999999999999897</c:v>
                </c:pt>
                <c:pt idx="72">
                  <c:v>7.4999999999999902</c:v>
                </c:pt>
                <c:pt idx="73">
                  <c:v>7.5999999999999899</c:v>
                </c:pt>
                <c:pt idx="74">
                  <c:v>7.6999999999999904</c:v>
                </c:pt>
                <c:pt idx="75">
                  <c:v>7.7999999999999901</c:v>
                </c:pt>
                <c:pt idx="76">
                  <c:v>7.8999999999999897</c:v>
                </c:pt>
                <c:pt idx="77">
                  <c:v>7.9999999999999902</c:v>
                </c:pt>
                <c:pt idx="78">
                  <c:v>8.0999999999999908</c:v>
                </c:pt>
                <c:pt idx="79">
                  <c:v>8.1999999999999904</c:v>
                </c:pt>
                <c:pt idx="80">
                  <c:v>8.2999999999999901</c:v>
                </c:pt>
                <c:pt idx="81">
                  <c:v>8.3999999999999897</c:v>
                </c:pt>
                <c:pt idx="82">
                  <c:v>8.4999999999999893</c:v>
                </c:pt>
                <c:pt idx="83">
                  <c:v>8.5999999999999908</c:v>
                </c:pt>
                <c:pt idx="84">
                  <c:v>8.6999999999999904</c:v>
                </c:pt>
                <c:pt idx="85">
                  <c:v>8.7999999999999901</c:v>
                </c:pt>
                <c:pt idx="86">
                  <c:v>8.8999999999999897</c:v>
                </c:pt>
                <c:pt idx="87">
                  <c:v>8.9999999999999893</c:v>
                </c:pt>
                <c:pt idx="88">
                  <c:v>9.0999999999999908</c:v>
                </c:pt>
                <c:pt idx="89">
                  <c:v>9.1999999999999904</c:v>
                </c:pt>
                <c:pt idx="90">
                  <c:v>9.2999999999999901</c:v>
                </c:pt>
                <c:pt idx="91">
                  <c:v>9.3999999999999897</c:v>
                </c:pt>
                <c:pt idx="92">
                  <c:v>9.4999999999999893</c:v>
                </c:pt>
                <c:pt idx="93">
                  <c:v>9.5999999999999908</c:v>
                </c:pt>
                <c:pt idx="94">
                  <c:v>9.6999999999999904</c:v>
                </c:pt>
                <c:pt idx="95">
                  <c:v>9.7999999999999901</c:v>
                </c:pt>
                <c:pt idx="96">
                  <c:v>9.8999999999999897</c:v>
                </c:pt>
                <c:pt idx="97">
                  <c:v>9.9999999999999893</c:v>
                </c:pt>
                <c:pt idx="98">
                  <c:v>10.1</c:v>
                </c:pt>
                <c:pt idx="99">
                  <c:v>10.199999999999999</c:v>
                </c:pt>
                <c:pt idx="100">
                  <c:v>10.3</c:v>
                </c:pt>
                <c:pt idx="101">
                  <c:v>10.4</c:v>
                </c:pt>
                <c:pt idx="102">
                  <c:v>10.5</c:v>
                </c:pt>
                <c:pt idx="103">
                  <c:v>10.6</c:v>
                </c:pt>
                <c:pt idx="104">
                  <c:v>10.7</c:v>
                </c:pt>
                <c:pt idx="105">
                  <c:v>10.8</c:v>
                </c:pt>
                <c:pt idx="106">
                  <c:v>10.9</c:v>
                </c:pt>
                <c:pt idx="107">
                  <c:v>11</c:v>
                </c:pt>
                <c:pt idx="108">
                  <c:v>11.1</c:v>
                </c:pt>
                <c:pt idx="109">
                  <c:v>11.2</c:v>
                </c:pt>
                <c:pt idx="110">
                  <c:v>11.3</c:v>
                </c:pt>
                <c:pt idx="111">
                  <c:v>11.4</c:v>
                </c:pt>
                <c:pt idx="112">
                  <c:v>11.5</c:v>
                </c:pt>
                <c:pt idx="113">
                  <c:v>11.6</c:v>
                </c:pt>
                <c:pt idx="114">
                  <c:v>11.7</c:v>
                </c:pt>
                <c:pt idx="115">
                  <c:v>11.8</c:v>
                </c:pt>
                <c:pt idx="116">
                  <c:v>11.9</c:v>
                </c:pt>
                <c:pt idx="117">
                  <c:v>12</c:v>
                </c:pt>
                <c:pt idx="118">
                  <c:v>12.1</c:v>
                </c:pt>
                <c:pt idx="119">
                  <c:v>12.2</c:v>
                </c:pt>
                <c:pt idx="120">
                  <c:v>12.3</c:v>
                </c:pt>
                <c:pt idx="121">
                  <c:v>12.4</c:v>
                </c:pt>
                <c:pt idx="122">
                  <c:v>12.5</c:v>
                </c:pt>
                <c:pt idx="123">
                  <c:v>12.6</c:v>
                </c:pt>
                <c:pt idx="124">
                  <c:v>12.7</c:v>
                </c:pt>
                <c:pt idx="125">
                  <c:v>12.8</c:v>
                </c:pt>
                <c:pt idx="126">
                  <c:v>12.9</c:v>
                </c:pt>
                <c:pt idx="127">
                  <c:v>13</c:v>
                </c:pt>
                <c:pt idx="128">
                  <c:v>13.1</c:v>
                </c:pt>
                <c:pt idx="129">
                  <c:v>13.2</c:v>
                </c:pt>
                <c:pt idx="130">
                  <c:v>13.3</c:v>
                </c:pt>
                <c:pt idx="131">
                  <c:v>13.4</c:v>
                </c:pt>
                <c:pt idx="132">
                  <c:v>13.5</c:v>
                </c:pt>
                <c:pt idx="133">
                  <c:v>13.6</c:v>
                </c:pt>
                <c:pt idx="134">
                  <c:v>13.7</c:v>
                </c:pt>
                <c:pt idx="135">
                  <c:v>13.8</c:v>
                </c:pt>
                <c:pt idx="136">
                  <c:v>13.9</c:v>
                </c:pt>
                <c:pt idx="137">
                  <c:v>14</c:v>
                </c:pt>
                <c:pt idx="138">
                  <c:v>14.1</c:v>
                </c:pt>
                <c:pt idx="139">
                  <c:v>14.2</c:v>
                </c:pt>
                <c:pt idx="140">
                  <c:v>14.3</c:v>
                </c:pt>
                <c:pt idx="141">
                  <c:v>14.4</c:v>
                </c:pt>
                <c:pt idx="142">
                  <c:v>14.5</c:v>
                </c:pt>
                <c:pt idx="143">
                  <c:v>14.6</c:v>
                </c:pt>
                <c:pt idx="144">
                  <c:v>14.7</c:v>
                </c:pt>
                <c:pt idx="145">
                  <c:v>14.8</c:v>
                </c:pt>
                <c:pt idx="146">
                  <c:v>14.9</c:v>
                </c:pt>
                <c:pt idx="147">
                  <c:v>15</c:v>
                </c:pt>
              </c:numCache>
            </c:numRef>
          </c:cat>
          <c:val>
            <c:numRef>
              <c:f>'S25 Space Coefficient'!$B$2:$B$149</c:f>
              <c:numCache>
                <c:formatCode>0.00</c:formatCode>
                <c:ptCount val="148"/>
                <c:pt idx="0">
                  <c:v>13.175674306073333</c:v>
                </c:pt>
                <c:pt idx="1">
                  <c:v>12.583089166764376</c:v>
                </c:pt>
                <c:pt idx="2">
                  <c:v>12.025013499434122</c:v>
                </c:pt>
                <c:pt idx="3">
                  <c:v>11.499437628886124</c:v>
                </c:pt>
                <c:pt idx="4">
                  <c:v>11.004468914296353</c:v>
                </c:pt>
                <c:pt idx="5">
                  <c:v>10.538324933661922</c:v>
                </c:pt>
                <c:pt idx="6">
                  <c:v>10.099327065156633</c:v>
                </c:pt>
                <c:pt idx="7">
                  <c:v>9.6858944422792685</c:v>
                </c:pt>
                <c:pt idx="8">
                  <c:v>9.2965382610266563</c:v>
                </c:pt>
                <c:pt idx="9">
                  <c:v>8.9298564185911466</c:v>
                </c:pt>
                <c:pt idx="10">
                  <c:v>8.5845284642760546</c:v>
                </c:pt>
                <c:pt idx="11">
                  <c:v>8.2593108444468992</c:v>
                </c:pt>
                <c:pt idx="12">
                  <c:v>7.9530324243951149</c:v>
                </c:pt>
                <c:pt idx="13">
                  <c:v>7.6645902709881257</c:v>
                </c:pt>
                <c:pt idx="14">
                  <c:v>7.392945680918757</c:v>
                </c:pt>
                <c:pt idx="15">
                  <c:v>7.1371204402513921</c:v>
                </c:pt>
                <c:pt idx="16">
                  <c:v>6.8961933017952148</c:v>
                </c:pt>
                <c:pt idx="17">
                  <c:v>6.6692966676192444</c:v>
                </c:pt>
                <c:pt idx="18">
                  <c:v>6.4556134647626759</c:v>
                </c:pt>
                <c:pt idx="19">
                  <c:v>6.2543742028896707</c:v>
                </c:pt>
                <c:pt idx="20">
                  <c:v>6.0648542032930024</c:v>
                </c:pt>
                <c:pt idx="21">
                  <c:v>5.8863709892679585</c:v>
                </c:pt>
                <c:pt idx="22">
                  <c:v>5.7182818284590446</c:v>
                </c:pt>
                <c:pt idx="23">
                  <c:v>5.5599814183292713</c:v>
                </c:pt>
                <c:pt idx="24">
                  <c:v>5.4108997064172097</c:v>
                </c:pt>
                <c:pt idx="25">
                  <c:v>5.2704998375324061</c:v>
                </c:pt>
                <c:pt idx="26">
                  <c:v>5.1382762204968184</c:v>
                </c:pt>
                <c:pt idx="27">
                  <c:v>5.0137527074704771</c:v>
                </c:pt>
                <c:pt idx="28">
                  <c:v>4.8964808793049519</c:v>
                </c:pt>
                <c:pt idx="29">
                  <c:v>4.7860384307500734</c:v>
                </c:pt>
                <c:pt idx="30">
                  <c:v>4.6820276496988864</c:v>
                </c:pt>
                <c:pt idx="31">
                  <c:v>4.5840739849944816</c:v>
                </c:pt>
                <c:pt idx="32">
                  <c:v>4.4918246976412703</c:v>
                </c:pt>
                <c:pt idx="33">
                  <c:v>4.4049475905635935</c:v>
                </c:pt>
                <c:pt idx="34">
                  <c:v>4.3231298123374362</c:v>
                </c:pt>
                <c:pt idx="35">
                  <c:v>4.2460767305873812</c:v>
                </c:pt>
                <c:pt idx="36">
                  <c:v>4.1735108709918105</c:v>
                </c:pt>
                <c:pt idx="37">
                  <c:v>4.1051709180756477</c:v>
                </c:pt>
                <c:pt idx="38">
                  <c:v>4.0408107741923889</c:v>
                </c:pt>
                <c:pt idx="39">
                  <c:v>3.9801986733067554</c:v>
                </c:pt>
                <c:pt idx="40">
                  <c:v>3.9231163463866361</c:v>
                </c:pt>
                <c:pt idx="41">
                  <c:v>3.8693582353988059</c:v>
                </c:pt>
                <c:pt idx="42">
                  <c:v>3.8187307530779822</c:v>
                </c:pt>
                <c:pt idx="43">
                  <c:v>3.7710515858035665</c:v>
                </c:pt>
                <c:pt idx="44">
                  <c:v>3.7261490370736912</c:v>
                </c:pt>
                <c:pt idx="45">
                  <c:v>3.6838614092123558</c:v>
                </c:pt>
                <c:pt idx="46">
                  <c:v>3.6440364210831415</c:v>
                </c:pt>
                <c:pt idx="47">
                  <c:v>3.6065306597126332</c:v>
                </c:pt>
                <c:pt idx="48">
                  <c:v>3.5712090638488152</c:v>
                </c:pt>
                <c:pt idx="49">
                  <c:v>3.5379444375946747</c:v>
                </c:pt>
                <c:pt idx="50">
                  <c:v>3.5066169923655899</c:v>
                </c:pt>
                <c:pt idx="51">
                  <c:v>3.4771139155210342</c:v>
                </c:pt>
                <c:pt idx="52">
                  <c:v>3.4493289641172242</c:v>
                </c:pt>
                <c:pt idx="53">
                  <c:v>3.4231620823177513</c:v>
                </c:pt>
                <c:pt idx="54">
                  <c:v>3.3985190410845143</c:v>
                </c:pt>
                <c:pt idx="55">
                  <c:v>3.3753110988514017</c:v>
                </c:pt>
                <c:pt idx="56">
                  <c:v>3.3534546819587825</c:v>
                </c:pt>
                <c:pt idx="57">
                  <c:v>3.3328710836980817</c:v>
                </c:pt>
                <c:pt idx="58">
                  <c:v>3.3134861808826073</c:v>
                </c:pt>
                <c:pt idx="59">
                  <c:v>3.295230166924016</c:v>
                </c:pt>
                <c:pt idx="60">
                  <c:v>3.278037300453196</c:v>
                </c:pt>
                <c:pt idx="61">
                  <c:v>3.2618456685803277</c:v>
                </c:pt>
                <c:pt idx="62">
                  <c:v>3.2465969639416081</c:v>
                </c:pt>
                <c:pt idx="63">
                  <c:v>3.2322362747297602</c:v>
                </c:pt>
                <c:pt idx="64">
                  <c:v>3.218711886952216</c:v>
                </c:pt>
                <c:pt idx="65">
                  <c:v>3.2059750982048847</c:v>
                </c:pt>
                <c:pt idx="66">
                  <c:v>3.1939800422908933</c:v>
                </c:pt>
                <c:pt idx="67">
                  <c:v>3.1826835240527358</c:v>
                </c:pt>
                <c:pt idx="68">
                  <c:v>3.1720448638230518</c:v>
                </c:pt>
                <c:pt idx="69">
                  <c:v>3.1620257509338816</c:v>
                </c:pt>
                <c:pt idx="70">
                  <c:v>3.152590105756885</c:v>
                </c:pt>
                <c:pt idx="71">
                  <c:v>3.143703949777704</c:v>
                </c:pt>
                <c:pt idx="72">
                  <c:v>3.1353352832366137</c:v>
                </c:pt>
                <c:pt idx="73">
                  <c:v>3.1274539698948214</c:v>
                </c:pt>
                <c:pt idx="74">
                  <c:v>3.1200316285114575</c:v>
                </c:pt>
                <c:pt idx="75">
                  <c:v>3.1130415306404506</c:v>
                </c:pt>
                <c:pt idx="76">
                  <c:v>3.1064585043792534</c:v>
                </c:pt>
                <c:pt idx="77">
                  <c:v>3.1002588437228042</c:v>
                </c:pt>
                <c:pt idx="78">
                  <c:v>3.0944202231963027</c:v>
                </c:pt>
                <c:pt idx="79">
                  <c:v>3.0889216174593868</c:v>
                </c:pt>
                <c:pt idx="80">
                  <c:v>3.0837432255921966</c:v>
                </c:pt>
                <c:pt idx="81">
                  <c:v>3.0788663997906753</c:v>
                </c:pt>
                <c:pt idx="82">
                  <c:v>3.0742735782143344</c:v>
                </c:pt>
                <c:pt idx="83">
                  <c:v>3.0699482217446556</c:v>
                </c:pt>
                <c:pt idx="84">
                  <c:v>3.0658747544264031</c:v>
                </c:pt>
                <c:pt idx="85">
                  <c:v>3.0620385073773586</c:v>
                </c:pt>
                <c:pt idx="86">
                  <c:v>3.0584256659645011</c:v>
                </c:pt>
                <c:pt idx="87">
                  <c:v>3.0550232200564076</c:v>
                </c:pt>
                <c:pt idx="88">
                  <c:v>3.0518189171727261</c:v>
                </c:pt>
                <c:pt idx="89">
                  <c:v>3.0488012183620135</c:v>
                </c:pt>
                <c:pt idx="90">
                  <c:v>3.0459592566490445</c:v>
                </c:pt>
                <c:pt idx="91">
                  <c:v>3.0432827979019663</c:v>
                </c:pt>
                <c:pt idx="92">
                  <c:v>3.0407622039783666</c:v>
                </c:pt>
                <c:pt idx="93">
                  <c:v>3.0383883980175521</c:v>
                </c:pt>
                <c:pt idx="94">
                  <c:v>3.0361528317540465</c:v>
                </c:pt>
                <c:pt idx="95">
                  <c:v>3.0340474547345995</c:v>
                </c:pt>
                <c:pt idx="96">
                  <c:v>3.0320646853278608</c:v>
                </c:pt>
                <c:pt idx="97">
                  <c:v>3.0301973834223186</c:v>
                </c:pt>
                <c:pt idx="98">
                  <c:v>3.0284388247141845</c:v>
                </c:pt>
                <c:pt idx="99">
                  <c:v>3.0267826764926382</c:v>
                </c:pt>
                <c:pt idx="100">
                  <c:v>3.0252229748352271</c:v>
                </c:pt>
                <c:pt idx="101">
                  <c:v>3.0237541031313051</c:v>
                </c:pt>
                <c:pt idx="102">
                  <c:v>3.0223707718561656</c:v>
                </c:pt>
                <c:pt idx="103">
                  <c:v>3.0210679995230416</c:v>
                </c:pt>
                <c:pt idx="104">
                  <c:v>3.0198410947443701</c:v>
                </c:pt>
                <c:pt idx="105">
                  <c:v>3.0186856393377326</c:v>
                </c:pt>
                <c:pt idx="106">
                  <c:v>3.0175974724156234</c:v>
                </c:pt>
                <c:pt idx="107">
                  <c:v>3.0165726754017612</c:v>
                </c:pt>
                <c:pt idx="108">
                  <c:v>3.0156075579199828</c:v>
                </c:pt>
                <c:pt idx="109">
                  <c:v>3.014698644504902</c:v>
                </c:pt>
                <c:pt idx="110">
                  <c:v>3.0138426620864793</c:v>
                </c:pt>
                <c:pt idx="111">
                  <c:v>3.0130365282034379</c:v>
                </c:pt>
                <c:pt idx="112">
                  <c:v>3.0122773399030685</c:v>
                </c:pt>
                <c:pt idx="113">
                  <c:v>3.0115623632874686</c:v>
                </c:pt>
                <c:pt idx="114">
                  <c:v>3.0108890236685544</c:v>
                </c:pt>
                <c:pt idx="115">
                  <c:v>3.010254896296404</c:v>
                </c:pt>
                <c:pt idx="116">
                  <c:v>3.0096576976275378</c:v>
                </c:pt>
                <c:pt idx="117">
                  <c:v>3.0090952771016957</c:v>
                </c:pt>
                <c:pt idx="118">
                  <c:v>3.0085656093974982</c:v>
                </c:pt>
                <c:pt idx="119">
                  <c:v>3.0080667871390996</c:v>
                </c:pt>
                <c:pt idx="120">
                  <c:v>3.0075970140275774</c:v>
                </c:pt>
                <c:pt idx="121">
                  <c:v>3.0071545983723147</c:v>
                </c:pt>
                <c:pt idx="122">
                  <c:v>3.0067379469990856</c:v>
                </c:pt>
                <c:pt idx="123">
                  <c:v>3.0063455595129089</c:v>
                </c:pt>
                <c:pt idx="124">
                  <c:v>3.0059760228950059</c:v>
                </c:pt>
                <c:pt idx="125">
                  <c:v>3.0056280064144039</c:v>
                </c:pt>
                <c:pt idx="126">
                  <c:v>3.0053002568358704</c:v>
                </c:pt>
                <c:pt idx="127">
                  <c:v>3.0049915939069103</c:v>
                </c:pt>
                <c:pt idx="128">
                  <c:v>3.0047009061075833</c:v>
                </c:pt>
                <c:pt idx="129">
                  <c:v>3.0044271466478314</c:v>
                </c:pt>
                <c:pt idx="130">
                  <c:v>3.0041693296979042</c:v>
                </c:pt>
                <c:pt idx="131">
                  <c:v>3.0039265268383057</c:v>
                </c:pt>
                <c:pt idx="132">
                  <c:v>3.0036978637164831</c:v>
                </c:pt>
                <c:pt idx="133">
                  <c:v>3.0034825168982118</c:v>
                </c:pt>
                <c:pt idx="134">
                  <c:v>3.0032797109023437</c:v>
                </c:pt>
                <c:pt idx="135">
                  <c:v>3.0030887154082366</c:v>
                </c:pt>
                <c:pt idx="136">
                  <c:v>3.0029088426258124</c:v>
                </c:pt>
                <c:pt idx="137">
                  <c:v>3.0027394448187685</c:v>
                </c:pt>
                <c:pt idx="138">
                  <c:v>3.0025799119720271</c:v>
                </c:pt>
                <c:pt idx="139">
                  <c:v>3.0024296695950246</c:v>
                </c:pt>
                <c:pt idx="140">
                  <c:v>3.0022881766529221</c:v>
                </c:pt>
                <c:pt idx="141">
                  <c:v>3.0021549236182978</c:v>
                </c:pt>
                <c:pt idx="142">
                  <c:v>3.0020294306362958</c:v>
                </c:pt>
                <c:pt idx="143">
                  <c:v>3.0019112457966326</c:v>
                </c:pt>
                <c:pt idx="144">
                  <c:v>3.0017999435062306</c:v>
                </c:pt>
                <c:pt idx="145">
                  <c:v>3.0016951229566233</c:v>
                </c:pt>
                <c:pt idx="146">
                  <c:v>3.0015964066806124</c:v>
                </c:pt>
                <c:pt idx="147">
                  <c:v>3.0015034391929776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9-CE4C-9885-6BC182D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521999"/>
        <c:axId val="1175910207"/>
      </c:lineChart>
      <c:catAx>
        <c:axId val="133652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Projected Machine Footprint in 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75910207"/>
        <c:crosses val="autoZero"/>
        <c:auto val="1"/>
        <c:lblAlgn val="ctr"/>
        <c:lblOffset val="100"/>
        <c:noMultiLvlLbl val="0"/>
      </c:catAx>
      <c:valAx>
        <c:axId val="117591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Space Coefficient (dimensionless)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3652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651934</xdr:colOff>
      <xdr:row>0</xdr:row>
      <xdr:rowOff>215899</xdr:rowOff>
    </xdr:from>
    <xdr:to>
      <xdr:col>14</xdr:col>
      <xdr:colOff>609600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770466</xdr:colOff>
      <xdr:row>8</xdr:row>
      <xdr:rowOff>38099</xdr:rowOff>
    </xdr:from>
    <xdr:to>
      <xdr:col>5</xdr:col>
      <xdr:colOff>457199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8</xdr:row>
      <xdr:rowOff>12700</xdr:rowOff>
    </xdr:from>
    <xdr:to>
      <xdr:col>17</xdr:col>
      <xdr:colOff>812800</xdr:colOff>
      <xdr:row>42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3</xdr:row>
          <xdr:rowOff>88900</xdr:rowOff>
        </xdr:from>
        <xdr:to>
          <xdr:col>56</xdr:col>
          <xdr:colOff>685800</xdr:colOff>
          <xdr:row>5</xdr:row>
          <xdr:rowOff>63500</xdr:rowOff>
        </xdr:to>
        <xdr:sp macro="" textlink="">
          <xdr:nvSpPr>
            <xdr:cNvPr id="75777" name="Button 1" descr="Fill Out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A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Fill out matrices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508000</xdr:colOff>
      <xdr:row>59</xdr:row>
      <xdr:rowOff>0</xdr:rowOff>
    </xdr:from>
    <xdr:to>
      <xdr:col>41</xdr:col>
      <xdr:colOff>479000</xdr:colOff>
      <xdr:row>68</xdr:row>
      <xdr:rowOff>47200</xdr:rowOff>
    </xdr:to>
    <xdr:sp macro="" textlink="">
      <xdr:nvSpPr>
        <xdr:cNvPr id="97446" name="Inv">
          <a:extLst>
            <a:ext uri="{FF2B5EF4-FFF2-40B4-BE49-F238E27FC236}">
              <a16:creationId xmlns:a16="http://schemas.microsoft.com/office/drawing/2014/main" id="{00000000-0008-0000-1E00-0000A67C0100}"/>
            </a:ext>
          </a:extLst>
        </xdr:cNvPr>
        <xdr:cNvSpPr/>
      </xdr:nvSpPr>
      <xdr:spPr>
        <a:xfrm>
          <a:off x="32842200" y="12319000"/>
          <a:ext cx="1622000" cy="1876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Inv</a:t>
          </a:r>
        </a:p>
      </xdr:txBody>
    </xdr:sp>
    <xdr:clientData/>
  </xdr:twoCellAnchor>
  <xdr:twoCellAnchor>
    <xdr:from>
      <xdr:col>35</xdr:col>
      <xdr:colOff>469900</xdr:colOff>
      <xdr:row>59</xdr:row>
      <xdr:rowOff>0</xdr:rowOff>
    </xdr:from>
    <xdr:to>
      <xdr:col>37</xdr:col>
      <xdr:colOff>512899</xdr:colOff>
      <xdr:row>110</xdr:row>
      <xdr:rowOff>152400</xdr:rowOff>
    </xdr:to>
    <xdr:sp macro="" textlink="">
      <xdr:nvSpPr>
        <xdr:cNvPr id="97444" name="Temp">
          <a:extLst>
            <a:ext uri="{FF2B5EF4-FFF2-40B4-BE49-F238E27FC236}">
              <a16:creationId xmlns:a16="http://schemas.microsoft.com/office/drawing/2014/main" id="{00000000-0008-0000-1E00-0000A47C0100}"/>
            </a:ext>
          </a:extLst>
        </xdr:cNvPr>
        <xdr:cNvSpPr/>
      </xdr:nvSpPr>
      <xdr:spPr>
        <a:xfrm>
          <a:off x="29933900" y="12471400"/>
          <a:ext cx="1719399" cy="105156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Temp</a:t>
          </a:r>
        </a:p>
      </xdr:txBody>
    </xdr:sp>
    <xdr:clientData/>
  </xdr:twoCellAnchor>
  <xdr:twoCellAnchor>
    <xdr:from>
      <xdr:col>29</xdr:col>
      <xdr:colOff>63500</xdr:colOff>
      <xdr:row>59</xdr:row>
      <xdr:rowOff>0</xdr:rowOff>
    </xdr:from>
    <xdr:to>
      <xdr:col>33</xdr:col>
      <xdr:colOff>471500</xdr:colOff>
      <xdr:row>109</xdr:row>
      <xdr:rowOff>154000</xdr:rowOff>
    </xdr:to>
    <xdr:sp macro="" textlink="">
      <xdr:nvSpPr>
        <xdr:cNvPr id="97442" name="Sawing">
          <a:extLst>
            <a:ext uri="{FF2B5EF4-FFF2-40B4-BE49-F238E27FC236}">
              <a16:creationId xmlns:a16="http://schemas.microsoft.com/office/drawing/2014/main" id="{00000000-0008-0000-1E00-0000A27C0100}"/>
            </a:ext>
          </a:extLst>
        </xdr:cNvPr>
        <xdr:cNvSpPr/>
      </xdr:nvSpPr>
      <xdr:spPr>
        <a:xfrm>
          <a:off x="24142700" y="12319000"/>
          <a:ext cx="3710000" cy="10314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Sawing</a:t>
          </a:r>
        </a:p>
      </xdr:txBody>
    </xdr:sp>
    <xdr:clientData/>
  </xdr:twoCellAnchor>
  <xdr:twoCellAnchor>
    <xdr:from>
      <xdr:col>24</xdr:col>
      <xdr:colOff>419100</xdr:colOff>
      <xdr:row>59</xdr:row>
      <xdr:rowOff>0</xdr:rowOff>
    </xdr:from>
    <xdr:to>
      <xdr:col>27</xdr:col>
      <xdr:colOff>68600</xdr:colOff>
      <xdr:row>86</xdr:row>
      <xdr:rowOff>68600</xdr:rowOff>
    </xdr:to>
    <xdr:sp macro="" textlink="">
      <xdr:nvSpPr>
        <xdr:cNvPr id="97438" name="Grinding">
          <a:extLst>
            <a:ext uri="{FF2B5EF4-FFF2-40B4-BE49-F238E27FC236}">
              <a16:creationId xmlns:a16="http://schemas.microsoft.com/office/drawing/2014/main" id="{00000000-0008-0000-1E00-00009E7C0100}"/>
            </a:ext>
          </a:extLst>
        </xdr:cNvPr>
        <xdr:cNvSpPr/>
      </xdr:nvSpPr>
      <xdr:spPr>
        <a:xfrm>
          <a:off x="20370800" y="12319000"/>
          <a:ext cx="2126000" cy="5555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Grinding</a:t>
          </a:r>
        </a:p>
      </xdr:txBody>
    </xdr:sp>
    <xdr:clientData/>
  </xdr:twoCellAnchor>
  <xdr:twoCellAnchor>
    <xdr:from>
      <xdr:col>19</xdr:col>
      <xdr:colOff>622300</xdr:colOff>
      <xdr:row>59</xdr:row>
      <xdr:rowOff>0</xdr:rowOff>
    </xdr:from>
    <xdr:to>
      <xdr:col>22</xdr:col>
      <xdr:colOff>415801</xdr:colOff>
      <xdr:row>112</xdr:row>
      <xdr:rowOff>127400</xdr:rowOff>
    </xdr:to>
    <xdr:sp macro="" textlink="">
      <xdr:nvSpPr>
        <xdr:cNvPr id="97435" name="Drilling">
          <a:extLst>
            <a:ext uri="{FF2B5EF4-FFF2-40B4-BE49-F238E27FC236}">
              <a16:creationId xmlns:a16="http://schemas.microsoft.com/office/drawing/2014/main" id="{00000000-0008-0000-1E00-00009B7C0100}"/>
            </a:ext>
          </a:extLst>
        </xdr:cNvPr>
        <xdr:cNvSpPr/>
      </xdr:nvSpPr>
      <xdr:spPr>
        <a:xfrm>
          <a:off x="16446500" y="12319000"/>
          <a:ext cx="2270001" cy="10897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Drilling</a:t>
          </a:r>
        </a:p>
      </xdr:txBody>
    </xdr:sp>
    <xdr:clientData/>
  </xdr:twoCellAnchor>
  <xdr:twoCellAnchor>
    <xdr:from>
      <xdr:col>14</xdr:col>
      <xdr:colOff>469900</xdr:colOff>
      <xdr:row>59</xdr:row>
      <xdr:rowOff>0</xdr:rowOff>
    </xdr:from>
    <xdr:to>
      <xdr:col>17</xdr:col>
      <xdr:colOff>623401</xdr:colOff>
      <xdr:row>180</xdr:row>
      <xdr:rowOff>89799</xdr:rowOff>
    </xdr:to>
    <xdr:sp macro="" textlink="">
      <xdr:nvSpPr>
        <xdr:cNvPr id="97430" name="Milling">
          <a:extLst>
            <a:ext uri="{FF2B5EF4-FFF2-40B4-BE49-F238E27FC236}">
              <a16:creationId xmlns:a16="http://schemas.microsoft.com/office/drawing/2014/main" id="{00000000-0008-0000-1E00-0000967C0100}"/>
            </a:ext>
          </a:extLst>
        </xdr:cNvPr>
        <xdr:cNvSpPr/>
      </xdr:nvSpPr>
      <xdr:spPr>
        <a:xfrm>
          <a:off x="12166600" y="12319000"/>
          <a:ext cx="2630001" cy="24676999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Milling</a:t>
          </a:r>
        </a:p>
      </xdr:txBody>
    </xdr:sp>
    <xdr:clientData/>
  </xdr:twoCellAnchor>
  <xdr:twoCellAnchor>
    <xdr:from>
      <xdr:col>10</xdr:col>
      <xdr:colOff>0</xdr:colOff>
      <xdr:row>59</xdr:row>
      <xdr:rowOff>0</xdr:rowOff>
    </xdr:from>
    <xdr:to>
      <xdr:col>12</xdr:col>
      <xdr:colOff>475000</xdr:colOff>
      <xdr:row>101</xdr:row>
      <xdr:rowOff>195600</xdr:rowOff>
    </xdr:to>
    <xdr:sp macro="" textlink="">
      <xdr:nvSpPr>
        <xdr:cNvPr id="97421" name="Turning">
          <a:extLst>
            <a:ext uri="{FF2B5EF4-FFF2-40B4-BE49-F238E27FC236}">
              <a16:creationId xmlns:a16="http://schemas.microsoft.com/office/drawing/2014/main" id="{00000000-0008-0000-1E00-00008D7C0100}"/>
            </a:ext>
          </a:extLst>
        </xdr:cNvPr>
        <xdr:cNvSpPr/>
      </xdr:nvSpPr>
      <xdr:spPr>
        <a:xfrm>
          <a:off x="8394700" y="12319000"/>
          <a:ext cx="2126000" cy="8730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Turning</a:t>
          </a:r>
        </a:p>
      </xdr:txBody>
    </xdr:sp>
    <xdr:clientData/>
  </xdr:twoCellAnchor>
  <xdr:twoCellAnchor>
    <xdr:from>
      <xdr:col>5</xdr:col>
      <xdr:colOff>787400</xdr:colOff>
      <xdr:row>59</xdr:row>
      <xdr:rowOff>0</xdr:rowOff>
    </xdr:from>
    <xdr:to>
      <xdr:col>8</xdr:col>
      <xdr:colOff>4900</xdr:colOff>
      <xdr:row>99</xdr:row>
      <xdr:rowOff>170000</xdr:rowOff>
    </xdr:to>
    <xdr:sp macro="" textlink="">
      <xdr:nvSpPr>
        <xdr:cNvPr id="97417" name="Sawing">
          <a:extLst>
            <a:ext uri="{FF2B5EF4-FFF2-40B4-BE49-F238E27FC236}">
              <a16:creationId xmlns:a16="http://schemas.microsoft.com/office/drawing/2014/main" id="{00000000-0008-0000-1E00-0000897C0100}"/>
            </a:ext>
          </a:extLst>
        </xdr:cNvPr>
        <xdr:cNvSpPr/>
      </xdr:nvSpPr>
      <xdr:spPr>
        <a:xfrm>
          <a:off x="5054600" y="12319000"/>
          <a:ext cx="1694000" cy="8298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Sawing</a:t>
          </a:r>
        </a:p>
      </xdr:txBody>
    </xdr:sp>
    <xdr:clientData/>
  </xdr:twoCellAnchor>
  <xdr:twoCellAnchor>
    <xdr:from>
      <xdr:col>1</xdr:col>
      <xdr:colOff>812800</xdr:colOff>
      <xdr:row>59</xdr:row>
      <xdr:rowOff>0</xdr:rowOff>
    </xdr:from>
    <xdr:to>
      <xdr:col>3</xdr:col>
      <xdr:colOff>783800</xdr:colOff>
      <xdr:row>68</xdr:row>
      <xdr:rowOff>47200</xdr:rowOff>
    </xdr:to>
    <xdr:sp macro="" textlink="">
      <xdr:nvSpPr>
        <xdr:cNvPr id="97413" name="Inv">
          <a:extLst>
            <a:ext uri="{FF2B5EF4-FFF2-40B4-BE49-F238E27FC236}">
              <a16:creationId xmlns:a16="http://schemas.microsoft.com/office/drawing/2014/main" id="{00000000-0008-0000-1E00-0000857C0100}"/>
            </a:ext>
          </a:extLst>
        </xdr:cNvPr>
        <xdr:cNvSpPr/>
      </xdr:nvSpPr>
      <xdr:spPr>
        <a:xfrm>
          <a:off x="1778000" y="12319000"/>
          <a:ext cx="1622000" cy="1876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Inv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330200</xdr:colOff>
          <xdr:row>7</xdr:row>
          <xdr:rowOff>12700</xdr:rowOff>
        </xdr:from>
        <xdr:to>
          <xdr:col>90</xdr:col>
          <xdr:colOff>203200</xdr:colOff>
          <xdr:row>8</xdr:row>
          <xdr:rowOff>190500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1E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406400</xdr:colOff>
          <xdr:row>3</xdr:row>
          <xdr:rowOff>165100</xdr:rowOff>
        </xdr:from>
        <xdr:to>
          <xdr:col>90</xdr:col>
          <xdr:colOff>279400</xdr:colOff>
          <xdr:row>5</xdr:row>
          <xdr:rowOff>88900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1E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656800</xdr:colOff>
      <xdr:row>63</xdr:row>
      <xdr:rowOff>108201</xdr:rowOff>
    </xdr:from>
    <xdr:to>
      <xdr:col>6</xdr:col>
      <xdr:colOff>88900</xdr:colOff>
      <xdr:row>64</xdr:row>
      <xdr:rowOff>49000</xdr:rowOff>
    </xdr:to>
    <xdr:cxnSp macro="">
      <xdr:nvCxnSpPr>
        <xdr:cNvPr id="97447" name="Curved Connector 97446">
          <a:extLst>
            <a:ext uri="{FF2B5EF4-FFF2-40B4-BE49-F238E27FC236}">
              <a16:creationId xmlns:a16="http://schemas.microsoft.com/office/drawing/2014/main" id="{00000000-0008-0000-1E00-0000A77C0100}"/>
            </a:ext>
          </a:extLst>
        </xdr:cNvPr>
        <xdr:cNvCxnSpPr>
          <a:stCxn id="97412" idx="3"/>
          <a:endCxn id="97414" idx="1"/>
        </xdr:cNvCxnSpPr>
      </xdr:nvCxnSpPr>
      <xdr:spPr>
        <a:xfrm flipV="1">
          <a:off x="3273000" y="13240001"/>
          <a:ext cx="1908600" cy="143999"/>
        </a:xfrm>
        <a:prstGeom prst="curvedConnector3">
          <a:avLst>
            <a:gd name="adj1" fmla="val 50000"/>
          </a:avLst>
        </a:prstGeom>
        <a:ln w="27051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656800</xdr:colOff>
      <xdr:row>64</xdr:row>
      <xdr:rowOff>49000</xdr:rowOff>
    </xdr:from>
    <xdr:to>
      <xdr:col>6</xdr:col>
      <xdr:colOff>292100</xdr:colOff>
      <xdr:row>93</xdr:row>
      <xdr:rowOff>15000</xdr:rowOff>
    </xdr:to>
    <xdr:cxnSp macro="">
      <xdr:nvCxnSpPr>
        <xdr:cNvPr id="97448" name="Curved Connector 97447">
          <a:extLst>
            <a:ext uri="{FF2B5EF4-FFF2-40B4-BE49-F238E27FC236}">
              <a16:creationId xmlns:a16="http://schemas.microsoft.com/office/drawing/2014/main" id="{00000000-0008-0000-1E00-0000A87C0100}"/>
            </a:ext>
          </a:extLst>
        </xdr:cNvPr>
        <xdr:cNvCxnSpPr>
          <a:stCxn id="97412" idx="3"/>
          <a:endCxn id="97415" idx="1"/>
        </xdr:cNvCxnSpPr>
      </xdr:nvCxnSpPr>
      <xdr:spPr>
        <a:xfrm>
          <a:off x="3298400" y="13536400"/>
          <a:ext cx="2149900" cy="5858800"/>
        </a:xfrm>
        <a:prstGeom prst="curvedConnector3">
          <a:avLst>
            <a:gd name="adj1" fmla="val 50000"/>
          </a:avLst>
        </a:prstGeom>
        <a:ln w="11303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656800</xdr:colOff>
      <xdr:row>64</xdr:row>
      <xdr:rowOff>49000</xdr:rowOff>
    </xdr:from>
    <xdr:to>
      <xdr:col>5</xdr:col>
      <xdr:colOff>825500</xdr:colOff>
      <xdr:row>80</xdr:row>
      <xdr:rowOff>59600</xdr:rowOff>
    </xdr:to>
    <xdr:cxnSp macro="">
      <xdr:nvCxnSpPr>
        <xdr:cNvPr id="97449" name="Curved Connector 97448">
          <a:extLst>
            <a:ext uri="{FF2B5EF4-FFF2-40B4-BE49-F238E27FC236}">
              <a16:creationId xmlns:a16="http://schemas.microsoft.com/office/drawing/2014/main" id="{00000000-0008-0000-1E00-0000A97C0100}"/>
            </a:ext>
          </a:extLst>
        </xdr:cNvPr>
        <xdr:cNvCxnSpPr>
          <a:stCxn id="97412" idx="3"/>
          <a:endCxn id="97416" idx="1"/>
        </xdr:cNvCxnSpPr>
      </xdr:nvCxnSpPr>
      <xdr:spPr>
        <a:xfrm>
          <a:off x="3298400" y="13536400"/>
          <a:ext cx="1845100" cy="3261800"/>
        </a:xfrm>
        <a:prstGeom prst="curvedConnector3">
          <a:avLst>
            <a:gd name="adj1" fmla="val 50000"/>
          </a:avLst>
        </a:prstGeom>
        <a:ln w="36830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343400</xdr:colOff>
      <xdr:row>63</xdr:row>
      <xdr:rowOff>108201</xdr:rowOff>
    </xdr:from>
    <xdr:to>
      <xdr:col>14</xdr:col>
      <xdr:colOff>546100</xdr:colOff>
      <xdr:row>65</xdr:row>
      <xdr:rowOff>197401</xdr:rowOff>
    </xdr:to>
    <xdr:cxnSp macro="">
      <xdr:nvCxnSpPr>
        <xdr:cNvPr id="97450" name="Curved Connector 97449">
          <a:extLst>
            <a:ext uri="{FF2B5EF4-FFF2-40B4-BE49-F238E27FC236}">
              <a16:creationId xmlns:a16="http://schemas.microsoft.com/office/drawing/2014/main" id="{00000000-0008-0000-1E00-0000AA7C0100}"/>
            </a:ext>
          </a:extLst>
        </xdr:cNvPr>
        <xdr:cNvCxnSpPr>
          <a:stCxn id="97414" idx="3"/>
          <a:endCxn id="97423" idx="1"/>
        </xdr:cNvCxnSpPr>
      </xdr:nvCxnSpPr>
      <xdr:spPr>
        <a:xfrm>
          <a:off x="6337800" y="13392401"/>
          <a:ext cx="6070100" cy="495600"/>
        </a:xfrm>
        <a:prstGeom prst="curvedConnector3">
          <a:avLst>
            <a:gd name="adj1" fmla="val 50000"/>
          </a:avLst>
        </a:prstGeom>
        <a:ln w="27051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258600</xdr:colOff>
      <xdr:row>74</xdr:row>
      <xdr:rowOff>47000</xdr:rowOff>
    </xdr:from>
    <xdr:to>
      <xdr:col>10</xdr:col>
      <xdr:colOff>228600</xdr:colOff>
      <xdr:row>93</xdr:row>
      <xdr:rowOff>15000</xdr:rowOff>
    </xdr:to>
    <xdr:cxnSp macro="">
      <xdr:nvCxnSpPr>
        <xdr:cNvPr id="97451" name="Curved Connector 97450">
          <a:extLst>
            <a:ext uri="{FF2B5EF4-FFF2-40B4-BE49-F238E27FC236}">
              <a16:creationId xmlns:a16="http://schemas.microsoft.com/office/drawing/2014/main" id="{00000000-0008-0000-1E00-0000AB7C0100}"/>
            </a:ext>
          </a:extLst>
        </xdr:cNvPr>
        <xdr:cNvCxnSpPr>
          <a:stCxn id="97415" idx="3"/>
          <a:endCxn id="97420" idx="1"/>
        </xdr:cNvCxnSpPr>
      </xdr:nvCxnSpPr>
      <xdr:spPr>
        <a:xfrm flipV="1">
          <a:off x="6253000" y="15566400"/>
          <a:ext cx="2484600" cy="3828800"/>
        </a:xfrm>
        <a:prstGeom prst="curvedConnector3">
          <a:avLst>
            <a:gd name="adj1" fmla="val 50000"/>
          </a:avLst>
        </a:prstGeom>
        <a:ln w="11303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601800</xdr:colOff>
      <xdr:row>80</xdr:row>
      <xdr:rowOff>59600</xdr:rowOff>
    </xdr:from>
    <xdr:to>
      <xdr:col>10</xdr:col>
      <xdr:colOff>381000</xdr:colOff>
      <xdr:row>90</xdr:row>
      <xdr:rowOff>167600</xdr:rowOff>
    </xdr:to>
    <xdr:cxnSp macro="">
      <xdr:nvCxnSpPr>
        <xdr:cNvPr id="97452" name="Curved Connector 97451">
          <a:extLst>
            <a:ext uri="{FF2B5EF4-FFF2-40B4-BE49-F238E27FC236}">
              <a16:creationId xmlns:a16="http://schemas.microsoft.com/office/drawing/2014/main" id="{00000000-0008-0000-1E00-0000AC7C0100}"/>
            </a:ext>
          </a:extLst>
        </xdr:cNvPr>
        <xdr:cNvCxnSpPr>
          <a:stCxn id="97416" idx="3"/>
          <a:endCxn id="97418" idx="1"/>
        </xdr:cNvCxnSpPr>
      </xdr:nvCxnSpPr>
      <xdr:spPr>
        <a:xfrm>
          <a:off x="6596200" y="16798200"/>
          <a:ext cx="2293800" cy="2140000"/>
        </a:xfrm>
        <a:prstGeom prst="curvedConnector3">
          <a:avLst>
            <a:gd name="adj1" fmla="val 50000"/>
          </a:avLst>
        </a:prstGeom>
        <a:ln w="19177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601800</xdr:colOff>
      <xdr:row>80</xdr:row>
      <xdr:rowOff>59600</xdr:rowOff>
    </xdr:from>
    <xdr:to>
      <xdr:col>10</xdr:col>
      <xdr:colOff>762000</xdr:colOff>
      <xdr:row>81</xdr:row>
      <xdr:rowOff>91200</xdr:rowOff>
    </xdr:to>
    <xdr:cxnSp macro="">
      <xdr:nvCxnSpPr>
        <xdr:cNvPr id="97453" name="Curved Connector 97452">
          <a:extLst>
            <a:ext uri="{FF2B5EF4-FFF2-40B4-BE49-F238E27FC236}">
              <a16:creationId xmlns:a16="http://schemas.microsoft.com/office/drawing/2014/main" id="{00000000-0008-0000-1E00-0000AD7C0100}"/>
            </a:ext>
          </a:extLst>
        </xdr:cNvPr>
        <xdr:cNvCxnSpPr>
          <a:stCxn id="97416" idx="3"/>
          <a:endCxn id="97419" idx="1"/>
        </xdr:cNvCxnSpPr>
      </xdr:nvCxnSpPr>
      <xdr:spPr>
        <a:xfrm>
          <a:off x="6596200" y="16798200"/>
          <a:ext cx="2674800" cy="234800"/>
        </a:xfrm>
        <a:prstGeom prst="curvedConnector3">
          <a:avLst>
            <a:gd name="adj1" fmla="val 50000"/>
          </a:avLst>
        </a:prstGeom>
        <a:ln w="9017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601800</xdr:colOff>
      <xdr:row>74</xdr:row>
      <xdr:rowOff>47000</xdr:rowOff>
    </xdr:from>
    <xdr:to>
      <xdr:col>10</xdr:col>
      <xdr:colOff>228600</xdr:colOff>
      <xdr:row>80</xdr:row>
      <xdr:rowOff>59600</xdr:rowOff>
    </xdr:to>
    <xdr:cxnSp macro="">
      <xdr:nvCxnSpPr>
        <xdr:cNvPr id="97454" name="Curved Connector 97453">
          <a:extLst>
            <a:ext uri="{FF2B5EF4-FFF2-40B4-BE49-F238E27FC236}">
              <a16:creationId xmlns:a16="http://schemas.microsoft.com/office/drawing/2014/main" id="{00000000-0008-0000-1E00-0000AE7C0100}"/>
            </a:ext>
          </a:extLst>
        </xdr:cNvPr>
        <xdr:cNvCxnSpPr>
          <a:stCxn id="97416" idx="3"/>
          <a:endCxn id="97420" idx="1"/>
        </xdr:cNvCxnSpPr>
      </xdr:nvCxnSpPr>
      <xdr:spPr>
        <a:xfrm flipV="1">
          <a:off x="6596200" y="15566400"/>
          <a:ext cx="2141400" cy="1231800"/>
        </a:xfrm>
        <a:prstGeom prst="curvedConnector3">
          <a:avLst>
            <a:gd name="adj1" fmla="val 50000"/>
          </a:avLst>
        </a:prstGeom>
        <a:ln w="8763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386000</xdr:colOff>
      <xdr:row>77</xdr:row>
      <xdr:rowOff>188800</xdr:rowOff>
    </xdr:from>
    <xdr:to>
      <xdr:col>15</xdr:col>
      <xdr:colOff>241300</xdr:colOff>
      <xdr:row>90</xdr:row>
      <xdr:rowOff>167600</xdr:rowOff>
    </xdr:to>
    <xdr:cxnSp macro="">
      <xdr:nvCxnSpPr>
        <xdr:cNvPr id="97455" name="Curved Connector 97454">
          <a:extLst>
            <a:ext uri="{FF2B5EF4-FFF2-40B4-BE49-F238E27FC236}">
              <a16:creationId xmlns:a16="http://schemas.microsoft.com/office/drawing/2014/main" id="{00000000-0008-0000-1E00-0000AF7C0100}"/>
            </a:ext>
          </a:extLst>
        </xdr:cNvPr>
        <xdr:cNvCxnSpPr>
          <a:stCxn id="97418" idx="3"/>
          <a:endCxn id="97425" idx="1"/>
        </xdr:cNvCxnSpPr>
      </xdr:nvCxnSpPr>
      <xdr:spPr>
        <a:xfrm flipV="1">
          <a:off x="10571400" y="16317800"/>
          <a:ext cx="2369900" cy="2620400"/>
        </a:xfrm>
        <a:prstGeom prst="curvedConnector3">
          <a:avLst>
            <a:gd name="adj1" fmla="val 50000"/>
          </a:avLst>
        </a:prstGeom>
        <a:ln w="19177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728500</xdr:colOff>
      <xdr:row>81</xdr:row>
      <xdr:rowOff>91200</xdr:rowOff>
    </xdr:from>
    <xdr:to>
      <xdr:col>15</xdr:col>
      <xdr:colOff>419100</xdr:colOff>
      <xdr:row>103</xdr:row>
      <xdr:rowOff>25600</xdr:rowOff>
    </xdr:to>
    <xdr:cxnSp macro="">
      <xdr:nvCxnSpPr>
        <xdr:cNvPr id="97456" name="Curved Connector 97455">
          <a:extLst>
            <a:ext uri="{FF2B5EF4-FFF2-40B4-BE49-F238E27FC236}">
              <a16:creationId xmlns:a16="http://schemas.microsoft.com/office/drawing/2014/main" id="{00000000-0008-0000-1E00-0000B07C0100}"/>
            </a:ext>
          </a:extLst>
        </xdr:cNvPr>
        <xdr:cNvCxnSpPr>
          <a:stCxn id="97419" idx="3"/>
          <a:endCxn id="97422" idx="1"/>
        </xdr:cNvCxnSpPr>
      </xdr:nvCxnSpPr>
      <xdr:spPr>
        <a:xfrm>
          <a:off x="10075700" y="17033000"/>
          <a:ext cx="3043400" cy="4404800"/>
        </a:xfrm>
        <a:prstGeom prst="curvedConnector3">
          <a:avLst>
            <a:gd name="adj1" fmla="val 50000"/>
          </a:avLst>
        </a:prstGeom>
        <a:ln w="9017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449600</xdr:colOff>
      <xdr:row>74</xdr:row>
      <xdr:rowOff>47000</xdr:rowOff>
    </xdr:from>
    <xdr:to>
      <xdr:col>15</xdr:col>
      <xdr:colOff>317500</xdr:colOff>
      <xdr:row>111</xdr:row>
      <xdr:rowOff>21400</xdr:rowOff>
    </xdr:to>
    <xdr:cxnSp macro="">
      <xdr:nvCxnSpPr>
        <xdr:cNvPr id="97457" name="Curved Connector 97456">
          <a:extLst>
            <a:ext uri="{FF2B5EF4-FFF2-40B4-BE49-F238E27FC236}">
              <a16:creationId xmlns:a16="http://schemas.microsoft.com/office/drawing/2014/main" id="{00000000-0008-0000-1E00-0000B17C0100}"/>
            </a:ext>
          </a:extLst>
        </xdr:cNvPr>
        <xdr:cNvCxnSpPr>
          <a:stCxn id="97420" idx="3"/>
          <a:endCxn id="97424" idx="1"/>
        </xdr:cNvCxnSpPr>
      </xdr:nvCxnSpPr>
      <xdr:spPr>
        <a:xfrm>
          <a:off x="10635000" y="15566400"/>
          <a:ext cx="2382500" cy="7492800"/>
        </a:xfrm>
        <a:prstGeom prst="curvedConnector3">
          <a:avLst>
            <a:gd name="adj1" fmla="val 50000"/>
          </a:avLst>
        </a:prstGeom>
        <a:ln w="8763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449600</xdr:colOff>
      <xdr:row>74</xdr:row>
      <xdr:rowOff>47000</xdr:rowOff>
    </xdr:from>
    <xdr:to>
      <xdr:col>14</xdr:col>
      <xdr:colOff>596900</xdr:colOff>
      <xdr:row>142</xdr:row>
      <xdr:rowOff>146401</xdr:rowOff>
    </xdr:to>
    <xdr:cxnSp macro="">
      <xdr:nvCxnSpPr>
        <xdr:cNvPr id="97458" name="Curved Connector 97457">
          <a:extLst>
            <a:ext uri="{FF2B5EF4-FFF2-40B4-BE49-F238E27FC236}">
              <a16:creationId xmlns:a16="http://schemas.microsoft.com/office/drawing/2014/main" id="{00000000-0008-0000-1E00-0000B27C0100}"/>
            </a:ext>
          </a:extLst>
        </xdr:cNvPr>
        <xdr:cNvCxnSpPr>
          <a:stCxn id="97420" idx="3"/>
          <a:endCxn id="97427" idx="1"/>
        </xdr:cNvCxnSpPr>
      </xdr:nvCxnSpPr>
      <xdr:spPr>
        <a:xfrm>
          <a:off x="10635000" y="15566400"/>
          <a:ext cx="1823700" cy="13917001"/>
        </a:xfrm>
        <a:prstGeom prst="curvedConnector3">
          <a:avLst>
            <a:gd name="adj1" fmla="val 50000"/>
          </a:avLst>
        </a:prstGeom>
        <a:ln w="11303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596900</xdr:colOff>
      <xdr:row>103</xdr:row>
      <xdr:rowOff>25600</xdr:rowOff>
    </xdr:from>
    <xdr:to>
      <xdr:col>16</xdr:col>
      <xdr:colOff>457600</xdr:colOff>
      <xdr:row>157</xdr:row>
      <xdr:rowOff>57400</xdr:rowOff>
    </xdr:to>
    <xdr:cxnSp macro="">
      <xdr:nvCxnSpPr>
        <xdr:cNvPr id="97459" name="Curved Connector 97458">
          <a:extLst>
            <a:ext uri="{FF2B5EF4-FFF2-40B4-BE49-F238E27FC236}">
              <a16:creationId xmlns:a16="http://schemas.microsoft.com/office/drawing/2014/main" id="{00000000-0008-0000-1E00-0000B37C0100}"/>
            </a:ext>
          </a:extLst>
        </xdr:cNvPr>
        <xdr:cNvCxnSpPr>
          <a:stCxn id="97422" idx="3"/>
          <a:endCxn id="97428" idx="1"/>
        </xdr:cNvCxnSpPr>
      </xdr:nvCxnSpPr>
      <xdr:spPr>
        <a:xfrm flipH="1">
          <a:off x="12458700" y="21437800"/>
          <a:ext cx="1537100" cy="11004600"/>
        </a:xfrm>
        <a:prstGeom prst="curvedConnector5">
          <a:avLst>
            <a:gd name="adj1" fmla="val -14872"/>
            <a:gd name="adj2" fmla="val 49509"/>
            <a:gd name="adj3" fmla="val 114872"/>
          </a:avLst>
        </a:prstGeom>
        <a:ln w="901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445601</xdr:colOff>
      <xdr:row>65</xdr:row>
      <xdr:rowOff>169801</xdr:rowOff>
    </xdr:from>
    <xdr:to>
      <xdr:col>19</xdr:col>
      <xdr:colOff>749300</xdr:colOff>
      <xdr:row>65</xdr:row>
      <xdr:rowOff>197401</xdr:rowOff>
    </xdr:to>
    <xdr:cxnSp macro="">
      <xdr:nvCxnSpPr>
        <xdr:cNvPr id="97460" name="Curved Connector 97459">
          <a:extLst>
            <a:ext uri="{FF2B5EF4-FFF2-40B4-BE49-F238E27FC236}">
              <a16:creationId xmlns:a16="http://schemas.microsoft.com/office/drawing/2014/main" id="{00000000-0008-0000-1E00-0000B47C0100}"/>
            </a:ext>
          </a:extLst>
        </xdr:cNvPr>
        <xdr:cNvCxnSpPr>
          <a:stCxn id="97423" idx="3"/>
          <a:endCxn id="97431" idx="1"/>
        </xdr:cNvCxnSpPr>
      </xdr:nvCxnSpPr>
      <xdr:spPr>
        <a:xfrm flipV="1">
          <a:off x="14822001" y="13860401"/>
          <a:ext cx="1980099" cy="27600"/>
        </a:xfrm>
        <a:prstGeom prst="curvedConnector3">
          <a:avLst>
            <a:gd name="adj1" fmla="val 50000"/>
          </a:avLst>
        </a:prstGeom>
        <a:ln w="27051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596900</xdr:colOff>
      <xdr:row>111</xdr:row>
      <xdr:rowOff>21400</xdr:rowOff>
    </xdr:from>
    <xdr:to>
      <xdr:col>16</xdr:col>
      <xdr:colOff>500000</xdr:colOff>
      <xdr:row>127</xdr:row>
      <xdr:rowOff>91401</xdr:rowOff>
    </xdr:to>
    <xdr:cxnSp macro="">
      <xdr:nvCxnSpPr>
        <xdr:cNvPr id="97461" name="Curved Connector 97460">
          <a:extLst>
            <a:ext uri="{FF2B5EF4-FFF2-40B4-BE49-F238E27FC236}">
              <a16:creationId xmlns:a16="http://schemas.microsoft.com/office/drawing/2014/main" id="{00000000-0008-0000-1E00-0000B57C0100}"/>
            </a:ext>
          </a:extLst>
        </xdr:cNvPr>
        <xdr:cNvCxnSpPr>
          <a:stCxn id="97424" idx="3"/>
          <a:endCxn id="97426" idx="1"/>
        </xdr:cNvCxnSpPr>
      </xdr:nvCxnSpPr>
      <xdr:spPr>
        <a:xfrm flipH="1">
          <a:off x="12458700" y="23059200"/>
          <a:ext cx="1579500" cy="3321201"/>
        </a:xfrm>
        <a:prstGeom prst="curvedConnector5">
          <a:avLst>
            <a:gd name="adj1" fmla="val -14473"/>
            <a:gd name="adj2" fmla="val 45122"/>
            <a:gd name="adj3" fmla="val 114473"/>
          </a:avLst>
        </a:prstGeom>
        <a:ln w="876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698500</xdr:colOff>
      <xdr:row>77</xdr:row>
      <xdr:rowOff>188800</xdr:rowOff>
    </xdr:from>
    <xdr:to>
      <xdr:col>17</xdr:col>
      <xdr:colOff>390300</xdr:colOff>
      <xdr:row>94</xdr:row>
      <xdr:rowOff>6800</xdr:rowOff>
    </xdr:to>
    <xdr:cxnSp macro="">
      <xdr:nvCxnSpPr>
        <xdr:cNvPr id="97462" name="Curved Connector 97461">
          <a:extLst>
            <a:ext uri="{FF2B5EF4-FFF2-40B4-BE49-F238E27FC236}">
              <a16:creationId xmlns:a16="http://schemas.microsoft.com/office/drawing/2014/main" id="{00000000-0008-0000-1E00-0000B67C0100}"/>
            </a:ext>
          </a:extLst>
        </xdr:cNvPr>
        <xdr:cNvCxnSpPr>
          <a:stCxn id="97425" idx="3"/>
          <a:endCxn id="97429" idx="1"/>
        </xdr:cNvCxnSpPr>
      </xdr:nvCxnSpPr>
      <xdr:spPr>
        <a:xfrm flipH="1">
          <a:off x="12560300" y="16317800"/>
          <a:ext cx="2206400" cy="3272400"/>
        </a:xfrm>
        <a:prstGeom prst="curvedConnector5">
          <a:avLst>
            <a:gd name="adj1" fmla="val -10361"/>
            <a:gd name="adj2" fmla="val 48900"/>
            <a:gd name="adj3" fmla="val 110361"/>
          </a:avLst>
        </a:prstGeom>
        <a:ln w="1917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601900</xdr:colOff>
      <xdr:row>85</xdr:row>
      <xdr:rowOff>29800</xdr:rowOff>
    </xdr:from>
    <xdr:to>
      <xdr:col>20</xdr:col>
      <xdr:colOff>444500</xdr:colOff>
      <xdr:row>127</xdr:row>
      <xdr:rowOff>91401</xdr:rowOff>
    </xdr:to>
    <xdr:cxnSp macro="">
      <xdr:nvCxnSpPr>
        <xdr:cNvPr id="97463" name="Curved Connector 97462">
          <a:extLst>
            <a:ext uri="{FF2B5EF4-FFF2-40B4-BE49-F238E27FC236}">
              <a16:creationId xmlns:a16="http://schemas.microsoft.com/office/drawing/2014/main" id="{00000000-0008-0000-1E00-0000B77C0100}"/>
            </a:ext>
          </a:extLst>
        </xdr:cNvPr>
        <xdr:cNvCxnSpPr>
          <a:stCxn id="97426" idx="3"/>
          <a:endCxn id="97432" idx="1"/>
        </xdr:cNvCxnSpPr>
      </xdr:nvCxnSpPr>
      <xdr:spPr>
        <a:xfrm flipV="1">
          <a:off x="14140100" y="17784400"/>
          <a:ext cx="3195400" cy="8596001"/>
        </a:xfrm>
        <a:prstGeom prst="curvedConnector3">
          <a:avLst>
            <a:gd name="adj1" fmla="val 50000"/>
          </a:avLst>
        </a:prstGeom>
        <a:ln w="876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457901</xdr:colOff>
      <xdr:row>96</xdr:row>
      <xdr:rowOff>4600</xdr:rowOff>
    </xdr:from>
    <xdr:to>
      <xdr:col>19</xdr:col>
      <xdr:colOff>749300</xdr:colOff>
      <xdr:row>142</xdr:row>
      <xdr:rowOff>146401</xdr:rowOff>
    </xdr:to>
    <xdr:cxnSp macro="">
      <xdr:nvCxnSpPr>
        <xdr:cNvPr id="97464" name="Curved Connector 97463">
          <a:extLst>
            <a:ext uri="{FF2B5EF4-FFF2-40B4-BE49-F238E27FC236}">
              <a16:creationId xmlns:a16="http://schemas.microsoft.com/office/drawing/2014/main" id="{00000000-0008-0000-1E00-0000B87C0100}"/>
            </a:ext>
          </a:extLst>
        </xdr:cNvPr>
        <xdr:cNvCxnSpPr>
          <a:stCxn id="97427" idx="3"/>
          <a:endCxn id="97433" idx="1"/>
        </xdr:cNvCxnSpPr>
      </xdr:nvCxnSpPr>
      <xdr:spPr>
        <a:xfrm flipV="1">
          <a:off x="13805601" y="19842000"/>
          <a:ext cx="2767899" cy="9489001"/>
        </a:xfrm>
        <a:prstGeom prst="curvedConnector3">
          <a:avLst>
            <a:gd name="adj1" fmla="val 50000"/>
          </a:avLst>
        </a:prstGeom>
        <a:ln w="1130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25901</xdr:colOff>
      <xdr:row>109</xdr:row>
      <xdr:rowOff>178000</xdr:rowOff>
    </xdr:from>
    <xdr:to>
      <xdr:col>19</xdr:col>
      <xdr:colOff>749300</xdr:colOff>
      <xdr:row>157</xdr:row>
      <xdr:rowOff>57400</xdr:rowOff>
    </xdr:to>
    <xdr:cxnSp macro="">
      <xdr:nvCxnSpPr>
        <xdr:cNvPr id="97465" name="Curved Connector 97464">
          <a:extLst>
            <a:ext uri="{FF2B5EF4-FFF2-40B4-BE49-F238E27FC236}">
              <a16:creationId xmlns:a16="http://schemas.microsoft.com/office/drawing/2014/main" id="{00000000-0008-0000-1E00-0000B97C0100}"/>
            </a:ext>
          </a:extLst>
        </xdr:cNvPr>
        <xdr:cNvCxnSpPr>
          <a:stCxn id="97428" idx="3"/>
          <a:endCxn id="97434" idx="1"/>
        </xdr:cNvCxnSpPr>
      </xdr:nvCxnSpPr>
      <xdr:spPr>
        <a:xfrm flipV="1">
          <a:off x="13373601" y="22657000"/>
          <a:ext cx="3199899" cy="9633000"/>
        </a:xfrm>
        <a:prstGeom prst="curvedConnector3">
          <a:avLst>
            <a:gd name="adj1" fmla="val 50000"/>
          </a:avLst>
        </a:prstGeom>
        <a:ln w="901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166001</xdr:colOff>
      <xdr:row>75</xdr:row>
      <xdr:rowOff>97800</xdr:rowOff>
    </xdr:from>
    <xdr:to>
      <xdr:col>24</xdr:col>
      <xdr:colOff>596900</xdr:colOff>
      <xdr:row>94</xdr:row>
      <xdr:rowOff>6800</xdr:rowOff>
    </xdr:to>
    <xdr:cxnSp macro="">
      <xdr:nvCxnSpPr>
        <xdr:cNvPr id="97466" name="Curved Connector 97465">
          <a:extLst>
            <a:ext uri="{FF2B5EF4-FFF2-40B4-BE49-F238E27FC236}">
              <a16:creationId xmlns:a16="http://schemas.microsoft.com/office/drawing/2014/main" id="{00000000-0008-0000-1E00-0000BA7C0100}"/>
            </a:ext>
          </a:extLst>
        </xdr:cNvPr>
        <xdr:cNvCxnSpPr>
          <a:stCxn id="97429" idx="3"/>
          <a:endCxn id="97437" idx="1"/>
        </xdr:cNvCxnSpPr>
      </xdr:nvCxnSpPr>
      <xdr:spPr>
        <a:xfrm flipV="1">
          <a:off x="14542401" y="15820400"/>
          <a:ext cx="6298299" cy="3769800"/>
        </a:xfrm>
        <a:prstGeom prst="curvedConnector3">
          <a:avLst>
            <a:gd name="adj1" fmla="val 50000"/>
          </a:avLst>
        </a:prstGeom>
        <a:ln w="1917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288801</xdr:colOff>
      <xdr:row>65</xdr:row>
      <xdr:rowOff>169801</xdr:rowOff>
    </xdr:from>
    <xdr:to>
      <xdr:col>29</xdr:col>
      <xdr:colOff>190500</xdr:colOff>
      <xdr:row>69</xdr:row>
      <xdr:rowOff>178600</xdr:rowOff>
    </xdr:to>
    <xdr:cxnSp macro="">
      <xdr:nvCxnSpPr>
        <xdr:cNvPr id="97467" name="Curved Connector 97466">
          <a:extLst>
            <a:ext uri="{FF2B5EF4-FFF2-40B4-BE49-F238E27FC236}">
              <a16:creationId xmlns:a16="http://schemas.microsoft.com/office/drawing/2014/main" id="{00000000-0008-0000-1E00-0000BB7C0100}"/>
            </a:ext>
          </a:extLst>
        </xdr:cNvPr>
        <xdr:cNvCxnSpPr>
          <a:stCxn id="97431" idx="3"/>
          <a:endCxn id="97441" idx="1"/>
        </xdr:cNvCxnSpPr>
      </xdr:nvCxnSpPr>
      <xdr:spPr>
        <a:xfrm>
          <a:off x="18856201" y="13860401"/>
          <a:ext cx="5769099" cy="821599"/>
        </a:xfrm>
        <a:prstGeom prst="curvedConnector3">
          <a:avLst>
            <a:gd name="adj1" fmla="val 50000"/>
          </a:avLst>
        </a:prstGeom>
        <a:ln w="27051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338999</xdr:colOff>
      <xdr:row>85</xdr:row>
      <xdr:rowOff>29800</xdr:rowOff>
    </xdr:from>
    <xdr:to>
      <xdr:col>29</xdr:col>
      <xdr:colOff>317500</xdr:colOff>
      <xdr:row>100</xdr:row>
      <xdr:rowOff>26000</xdr:rowOff>
    </xdr:to>
    <xdr:cxnSp macro="">
      <xdr:nvCxnSpPr>
        <xdr:cNvPr id="97468" name="Curved Connector 97467">
          <a:extLst>
            <a:ext uri="{FF2B5EF4-FFF2-40B4-BE49-F238E27FC236}">
              <a16:creationId xmlns:a16="http://schemas.microsoft.com/office/drawing/2014/main" id="{00000000-0008-0000-1E00-0000BC7C0100}"/>
            </a:ext>
          </a:extLst>
        </xdr:cNvPr>
        <xdr:cNvCxnSpPr>
          <a:stCxn id="97432" idx="3"/>
          <a:endCxn id="97439" idx="1"/>
        </xdr:cNvCxnSpPr>
      </xdr:nvCxnSpPr>
      <xdr:spPr>
        <a:xfrm>
          <a:off x="18068199" y="17784400"/>
          <a:ext cx="6684101" cy="3044200"/>
        </a:xfrm>
        <a:prstGeom prst="curvedConnector3">
          <a:avLst>
            <a:gd name="adj1" fmla="val 50000"/>
          </a:avLst>
        </a:prstGeom>
        <a:ln w="8763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682299</xdr:colOff>
      <xdr:row>83</xdr:row>
      <xdr:rowOff>201400</xdr:rowOff>
    </xdr:from>
    <xdr:to>
      <xdr:col>24</xdr:col>
      <xdr:colOff>825500</xdr:colOff>
      <xdr:row>96</xdr:row>
      <xdr:rowOff>4600</xdr:rowOff>
    </xdr:to>
    <xdr:cxnSp macro="">
      <xdr:nvCxnSpPr>
        <xdr:cNvPr id="97469" name="Curved Connector 97468">
          <a:extLst>
            <a:ext uri="{FF2B5EF4-FFF2-40B4-BE49-F238E27FC236}">
              <a16:creationId xmlns:a16="http://schemas.microsoft.com/office/drawing/2014/main" id="{00000000-0008-0000-1E00-0000BD7C0100}"/>
            </a:ext>
          </a:extLst>
        </xdr:cNvPr>
        <xdr:cNvCxnSpPr>
          <a:stCxn id="97433" idx="3"/>
          <a:endCxn id="97436" idx="1"/>
        </xdr:cNvCxnSpPr>
      </xdr:nvCxnSpPr>
      <xdr:spPr>
        <a:xfrm flipV="1">
          <a:off x="18411499" y="17549600"/>
          <a:ext cx="2657801" cy="2444800"/>
        </a:xfrm>
        <a:prstGeom prst="curvedConnector3">
          <a:avLst>
            <a:gd name="adj1" fmla="val 50000"/>
          </a:avLst>
        </a:prstGeom>
        <a:ln w="11303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787800</xdr:colOff>
      <xdr:row>100</xdr:row>
      <xdr:rowOff>26000</xdr:rowOff>
    </xdr:from>
    <xdr:to>
      <xdr:col>29</xdr:col>
      <xdr:colOff>317500</xdr:colOff>
      <xdr:row>109</xdr:row>
      <xdr:rowOff>178000</xdr:rowOff>
    </xdr:to>
    <xdr:cxnSp macro="">
      <xdr:nvCxnSpPr>
        <xdr:cNvPr id="97470" name="Curved Connector 97469">
          <a:extLst>
            <a:ext uri="{FF2B5EF4-FFF2-40B4-BE49-F238E27FC236}">
              <a16:creationId xmlns:a16="http://schemas.microsoft.com/office/drawing/2014/main" id="{00000000-0008-0000-1E00-0000BE7C0100}"/>
            </a:ext>
          </a:extLst>
        </xdr:cNvPr>
        <xdr:cNvCxnSpPr>
          <a:stCxn id="97434" idx="3"/>
          <a:endCxn id="97439" idx="1"/>
        </xdr:cNvCxnSpPr>
      </xdr:nvCxnSpPr>
      <xdr:spPr>
        <a:xfrm flipV="1">
          <a:off x="17678800" y="20828600"/>
          <a:ext cx="7073500" cy="1980800"/>
        </a:xfrm>
        <a:prstGeom prst="curvedConnector3">
          <a:avLst>
            <a:gd name="adj1" fmla="val 50000"/>
          </a:avLst>
        </a:prstGeom>
        <a:ln w="9017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542500</xdr:colOff>
      <xdr:row>83</xdr:row>
      <xdr:rowOff>201400</xdr:rowOff>
    </xdr:from>
    <xdr:to>
      <xdr:col>29</xdr:col>
      <xdr:colOff>317500</xdr:colOff>
      <xdr:row>100</xdr:row>
      <xdr:rowOff>26000</xdr:rowOff>
    </xdr:to>
    <xdr:cxnSp macro="">
      <xdr:nvCxnSpPr>
        <xdr:cNvPr id="97471" name="Curved Connector 97470">
          <a:extLst>
            <a:ext uri="{FF2B5EF4-FFF2-40B4-BE49-F238E27FC236}">
              <a16:creationId xmlns:a16="http://schemas.microsoft.com/office/drawing/2014/main" id="{00000000-0008-0000-1E00-0000BF7C0100}"/>
            </a:ext>
          </a:extLst>
        </xdr:cNvPr>
        <xdr:cNvCxnSpPr>
          <a:stCxn id="97436" idx="3"/>
          <a:endCxn id="97439" idx="1"/>
        </xdr:cNvCxnSpPr>
      </xdr:nvCxnSpPr>
      <xdr:spPr>
        <a:xfrm>
          <a:off x="22462700" y="17549600"/>
          <a:ext cx="2289600" cy="3279000"/>
        </a:xfrm>
        <a:prstGeom prst="curvedConnector3">
          <a:avLst>
            <a:gd name="adj1" fmla="val 50000"/>
          </a:avLst>
        </a:prstGeom>
        <a:ln w="113030">
          <a:solidFill>
            <a:srgbClr val="F6DF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817900</xdr:colOff>
      <xdr:row>75</xdr:row>
      <xdr:rowOff>97800</xdr:rowOff>
    </xdr:from>
    <xdr:to>
      <xdr:col>29</xdr:col>
      <xdr:colOff>723900</xdr:colOff>
      <xdr:row>85</xdr:row>
      <xdr:rowOff>80800</xdr:rowOff>
    </xdr:to>
    <xdr:cxnSp macro="">
      <xdr:nvCxnSpPr>
        <xdr:cNvPr id="97472" name="Curved Connector 97471">
          <a:extLst>
            <a:ext uri="{FF2B5EF4-FFF2-40B4-BE49-F238E27FC236}">
              <a16:creationId xmlns:a16="http://schemas.microsoft.com/office/drawing/2014/main" id="{00000000-0008-0000-1E00-0000C07C0100}"/>
            </a:ext>
          </a:extLst>
        </xdr:cNvPr>
        <xdr:cNvCxnSpPr>
          <a:stCxn id="97437" idx="3"/>
          <a:endCxn id="97440" idx="1"/>
        </xdr:cNvCxnSpPr>
      </xdr:nvCxnSpPr>
      <xdr:spPr>
        <a:xfrm>
          <a:off x="22738100" y="15820400"/>
          <a:ext cx="2420600" cy="2015000"/>
        </a:xfrm>
        <a:prstGeom prst="curvedConnector3">
          <a:avLst>
            <a:gd name="adj1" fmla="val 50000"/>
          </a:avLst>
        </a:prstGeom>
        <a:ln w="191770">
          <a:solidFill>
            <a:srgbClr val="F6DF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433000</xdr:colOff>
      <xdr:row>100</xdr:row>
      <xdr:rowOff>26000</xdr:rowOff>
    </xdr:from>
    <xdr:to>
      <xdr:col>35</xdr:col>
      <xdr:colOff>622300</xdr:colOff>
      <xdr:row>102</xdr:row>
      <xdr:rowOff>110400</xdr:rowOff>
    </xdr:to>
    <xdr:cxnSp macro="">
      <xdr:nvCxnSpPr>
        <xdr:cNvPr id="97473" name="Curved Connector 97472">
          <a:extLst>
            <a:ext uri="{FF2B5EF4-FFF2-40B4-BE49-F238E27FC236}">
              <a16:creationId xmlns:a16="http://schemas.microsoft.com/office/drawing/2014/main" id="{00000000-0008-0000-1E00-0000C17C0100}"/>
            </a:ext>
          </a:extLst>
        </xdr:cNvPr>
        <xdr:cNvCxnSpPr>
          <a:stCxn id="97439" idx="3"/>
          <a:endCxn id="97443" idx="1"/>
        </xdr:cNvCxnSpPr>
      </xdr:nvCxnSpPr>
      <xdr:spPr>
        <a:xfrm>
          <a:off x="27382400" y="20828600"/>
          <a:ext cx="2703900" cy="490800"/>
        </a:xfrm>
        <a:prstGeom prst="curvedConnector3">
          <a:avLst>
            <a:gd name="adj1" fmla="val 50000"/>
          </a:avLst>
        </a:prstGeom>
        <a:ln w="5588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433000</xdr:colOff>
      <xdr:row>64</xdr:row>
      <xdr:rowOff>49000</xdr:rowOff>
    </xdr:from>
    <xdr:to>
      <xdr:col>39</xdr:col>
      <xdr:colOff>635000</xdr:colOff>
      <xdr:row>100</xdr:row>
      <xdr:rowOff>26000</xdr:rowOff>
    </xdr:to>
    <xdr:cxnSp macro="">
      <xdr:nvCxnSpPr>
        <xdr:cNvPr id="97474" name="Curved Connector 97473">
          <a:extLst>
            <a:ext uri="{FF2B5EF4-FFF2-40B4-BE49-F238E27FC236}">
              <a16:creationId xmlns:a16="http://schemas.microsoft.com/office/drawing/2014/main" id="{00000000-0008-0000-1E00-0000C27C0100}"/>
            </a:ext>
          </a:extLst>
        </xdr:cNvPr>
        <xdr:cNvCxnSpPr>
          <a:stCxn id="97439" idx="3"/>
          <a:endCxn id="97445" idx="1"/>
        </xdr:cNvCxnSpPr>
      </xdr:nvCxnSpPr>
      <xdr:spPr>
        <a:xfrm flipV="1">
          <a:off x="27382400" y="13536400"/>
          <a:ext cx="6069400" cy="7292200"/>
        </a:xfrm>
        <a:prstGeom prst="curvedConnector3">
          <a:avLst>
            <a:gd name="adj1" fmla="val 50000"/>
          </a:avLst>
        </a:prstGeom>
        <a:ln w="23368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656899</xdr:colOff>
      <xdr:row>64</xdr:row>
      <xdr:rowOff>49000</xdr:rowOff>
    </xdr:from>
    <xdr:to>
      <xdr:col>39</xdr:col>
      <xdr:colOff>635000</xdr:colOff>
      <xdr:row>85</xdr:row>
      <xdr:rowOff>80800</xdr:rowOff>
    </xdr:to>
    <xdr:cxnSp macro="">
      <xdr:nvCxnSpPr>
        <xdr:cNvPr id="97475" name="Curved Connector 97474">
          <a:extLst>
            <a:ext uri="{FF2B5EF4-FFF2-40B4-BE49-F238E27FC236}">
              <a16:creationId xmlns:a16="http://schemas.microsoft.com/office/drawing/2014/main" id="{00000000-0008-0000-1E00-0000C37C0100}"/>
            </a:ext>
          </a:extLst>
        </xdr:cNvPr>
        <xdr:cNvCxnSpPr>
          <a:stCxn id="97440" idx="3"/>
          <a:endCxn id="97445" idx="1"/>
        </xdr:cNvCxnSpPr>
      </xdr:nvCxnSpPr>
      <xdr:spPr>
        <a:xfrm flipV="1">
          <a:off x="26768099" y="13536400"/>
          <a:ext cx="6683701" cy="4299000"/>
        </a:xfrm>
        <a:prstGeom prst="curvedConnector3">
          <a:avLst>
            <a:gd name="adj1" fmla="val 50000"/>
          </a:avLst>
        </a:prstGeom>
        <a:ln w="19177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344500</xdr:colOff>
      <xdr:row>64</xdr:row>
      <xdr:rowOff>49000</xdr:rowOff>
    </xdr:from>
    <xdr:to>
      <xdr:col>39</xdr:col>
      <xdr:colOff>635000</xdr:colOff>
      <xdr:row>69</xdr:row>
      <xdr:rowOff>178600</xdr:rowOff>
    </xdr:to>
    <xdr:cxnSp macro="">
      <xdr:nvCxnSpPr>
        <xdr:cNvPr id="97476" name="Curved Connector 97475">
          <a:extLst>
            <a:ext uri="{FF2B5EF4-FFF2-40B4-BE49-F238E27FC236}">
              <a16:creationId xmlns:a16="http://schemas.microsoft.com/office/drawing/2014/main" id="{00000000-0008-0000-1E00-0000C47C0100}"/>
            </a:ext>
          </a:extLst>
        </xdr:cNvPr>
        <xdr:cNvCxnSpPr>
          <a:stCxn id="97441" idx="3"/>
          <a:endCxn id="97445" idx="1"/>
        </xdr:cNvCxnSpPr>
      </xdr:nvCxnSpPr>
      <xdr:spPr>
        <a:xfrm flipV="1">
          <a:off x="28132100" y="13536400"/>
          <a:ext cx="5319700" cy="1145600"/>
        </a:xfrm>
        <a:prstGeom prst="curvedConnector3">
          <a:avLst>
            <a:gd name="adj1" fmla="val 50000"/>
          </a:avLst>
        </a:prstGeom>
        <a:ln w="27051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60</xdr:row>
      <xdr:rowOff>177800</xdr:rowOff>
    </xdr:from>
    <xdr:to>
      <xdr:col>3</xdr:col>
      <xdr:colOff>656800</xdr:colOff>
      <xdr:row>67</xdr:row>
      <xdr:rowOff>123400</xdr:rowOff>
    </xdr:to>
    <xdr:sp macro="" textlink="">
      <xdr:nvSpPr>
        <xdr:cNvPr id="97412" name="WS-43">
          <a:extLst>
            <a:ext uri="{FF2B5EF4-FFF2-40B4-BE49-F238E27FC236}">
              <a16:creationId xmlns:a16="http://schemas.microsoft.com/office/drawing/2014/main" id="{00000000-0008-0000-1E00-0000847C0100}"/>
            </a:ext>
          </a:extLst>
        </xdr:cNvPr>
        <xdr:cNvSpPr/>
      </xdr:nvSpPr>
      <xdr:spPr>
        <a:xfrm>
          <a:off x="1905000" y="12700000"/>
          <a:ext cx="1368000" cy="1368000"/>
        </a:xfrm>
        <a:prstGeom prst="rect">
          <a:avLst/>
        </a:prstGeom>
        <a:solidFill>
          <a:srgbClr val="B488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WS-43</a:t>
          </a:r>
        </a:p>
      </xdr:txBody>
    </xdr:sp>
    <xdr:clientData/>
  </xdr:twoCellAnchor>
  <xdr:twoCellAnchor>
    <xdr:from>
      <xdr:col>6</xdr:col>
      <xdr:colOff>88900</xdr:colOff>
      <xdr:row>60</xdr:row>
      <xdr:rowOff>177800</xdr:rowOff>
    </xdr:from>
    <xdr:to>
      <xdr:col>7</xdr:col>
      <xdr:colOff>343400</xdr:colOff>
      <xdr:row>66</xdr:row>
      <xdr:rowOff>38601</xdr:rowOff>
    </xdr:to>
    <xdr:sp macro="" textlink="">
      <xdr:nvSpPr>
        <xdr:cNvPr id="97414" name="WS-36">
          <a:extLst>
            <a:ext uri="{FF2B5EF4-FFF2-40B4-BE49-F238E27FC236}">
              <a16:creationId xmlns:a16="http://schemas.microsoft.com/office/drawing/2014/main" id="{00000000-0008-0000-1E00-0000867C0100}"/>
            </a:ext>
          </a:extLst>
        </xdr:cNvPr>
        <xdr:cNvSpPr/>
      </xdr:nvSpPr>
      <xdr:spPr>
        <a:xfrm>
          <a:off x="5181600" y="12700000"/>
          <a:ext cx="1080000" cy="1080001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WS-36</a:t>
          </a:r>
        </a:p>
      </xdr:txBody>
    </xdr:sp>
    <xdr:clientData/>
  </xdr:twoCellAnchor>
  <xdr:twoCellAnchor>
    <xdr:from>
      <xdr:col>6</xdr:col>
      <xdr:colOff>292100</xdr:colOff>
      <xdr:row>91</xdr:row>
      <xdr:rowOff>25400</xdr:rowOff>
    </xdr:from>
    <xdr:to>
      <xdr:col>7</xdr:col>
      <xdr:colOff>258600</xdr:colOff>
      <xdr:row>95</xdr:row>
      <xdr:rowOff>4600</xdr:rowOff>
    </xdr:to>
    <xdr:sp macro="" textlink="">
      <xdr:nvSpPr>
        <xdr:cNvPr id="97415" name="WS-38">
          <a:extLst>
            <a:ext uri="{FF2B5EF4-FFF2-40B4-BE49-F238E27FC236}">
              <a16:creationId xmlns:a16="http://schemas.microsoft.com/office/drawing/2014/main" id="{00000000-0008-0000-1E00-0000877C0100}"/>
            </a:ext>
          </a:extLst>
        </xdr:cNvPr>
        <xdr:cNvSpPr/>
      </xdr:nvSpPr>
      <xdr:spPr>
        <a:xfrm>
          <a:off x="5448300" y="18999200"/>
          <a:ext cx="804700" cy="792000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WS-38</a:t>
          </a:r>
        </a:p>
      </xdr:txBody>
    </xdr:sp>
    <xdr:clientData/>
  </xdr:twoCellAnchor>
  <xdr:twoCellAnchor>
    <xdr:from>
      <xdr:col>5</xdr:col>
      <xdr:colOff>825500</xdr:colOff>
      <xdr:row>76</xdr:row>
      <xdr:rowOff>152400</xdr:rowOff>
    </xdr:from>
    <xdr:to>
      <xdr:col>7</xdr:col>
      <xdr:colOff>601800</xdr:colOff>
      <xdr:row>83</xdr:row>
      <xdr:rowOff>170000</xdr:rowOff>
    </xdr:to>
    <xdr:sp macro="" textlink="">
      <xdr:nvSpPr>
        <xdr:cNvPr id="97416" name="WS-40">
          <a:extLst>
            <a:ext uri="{FF2B5EF4-FFF2-40B4-BE49-F238E27FC236}">
              <a16:creationId xmlns:a16="http://schemas.microsoft.com/office/drawing/2014/main" id="{00000000-0008-0000-1E00-0000887C0100}"/>
            </a:ext>
          </a:extLst>
        </xdr:cNvPr>
        <xdr:cNvSpPr/>
      </xdr:nvSpPr>
      <xdr:spPr>
        <a:xfrm>
          <a:off x="5143500" y="16078200"/>
          <a:ext cx="1452700" cy="1440000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WS-40</a:t>
          </a:r>
        </a:p>
      </xdr:txBody>
    </xdr:sp>
    <xdr:clientData/>
  </xdr:twoCellAnchor>
  <xdr:twoCellAnchor>
    <xdr:from>
      <xdr:col>10</xdr:col>
      <xdr:colOff>381000</xdr:colOff>
      <xdr:row>86</xdr:row>
      <xdr:rowOff>152400</xdr:rowOff>
    </xdr:from>
    <xdr:to>
      <xdr:col>12</xdr:col>
      <xdr:colOff>386000</xdr:colOff>
      <xdr:row>94</xdr:row>
      <xdr:rowOff>182800</xdr:rowOff>
    </xdr:to>
    <xdr:sp macro="" textlink="">
      <xdr:nvSpPr>
        <xdr:cNvPr id="97418" name="WS-02">
          <a:extLst>
            <a:ext uri="{FF2B5EF4-FFF2-40B4-BE49-F238E27FC236}">
              <a16:creationId xmlns:a16="http://schemas.microsoft.com/office/drawing/2014/main" id="{00000000-0008-0000-1E00-00008A7C0100}"/>
            </a:ext>
          </a:extLst>
        </xdr:cNvPr>
        <xdr:cNvSpPr/>
      </xdr:nvSpPr>
      <xdr:spPr>
        <a:xfrm>
          <a:off x="8890000" y="18110200"/>
          <a:ext cx="1681400" cy="1656000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WS-02</a:t>
          </a:r>
        </a:p>
      </xdr:txBody>
    </xdr:sp>
    <xdr:clientData/>
  </xdr:twoCellAnchor>
  <xdr:twoCellAnchor>
    <xdr:from>
      <xdr:col>10</xdr:col>
      <xdr:colOff>762000</xdr:colOff>
      <xdr:row>79</xdr:row>
      <xdr:rowOff>101600</xdr:rowOff>
    </xdr:from>
    <xdr:to>
      <xdr:col>11</xdr:col>
      <xdr:colOff>728500</xdr:colOff>
      <xdr:row>83</xdr:row>
      <xdr:rowOff>80800</xdr:rowOff>
    </xdr:to>
    <xdr:sp macro="" textlink="">
      <xdr:nvSpPr>
        <xdr:cNvPr id="97419" name="WS-04">
          <a:extLst>
            <a:ext uri="{FF2B5EF4-FFF2-40B4-BE49-F238E27FC236}">
              <a16:creationId xmlns:a16="http://schemas.microsoft.com/office/drawing/2014/main" id="{00000000-0008-0000-1E00-00008B7C0100}"/>
            </a:ext>
          </a:extLst>
        </xdr:cNvPr>
        <xdr:cNvSpPr/>
      </xdr:nvSpPr>
      <xdr:spPr>
        <a:xfrm>
          <a:off x="9271000" y="16637000"/>
          <a:ext cx="804700" cy="792000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WS-04</a:t>
          </a:r>
        </a:p>
      </xdr:txBody>
    </xdr:sp>
    <xdr:clientData/>
  </xdr:twoCellAnchor>
  <xdr:twoCellAnchor>
    <xdr:from>
      <xdr:col>10</xdr:col>
      <xdr:colOff>228600</xdr:colOff>
      <xdr:row>69</xdr:row>
      <xdr:rowOff>127000</xdr:rowOff>
    </xdr:from>
    <xdr:to>
      <xdr:col>12</xdr:col>
      <xdr:colOff>449600</xdr:colOff>
      <xdr:row>78</xdr:row>
      <xdr:rowOff>170200</xdr:rowOff>
    </xdr:to>
    <xdr:sp macro="" textlink="">
      <xdr:nvSpPr>
        <xdr:cNvPr id="97420" name="WS-07">
          <a:extLst>
            <a:ext uri="{FF2B5EF4-FFF2-40B4-BE49-F238E27FC236}">
              <a16:creationId xmlns:a16="http://schemas.microsoft.com/office/drawing/2014/main" id="{00000000-0008-0000-1E00-00008C7C0100}"/>
            </a:ext>
          </a:extLst>
        </xdr:cNvPr>
        <xdr:cNvSpPr/>
      </xdr:nvSpPr>
      <xdr:spPr>
        <a:xfrm>
          <a:off x="8737600" y="14630400"/>
          <a:ext cx="1897400" cy="1872000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WS-07</a:t>
          </a:r>
        </a:p>
      </xdr:txBody>
    </xdr:sp>
    <xdr:clientData/>
  </xdr:twoCellAnchor>
  <xdr:twoCellAnchor>
    <xdr:from>
      <xdr:col>15</xdr:col>
      <xdr:colOff>419100</xdr:colOff>
      <xdr:row>101</xdr:row>
      <xdr:rowOff>0</xdr:rowOff>
    </xdr:from>
    <xdr:to>
      <xdr:col>16</xdr:col>
      <xdr:colOff>457600</xdr:colOff>
      <xdr:row>105</xdr:row>
      <xdr:rowOff>51200</xdr:rowOff>
    </xdr:to>
    <xdr:sp macro="" textlink="">
      <xdr:nvSpPr>
        <xdr:cNvPr id="97422" name="WS-03">
          <a:extLst>
            <a:ext uri="{FF2B5EF4-FFF2-40B4-BE49-F238E27FC236}">
              <a16:creationId xmlns:a16="http://schemas.microsoft.com/office/drawing/2014/main" id="{00000000-0008-0000-1E00-00008E7C0100}"/>
            </a:ext>
          </a:extLst>
        </xdr:cNvPr>
        <xdr:cNvSpPr/>
      </xdr:nvSpPr>
      <xdr:spPr>
        <a:xfrm>
          <a:off x="13119100" y="21005800"/>
          <a:ext cx="876700" cy="864000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WS-03</a:t>
          </a:r>
        </a:p>
      </xdr:txBody>
    </xdr:sp>
    <xdr:clientData/>
  </xdr:twoCellAnchor>
  <xdr:twoCellAnchor>
    <xdr:from>
      <xdr:col>14</xdr:col>
      <xdr:colOff>546100</xdr:colOff>
      <xdr:row>60</xdr:row>
      <xdr:rowOff>25400</xdr:rowOff>
    </xdr:from>
    <xdr:to>
      <xdr:col>17</xdr:col>
      <xdr:colOff>445601</xdr:colOff>
      <xdr:row>71</xdr:row>
      <xdr:rowOff>166201</xdr:rowOff>
    </xdr:to>
    <xdr:sp macro="" textlink="">
      <xdr:nvSpPr>
        <xdr:cNvPr id="97423" name="WS-05">
          <a:extLst>
            <a:ext uri="{FF2B5EF4-FFF2-40B4-BE49-F238E27FC236}">
              <a16:creationId xmlns:a16="http://schemas.microsoft.com/office/drawing/2014/main" id="{00000000-0008-0000-1E00-00008F7C0100}"/>
            </a:ext>
          </a:extLst>
        </xdr:cNvPr>
        <xdr:cNvSpPr/>
      </xdr:nvSpPr>
      <xdr:spPr>
        <a:xfrm>
          <a:off x="12407900" y="12700000"/>
          <a:ext cx="2414101" cy="2376001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WS-05</a:t>
          </a:r>
        </a:p>
      </xdr:txBody>
    </xdr:sp>
    <xdr:clientData/>
  </xdr:twoCellAnchor>
  <xdr:twoCellAnchor>
    <xdr:from>
      <xdr:col>15</xdr:col>
      <xdr:colOff>317500</xdr:colOff>
      <xdr:row>108</xdr:row>
      <xdr:rowOff>127000</xdr:rowOff>
    </xdr:from>
    <xdr:to>
      <xdr:col>16</xdr:col>
      <xdr:colOff>500000</xdr:colOff>
      <xdr:row>113</xdr:row>
      <xdr:rowOff>119000</xdr:rowOff>
    </xdr:to>
    <xdr:sp macro="" textlink="">
      <xdr:nvSpPr>
        <xdr:cNvPr id="97424" name="WS-08">
          <a:extLst>
            <a:ext uri="{FF2B5EF4-FFF2-40B4-BE49-F238E27FC236}">
              <a16:creationId xmlns:a16="http://schemas.microsoft.com/office/drawing/2014/main" id="{00000000-0008-0000-1E00-0000907C0100}"/>
            </a:ext>
          </a:extLst>
        </xdr:cNvPr>
        <xdr:cNvSpPr/>
      </xdr:nvSpPr>
      <xdr:spPr>
        <a:xfrm>
          <a:off x="13017500" y="22555200"/>
          <a:ext cx="1020700" cy="1008000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WS-08</a:t>
          </a:r>
        </a:p>
      </xdr:txBody>
    </xdr:sp>
    <xdr:clientData/>
  </xdr:twoCellAnchor>
  <xdr:twoCellAnchor>
    <xdr:from>
      <xdr:col>15</xdr:col>
      <xdr:colOff>241300</xdr:colOff>
      <xdr:row>73</xdr:row>
      <xdr:rowOff>101600</xdr:rowOff>
    </xdr:from>
    <xdr:to>
      <xdr:col>17</xdr:col>
      <xdr:colOff>390300</xdr:colOff>
      <xdr:row>82</xdr:row>
      <xdr:rowOff>72800</xdr:rowOff>
    </xdr:to>
    <xdr:sp macro="" textlink="">
      <xdr:nvSpPr>
        <xdr:cNvPr id="97425" name="WS-18">
          <a:extLst>
            <a:ext uri="{FF2B5EF4-FFF2-40B4-BE49-F238E27FC236}">
              <a16:creationId xmlns:a16="http://schemas.microsoft.com/office/drawing/2014/main" id="{00000000-0008-0000-1E00-0000917C0100}"/>
            </a:ext>
          </a:extLst>
        </xdr:cNvPr>
        <xdr:cNvSpPr/>
      </xdr:nvSpPr>
      <xdr:spPr>
        <a:xfrm>
          <a:off x="12941300" y="15417800"/>
          <a:ext cx="1825400" cy="1800000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WS-18</a:t>
          </a:r>
        </a:p>
      </xdr:txBody>
    </xdr:sp>
    <xdr:clientData/>
  </xdr:twoCellAnchor>
  <xdr:twoCellAnchor>
    <xdr:from>
      <xdr:col>14</xdr:col>
      <xdr:colOff>596900</xdr:colOff>
      <xdr:row>123</xdr:row>
      <xdr:rowOff>76200</xdr:rowOff>
    </xdr:from>
    <xdr:to>
      <xdr:col>16</xdr:col>
      <xdr:colOff>601900</xdr:colOff>
      <xdr:row>131</xdr:row>
      <xdr:rowOff>106601</xdr:rowOff>
    </xdr:to>
    <xdr:sp macro="" textlink="">
      <xdr:nvSpPr>
        <xdr:cNvPr id="97426" name="WS-20">
          <a:extLst>
            <a:ext uri="{FF2B5EF4-FFF2-40B4-BE49-F238E27FC236}">
              <a16:creationId xmlns:a16="http://schemas.microsoft.com/office/drawing/2014/main" id="{00000000-0008-0000-1E00-0000927C0100}"/>
            </a:ext>
          </a:extLst>
        </xdr:cNvPr>
        <xdr:cNvSpPr/>
      </xdr:nvSpPr>
      <xdr:spPr>
        <a:xfrm>
          <a:off x="12293600" y="25400000"/>
          <a:ext cx="1656000" cy="1656001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WS-20</a:t>
          </a:r>
        </a:p>
      </xdr:txBody>
    </xdr:sp>
    <xdr:clientData/>
  </xdr:twoCellAnchor>
  <xdr:twoCellAnchor>
    <xdr:from>
      <xdr:col>14</xdr:col>
      <xdr:colOff>596900</xdr:colOff>
      <xdr:row>139</xdr:row>
      <xdr:rowOff>0</xdr:rowOff>
    </xdr:from>
    <xdr:to>
      <xdr:col>16</xdr:col>
      <xdr:colOff>457901</xdr:colOff>
      <xdr:row>146</xdr:row>
      <xdr:rowOff>89601</xdr:rowOff>
    </xdr:to>
    <xdr:sp macro="" textlink="">
      <xdr:nvSpPr>
        <xdr:cNvPr id="97427" name="WS-21">
          <a:extLst>
            <a:ext uri="{FF2B5EF4-FFF2-40B4-BE49-F238E27FC236}">
              <a16:creationId xmlns:a16="http://schemas.microsoft.com/office/drawing/2014/main" id="{00000000-0008-0000-1E00-0000937C0100}"/>
            </a:ext>
          </a:extLst>
        </xdr:cNvPr>
        <xdr:cNvSpPr/>
      </xdr:nvSpPr>
      <xdr:spPr>
        <a:xfrm>
          <a:off x="12293600" y="28575000"/>
          <a:ext cx="1512001" cy="1512001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WS-21</a:t>
          </a:r>
        </a:p>
      </xdr:txBody>
    </xdr:sp>
    <xdr:clientData/>
  </xdr:twoCellAnchor>
  <xdr:twoCellAnchor>
    <xdr:from>
      <xdr:col>14</xdr:col>
      <xdr:colOff>596900</xdr:colOff>
      <xdr:row>154</xdr:row>
      <xdr:rowOff>127000</xdr:rowOff>
    </xdr:from>
    <xdr:to>
      <xdr:col>16</xdr:col>
      <xdr:colOff>25901</xdr:colOff>
      <xdr:row>159</xdr:row>
      <xdr:rowOff>190999</xdr:rowOff>
    </xdr:to>
    <xdr:sp macro="" textlink="">
      <xdr:nvSpPr>
        <xdr:cNvPr id="97428" name="WS-23">
          <a:extLst>
            <a:ext uri="{FF2B5EF4-FFF2-40B4-BE49-F238E27FC236}">
              <a16:creationId xmlns:a16="http://schemas.microsoft.com/office/drawing/2014/main" id="{00000000-0008-0000-1E00-0000947C0100}"/>
            </a:ext>
          </a:extLst>
        </xdr:cNvPr>
        <xdr:cNvSpPr/>
      </xdr:nvSpPr>
      <xdr:spPr>
        <a:xfrm>
          <a:off x="12293600" y="31750000"/>
          <a:ext cx="1080001" cy="1079999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WS-23</a:t>
          </a:r>
        </a:p>
      </xdr:txBody>
    </xdr:sp>
    <xdr:clientData/>
  </xdr:twoCellAnchor>
  <xdr:twoCellAnchor>
    <xdr:from>
      <xdr:col>14</xdr:col>
      <xdr:colOff>698500</xdr:colOff>
      <xdr:row>89</xdr:row>
      <xdr:rowOff>50800</xdr:rowOff>
    </xdr:from>
    <xdr:to>
      <xdr:col>17</xdr:col>
      <xdr:colOff>166001</xdr:colOff>
      <xdr:row>98</xdr:row>
      <xdr:rowOff>165999</xdr:rowOff>
    </xdr:to>
    <xdr:sp macro="" textlink="">
      <xdr:nvSpPr>
        <xdr:cNvPr id="97429" name="WS-24">
          <a:extLst>
            <a:ext uri="{FF2B5EF4-FFF2-40B4-BE49-F238E27FC236}">
              <a16:creationId xmlns:a16="http://schemas.microsoft.com/office/drawing/2014/main" id="{00000000-0008-0000-1E00-0000957C0100}"/>
            </a:ext>
          </a:extLst>
        </xdr:cNvPr>
        <xdr:cNvSpPr/>
      </xdr:nvSpPr>
      <xdr:spPr>
        <a:xfrm>
          <a:off x="12560300" y="18618200"/>
          <a:ext cx="1982101" cy="1943999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WS-24</a:t>
          </a:r>
        </a:p>
      </xdr:txBody>
    </xdr:sp>
    <xdr:clientData/>
  </xdr:twoCellAnchor>
  <xdr:twoCellAnchor>
    <xdr:from>
      <xdr:col>19</xdr:col>
      <xdr:colOff>749300</xdr:colOff>
      <xdr:row>60</xdr:row>
      <xdr:rowOff>177800</xdr:rowOff>
    </xdr:from>
    <xdr:to>
      <xdr:col>22</xdr:col>
      <xdr:colOff>288801</xdr:colOff>
      <xdr:row>70</xdr:row>
      <xdr:rowOff>161801</xdr:rowOff>
    </xdr:to>
    <xdr:sp macro="" textlink="">
      <xdr:nvSpPr>
        <xdr:cNvPr id="97431" name="WS-25">
          <a:extLst>
            <a:ext uri="{FF2B5EF4-FFF2-40B4-BE49-F238E27FC236}">
              <a16:creationId xmlns:a16="http://schemas.microsoft.com/office/drawing/2014/main" id="{00000000-0008-0000-1E00-0000977C0100}"/>
            </a:ext>
          </a:extLst>
        </xdr:cNvPr>
        <xdr:cNvSpPr/>
      </xdr:nvSpPr>
      <xdr:spPr>
        <a:xfrm>
          <a:off x="16573500" y="12700000"/>
          <a:ext cx="2016001" cy="2016001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WS-25</a:t>
          </a:r>
        </a:p>
      </xdr:txBody>
    </xdr:sp>
    <xdr:clientData/>
  </xdr:twoCellAnchor>
  <xdr:twoCellAnchor>
    <xdr:from>
      <xdr:col>20</xdr:col>
      <xdr:colOff>444500</xdr:colOff>
      <xdr:row>83</xdr:row>
      <xdr:rowOff>76200</xdr:rowOff>
    </xdr:from>
    <xdr:to>
      <xdr:col>21</xdr:col>
      <xdr:colOff>338999</xdr:colOff>
      <xdr:row>86</xdr:row>
      <xdr:rowOff>186599</xdr:rowOff>
    </xdr:to>
    <xdr:sp macro="" textlink="">
      <xdr:nvSpPr>
        <xdr:cNvPr id="97432" name="WS-26">
          <a:extLst>
            <a:ext uri="{FF2B5EF4-FFF2-40B4-BE49-F238E27FC236}">
              <a16:creationId xmlns:a16="http://schemas.microsoft.com/office/drawing/2014/main" id="{00000000-0008-0000-1E00-0000987C0100}"/>
            </a:ext>
          </a:extLst>
        </xdr:cNvPr>
        <xdr:cNvSpPr/>
      </xdr:nvSpPr>
      <xdr:spPr>
        <a:xfrm>
          <a:off x="17335500" y="17424400"/>
          <a:ext cx="732699" cy="719999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WS-26</a:t>
          </a:r>
        </a:p>
      </xdr:txBody>
    </xdr:sp>
    <xdr:clientData/>
  </xdr:twoCellAnchor>
  <xdr:twoCellAnchor>
    <xdr:from>
      <xdr:col>19</xdr:col>
      <xdr:colOff>749300</xdr:colOff>
      <xdr:row>92</xdr:row>
      <xdr:rowOff>25400</xdr:rowOff>
    </xdr:from>
    <xdr:to>
      <xdr:col>21</xdr:col>
      <xdr:colOff>682299</xdr:colOff>
      <xdr:row>99</xdr:row>
      <xdr:rowOff>186999</xdr:rowOff>
    </xdr:to>
    <xdr:sp macro="" textlink="">
      <xdr:nvSpPr>
        <xdr:cNvPr id="97433" name="WS-28">
          <a:extLst>
            <a:ext uri="{FF2B5EF4-FFF2-40B4-BE49-F238E27FC236}">
              <a16:creationId xmlns:a16="http://schemas.microsoft.com/office/drawing/2014/main" id="{00000000-0008-0000-1E00-0000997C0100}"/>
            </a:ext>
          </a:extLst>
        </xdr:cNvPr>
        <xdr:cNvSpPr/>
      </xdr:nvSpPr>
      <xdr:spPr>
        <a:xfrm>
          <a:off x="16573500" y="19050000"/>
          <a:ext cx="1583999" cy="1583999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WS-28</a:t>
          </a:r>
        </a:p>
      </xdr:txBody>
    </xdr:sp>
    <xdr:clientData/>
  </xdr:twoCellAnchor>
  <xdr:twoCellAnchor>
    <xdr:from>
      <xdr:col>19</xdr:col>
      <xdr:colOff>749300</xdr:colOff>
      <xdr:row>107</xdr:row>
      <xdr:rowOff>152400</xdr:rowOff>
    </xdr:from>
    <xdr:to>
      <xdr:col>20</xdr:col>
      <xdr:colOff>787800</xdr:colOff>
      <xdr:row>112</xdr:row>
      <xdr:rowOff>400</xdr:rowOff>
    </xdr:to>
    <xdr:sp macro="" textlink="">
      <xdr:nvSpPr>
        <xdr:cNvPr id="97434" name="WS-31">
          <a:extLst>
            <a:ext uri="{FF2B5EF4-FFF2-40B4-BE49-F238E27FC236}">
              <a16:creationId xmlns:a16="http://schemas.microsoft.com/office/drawing/2014/main" id="{00000000-0008-0000-1E00-00009A7C0100}"/>
            </a:ext>
          </a:extLst>
        </xdr:cNvPr>
        <xdr:cNvSpPr/>
      </xdr:nvSpPr>
      <xdr:spPr>
        <a:xfrm>
          <a:off x="16573500" y="22225000"/>
          <a:ext cx="864000" cy="864000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WS-31</a:t>
          </a:r>
        </a:p>
      </xdr:txBody>
    </xdr:sp>
    <xdr:clientData/>
  </xdr:twoCellAnchor>
  <xdr:twoCellAnchor>
    <xdr:from>
      <xdr:col>24</xdr:col>
      <xdr:colOff>825500</xdr:colOff>
      <xdr:row>80</xdr:row>
      <xdr:rowOff>127000</xdr:rowOff>
    </xdr:from>
    <xdr:to>
      <xdr:col>26</xdr:col>
      <xdr:colOff>542500</xdr:colOff>
      <xdr:row>87</xdr:row>
      <xdr:rowOff>72600</xdr:rowOff>
    </xdr:to>
    <xdr:sp macro="" textlink="">
      <xdr:nvSpPr>
        <xdr:cNvPr id="97436" name="WS-27">
          <a:extLst>
            <a:ext uri="{FF2B5EF4-FFF2-40B4-BE49-F238E27FC236}">
              <a16:creationId xmlns:a16="http://schemas.microsoft.com/office/drawing/2014/main" id="{00000000-0008-0000-1E00-00009C7C0100}"/>
            </a:ext>
          </a:extLst>
        </xdr:cNvPr>
        <xdr:cNvSpPr/>
      </xdr:nvSpPr>
      <xdr:spPr>
        <a:xfrm>
          <a:off x="21069300" y="16865600"/>
          <a:ext cx="1393400" cy="1368000"/>
        </a:xfrm>
        <a:prstGeom prst="rect">
          <a:avLst/>
        </a:prstGeom>
        <a:solidFill>
          <a:srgbClr val="F6DF0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WS-27</a:t>
          </a:r>
        </a:p>
      </xdr:txBody>
    </xdr:sp>
    <xdr:clientData/>
  </xdr:twoCellAnchor>
  <xdr:twoCellAnchor>
    <xdr:from>
      <xdr:col>24</xdr:col>
      <xdr:colOff>596900</xdr:colOff>
      <xdr:row>70</xdr:row>
      <xdr:rowOff>177800</xdr:rowOff>
    </xdr:from>
    <xdr:to>
      <xdr:col>26</xdr:col>
      <xdr:colOff>817900</xdr:colOff>
      <xdr:row>80</xdr:row>
      <xdr:rowOff>17800</xdr:rowOff>
    </xdr:to>
    <xdr:sp macro="" textlink="">
      <xdr:nvSpPr>
        <xdr:cNvPr id="97437" name="WS-29">
          <a:extLst>
            <a:ext uri="{FF2B5EF4-FFF2-40B4-BE49-F238E27FC236}">
              <a16:creationId xmlns:a16="http://schemas.microsoft.com/office/drawing/2014/main" id="{00000000-0008-0000-1E00-00009D7C0100}"/>
            </a:ext>
          </a:extLst>
        </xdr:cNvPr>
        <xdr:cNvSpPr/>
      </xdr:nvSpPr>
      <xdr:spPr>
        <a:xfrm>
          <a:off x="20840700" y="14884400"/>
          <a:ext cx="1897400" cy="1872000"/>
        </a:xfrm>
        <a:prstGeom prst="rect">
          <a:avLst/>
        </a:prstGeom>
        <a:solidFill>
          <a:srgbClr val="F6DF0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WS-29</a:t>
          </a:r>
        </a:p>
      </xdr:txBody>
    </xdr:sp>
    <xdr:clientData/>
  </xdr:twoCellAnchor>
  <xdr:twoCellAnchor>
    <xdr:from>
      <xdr:col>29</xdr:col>
      <xdr:colOff>317500</xdr:colOff>
      <xdr:row>93</xdr:row>
      <xdr:rowOff>152400</xdr:rowOff>
    </xdr:from>
    <xdr:to>
      <xdr:col>32</xdr:col>
      <xdr:colOff>433000</xdr:colOff>
      <xdr:row>106</xdr:row>
      <xdr:rowOff>102800</xdr:rowOff>
    </xdr:to>
    <xdr:sp macro="" textlink="">
      <xdr:nvSpPr>
        <xdr:cNvPr id="97439" name="WS-32">
          <a:extLst>
            <a:ext uri="{FF2B5EF4-FFF2-40B4-BE49-F238E27FC236}">
              <a16:creationId xmlns:a16="http://schemas.microsoft.com/office/drawing/2014/main" id="{00000000-0008-0000-1E00-00009F7C0100}"/>
            </a:ext>
          </a:extLst>
        </xdr:cNvPr>
        <xdr:cNvSpPr/>
      </xdr:nvSpPr>
      <xdr:spPr>
        <a:xfrm>
          <a:off x="24752300" y="19532600"/>
          <a:ext cx="2630100" cy="2592000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WS-32</a:t>
          </a:r>
        </a:p>
      </xdr:txBody>
    </xdr:sp>
    <xdr:clientData/>
  </xdr:twoCellAnchor>
  <xdr:twoCellAnchor>
    <xdr:from>
      <xdr:col>29</xdr:col>
      <xdr:colOff>723900</xdr:colOff>
      <xdr:row>81</xdr:row>
      <xdr:rowOff>101600</xdr:rowOff>
    </xdr:from>
    <xdr:to>
      <xdr:col>31</xdr:col>
      <xdr:colOff>656899</xdr:colOff>
      <xdr:row>89</xdr:row>
      <xdr:rowOff>59999</xdr:rowOff>
    </xdr:to>
    <xdr:sp macro="" textlink="">
      <xdr:nvSpPr>
        <xdr:cNvPr id="97440" name="WS-33">
          <a:extLst>
            <a:ext uri="{FF2B5EF4-FFF2-40B4-BE49-F238E27FC236}">
              <a16:creationId xmlns:a16="http://schemas.microsoft.com/office/drawing/2014/main" id="{00000000-0008-0000-1E00-0000A07C0100}"/>
            </a:ext>
          </a:extLst>
        </xdr:cNvPr>
        <xdr:cNvSpPr/>
      </xdr:nvSpPr>
      <xdr:spPr>
        <a:xfrm>
          <a:off x="25158700" y="17043400"/>
          <a:ext cx="1609399" cy="1583999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WS-33</a:t>
          </a:r>
        </a:p>
      </xdr:txBody>
    </xdr:sp>
    <xdr:clientData/>
  </xdr:twoCellAnchor>
  <xdr:twoCellAnchor>
    <xdr:from>
      <xdr:col>29</xdr:col>
      <xdr:colOff>190500</xdr:colOff>
      <xdr:row>61</xdr:row>
      <xdr:rowOff>76200</xdr:rowOff>
    </xdr:from>
    <xdr:to>
      <xdr:col>33</xdr:col>
      <xdr:colOff>344500</xdr:colOff>
      <xdr:row>78</xdr:row>
      <xdr:rowOff>77800</xdr:rowOff>
    </xdr:to>
    <xdr:sp macro="" textlink="">
      <xdr:nvSpPr>
        <xdr:cNvPr id="97441" name="WS-34">
          <a:extLst>
            <a:ext uri="{FF2B5EF4-FFF2-40B4-BE49-F238E27FC236}">
              <a16:creationId xmlns:a16="http://schemas.microsoft.com/office/drawing/2014/main" id="{00000000-0008-0000-1E00-0000A17C0100}"/>
            </a:ext>
          </a:extLst>
        </xdr:cNvPr>
        <xdr:cNvSpPr/>
      </xdr:nvSpPr>
      <xdr:spPr>
        <a:xfrm>
          <a:off x="24625300" y="12954000"/>
          <a:ext cx="3506800" cy="3456000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WS-34</a:t>
          </a:r>
        </a:p>
      </xdr:txBody>
    </xdr:sp>
    <xdr:clientData/>
  </xdr:twoCellAnchor>
  <xdr:twoCellAnchor>
    <xdr:from>
      <xdr:col>35</xdr:col>
      <xdr:colOff>622300</xdr:colOff>
      <xdr:row>99</xdr:row>
      <xdr:rowOff>0</xdr:rowOff>
    </xdr:from>
    <xdr:to>
      <xdr:col>37</xdr:col>
      <xdr:colOff>411299</xdr:colOff>
      <xdr:row>106</xdr:row>
      <xdr:rowOff>17600</xdr:rowOff>
    </xdr:to>
    <xdr:sp macro="" textlink="">
      <xdr:nvSpPr>
        <xdr:cNvPr id="97443" name="WS-42">
          <a:extLst>
            <a:ext uri="{FF2B5EF4-FFF2-40B4-BE49-F238E27FC236}">
              <a16:creationId xmlns:a16="http://schemas.microsoft.com/office/drawing/2014/main" id="{00000000-0008-0000-1E00-0000A37C0100}"/>
            </a:ext>
          </a:extLst>
        </xdr:cNvPr>
        <xdr:cNvSpPr/>
      </xdr:nvSpPr>
      <xdr:spPr>
        <a:xfrm>
          <a:off x="30086300" y="20599400"/>
          <a:ext cx="1465399" cy="1440000"/>
        </a:xfrm>
        <a:prstGeom prst="rect">
          <a:avLst/>
        </a:prstGeom>
        <a:solidFill>
          <a:srgbClr val="C40D9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WS-42</a:t>
          </a:r>
        </a:p>
      </xdr:txBody>
    </xdr:sp>
    <xdr:clientData/>
  </xdr:twoCellAnchor>
  <xdr:twoCellAnchor>
    <xdr:from>
      <xdr:col>39</xdr:col>
      <xdr:colOff>635000</xdr:colOff>
      <xdr:row>60</xdr:row>
      <xdr:rowOff>177800</xdr:rowOff>
    </xdr:from>
    <xdr:to>
      <xdr:col>41</xdr:col>
      <xdr:colOff>352000</xdr:colOff>
      <xdr:row>67</xdr:row>
      <xdr:rowOff>123400</xdr:rowOff>
    </xdr:to>
    <xdr:sp macro="" textlink="">
      <xdr:nvSpPr>
        <xdr:cNvPr id="97445" name="WS-44">
          <a:extLst>
            <a:ext uri="{FF2B5EF4-FFF2-40B4-BE49-F238E27FC236}">
              <a16:creationId xmlns:a16="http://schemas.microsoft.com/office/drawing/2014/main" id="{00000000-0008-0000-1E00-0000A57C0100}"/>
            </a:ext>
          </a:extLst>
        </xdr:cNvPr>
        <xdr:cNvSpPr/>
      </xdr:nvSpPr>
      <xdr:spPr>
        <a:xfrm>
          <a:off x="32969200" y="12700000"/>
          <a:ext cx="1368000" cy="1368000"/>
        </a:xfrm>
        <a:prstGeom prst="rect">
          <a:avLst/>
        </a:prstGeom>
        <a:solidFill>
          <a:srgbClr val="774C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8_Facility_Planning_blank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9_Material_Flow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  <sheetName val="S21 Size Calculator"/>
      <sheetName val="S22 Required Machine Hours"/>
      <sheetName val="S23 Available Working Hours"/>
      <sheetName val="S24 Required # of Machines"/>
      <sheetName val="S25 Space Coefficient"/>
      <sheetName val="S26 Space Requireme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  <sheetName val="S21 Size Calculator"/>
      <sheetName val="S22 Required Machine Hours"/>
      <sheetName val="S23 Available Working Hours"/>
      <sheetName val="S24 Required # of Machines"/>
      <sheetName val="S25 Space Coefficient"/>
      <sheetName val="S26 Space Requirements"/>
      <sheetName val="S27 Material Flow Matrix"/>
      <sheetName val="S28 Transportation Matrix"/>
      <sheetName val="S29 Distances Matrix"/>
      <sheetName val="S30 Transport Intensity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6B960-1EAE-6345-BA8B-5FC56DA541F4}" name="Table215" displayName="Table215" ref="S36:AR36" headerRowCount="0" totalsRowShown="0" tableBorderDxfId="13">
  <tableColumns count="26">
    <tableColumn id="1" xr3:uid="{974453D4-31A4-CD4A-AF71-4E2D7BA4EF4E}" name="Column1"/>
    <tableColumn id="2" xr3:uid="{10D9429E-E144-AC42-8DB3-E65DFCFC257E}" name="Column2"/>
    <tableColumn id="3" xr3:uid="{0B36155C-6669-6446-A61C-B5E93457A332}" name="Column3"/>
    <tableColumn id="4" xr3:uid="{10FA8373-0D44-FA40-8D2F-43AC03764CC0}" name="Column4"/>
    <tableColumn id="5" xr3:uid="{ABD3FCA6-4623-7E4F-8F15-0CF22C05C7E8}" name="Column5"/>
    <tableColumn id="6" xr3:uid="{13120102-75CD-4A41-ADC4-619D3952FEE2}" name="Column6"/>
    <tableColumn id="7" xr3:uid="{4EC7F006-77B0-D344-BC4F-C5117AE0CD02}" name="Column7"/>
    <tableColumn id="8" xr3:uid="{33DBA368-E1A8-8045-911D-521069C8217E}" name="Column8"/>
    <tableColumn id="9" xr3:uid="{1DCA7872-FF2F-3E4A-B97D-141551D1F3FF}" name="Column9"/>
    <tableColumn id="10" xr3:uid="{40A0FA9F-DD5C-8147-994F-CB982C6181F5}" name="Column10"/>
    <tableColumn id="11" xr3:uid="{2352D0D3-C9F7-E748-BFE7-A25C6777523E}" name="Column11"/>
    <tableColumn id="12" xr3:uid="{3D4BEB7A-3210-E04A-95C3-1E9E1708769E}" name="Column12"/>
    <tableColumn id="13" xr3:uid="{DA5B19AE-B55C-6044-A2D2-EDEEB3E9A330}" name="Column13"/>
    <tableColumn id="14" xr3:uid="{9EB9DE44-BEA4-7D45-9E32-FD87916F2C7C}" name="Column14"/>
    <tableColumn id="15" xr3:uid="{39D85FBE-8200-7A43-BB89-720EFAC61101}" name="Column15"/>
    <tableColumn id="16" xr3:uid="{306DB3D9-C621-D246-920D-1C535A01134C}" name="Column16"/>
    <tableColumn id="17" xr3:uid="{62C6EB13-CED3-D94D-965F-2119F84B4558}" name="Column17"/>
    <tableColumn id="18" xr3:uid="{BB30FC05-349D-F143-9496-98D1BC0D7C63}" name="Column18"/>
    <tableColumn id="19" xr3:uid="{DD07D164-14F0-114E-B76D-E34E4B9AA519}" name="Column19"/>
    <tableColumn id="20" xr3:uid="{1E5C4D11-D286-554A-999F-E5BE8AB1C1F0}" name="Column20"/>
    <tableColumn id="21" xr3:uid="{4701CB9A-5CBA-7F46-9764-125FC15CF3F4}" name="Column21"/>
    <tableColumn id="22" xr3:uid="{79701327-A379-F24D-BD83-CE422375DFFF}" name="Column22"/>
    <tableColumn id="23" xr3:uid="{00ABE6A8-032E-B14F-A3C6-47B1CA23B29B}" name="Column23"/>
    <tableColumn id="24" xr3:uid="{DF5B5E76-EEE9-C642-B9E9-7F4A4734F8B5}" name="Column24" dataDxfId="12"/>
    <tableColumn id="25" xr3:uid="{4FE5F41C-E5B1-9C46-B57E-48996F5CAF9A}" name="Column25" dataDxfId="11"/>
    <tableColumn id="26" xr3:uid="{47618444-2CC8-6A42-9751-FF5EE4546957}" name="Column26" dataDxfId="10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456742-8D93-6643-B807-047440D022D3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3AB37533-C866-654B-85F5-6CCAB9E0D008}" name="Annual Production Lots Rank" dataDxfId="9">
      <calculatedColumnFormula>RANK(E2,INDEX($S$19:$AR$35, ,HLOOKUP(A2,$S$19:$AR$36,18,0)),0)</calculatedColumnFormula>
    </tableColumn>
    <tableColumn id="2" xr3:uid="{D312325D-5958-0A42-93F5-253AC0614917}" name="Min Lots per WS" dataDxfId="8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436F8B9-1BD6-5D49-AE89-5D5B5E77B8CD}" name="Max Lots per WS2" dataDxfId="7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B21BBCA0-9151-0C41-A3CA-1DECC5FE6C90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>
      <c r="A1" s="1" t="s">
        <v>0</v>
      </c>
      <c r="B1" s="2" t="s">
        <v>136</v>
      </c>
      <c r="C1" s="332" t="s">
        <v>137</v>
      </c>
      <c r="D1" s="332"/>
      <c r="E1" s="332"/>
      <c r="F1" s="332"/>
      <c r="G1" s="332"/>
      <c r="H1" s="332"/>
    </row>
    <row r="2" spans="1:8" ht="31" customHeight="1">
      <c r="A2" s="4">
        <v>1</v>
      </c>
      <c r="B2" s="17" t="s">
        <v>84</v>
      </c>
      <c r="C2" s="36" t="s">
        <v>138</v>
      </c>
      <c r="D2" s="328" t="s">
        <v>139</v>
      </c>
      <c r="E2" s="329"/>
      <c r="F2" s="328" t="s">
        <v>85</v>
      </c>
      <c r="G2" s="329"/>
      <c r="H2" s="4" t="s">
        <v>86</v>
      </c>
    </row>
    <row r="3" spans="1:8" ht="31" customHeight="1">
      <c r="A3" s="4">
        <v>2</v>
      </c>
      <c r="B3" s="18" t="s">
        <v>87</v>
      </c>
      <c r="C3" s="36" t="s">
        <v>88</v>
      </c>
      <c r="D3" s="330" t="s">
        <v>89</v>
      </c>
      <c r="E3" s="331"/>
      <c r="F3" s="328" t="s">
        <v>90</v>
      </c>
      <c r="G3" s="329"/>
      <c r="H3" s="4" t="s">
        <v>91</v>
      </c>
    </row>
    <row r="4" spans="1:8" ht="31" customHeight="1">
      <c r="A4" s="4">
        <v>3</v>
      </c>
      <c r="B4" s="18" t="s">
        <v>92</v>
      </c>
      <c r="C4" s="330" t="s">
        <v>93</v>
      </c>
      <c r="D4" s="331"/>
      <c r="E4" s="328" t="s">
        <v>94</v>
      </c>
      <c r="F4" s="329"/>
      <c r="G4" s="328" t="s">
        <v>95</v>
      </c>
      <c r="H4" s="329"/>
    </row>
    <row r="5" spans="1:8" ht="31" customHeight="1">
      <c r="A5" s="4">
        <v>4</v>
      </c>
      <c r="B5" s="18" t="s">
        <v>96</v>
      </c>
      <c r="C5" s="36" t="s">
        <v>97</v>
      </c>
      <c r="D5" s="328" t="s">
        <v>98</v>
      </c>
      <c r="E5" s="329"/>
      <c r="F5" s="328" t="s">
        <v>99</v>
      </c>
      <c r="G5" s="329"/>
      <c r="H5" s="4" t="s">
        <v>100</v>
      </c>
    </row>
    <row r="6" spans="1:8" ht="31" customHeight="1">
      <c r="A6" s="4">
        <v>5</v>
      </c>
      <c r="B6" s="18" t="s">
        <v>101</v>
      </c>
      <c r="C6" s="330" t="s">
        <v>98</v>
      </c>
      <c r="D6" s="331"/>
      <c r="E6" s="328" t="s">
        <v>102</v>
      </c>
      <c r="F6" s="329"/>
      <c r="G6" s="328" t="s">
        <v>103</v>
      </c>
      <c r="H6" s="329"/>
    </row>
    <row r="7" spans="1:8" ht="31" customHeight="1">
      <c r="A7" s="4">
        <v>6</v>
      </c>
      <c r="B7" s="18" t="s">
        <v>104</v>
      </c>
      <c r="C7" s="330" t="s">
        <v>105</v>
      </c>
      <c r="D7" s="331"/>
      <c r="E7" s="4" t="s">
        <v>106</v>
      </c>
      <c r="F7" s="4"/>
      <c r="G7" s="4" t="s">
        <v>107</v>
      </c>
      <c r="H7" s="4"/>
    </row>
    <row r="8" spans="1:8" ht="31" customHeight="1">
      <c r="A8" s="4">
        <v>7</v>
      </c>
      <c r="B8" s="18" t="s">
        <v>108</v>
      </c>
      <c r="C8" s="36" t="s">
        <v>109</v>
      </c>
      <c r="D8" s="330" t="s">
        <v>110</v>
      </c>
      <c r="E8" s="331"/>
      <c r="F8" s="328" t="s">
        <v>111</v>
      </c>
      <c r="G8" s="329"/>
      <c r="H8" s="4" t="s">
        <v>112</v>
      </c>
    </row>
    <row r="9" spans="1:8" ht="31" customHeight="1">
      <c r="A9" s="4">
        <v>8</v>
      </c>
      <c r="B9" s="18" t="s">
        <v>113</v>
      </c>
      <c r="C9" s="36" t="s">
        <v>114</v>
      </c>
      <c r="D9" s="330" t="s">
        <v>115</v>
      </c>
      <c r="E9" s="331"/>
      <c r="F9" s="328" t="s">
        <v>116</v>
      </c>
      <c r="G9" s="329"/>
      <c r="H9" s="4" t="s">
        <v>117</v>
      </c>
    </row>
    <row r="10" spans="1:8" ht="31" customHeight="1">
      <c r="A10" s="4">
        <v>9</v>
      </c>
      <c r="B10" s="18" t="s">
        <v>118</v>
      </c>
      <c r="C10" s="36" t="s">
        <v>119</v>
      </c>
      <c r="D10" s="330" t="s">
        <v>120</v>
      </c>
      <c r="E10" s="331"/>
      <c r="F10" s="328" t="s">
        <v>121</v>
      </c>
      <c r="G10" s="329"/>
      <c r="H10" s="4" t="s">
        <v>122</v>
      </c>
    </row>
    <row r="11" spans="1:8" ht="31" customHeight="1">
      <c r="A11" s="4">
        <v>10</v>
      </c>
      <c r="B11" s="18" t="s">
        <v>123</v>
      </c>
      <c r="C11" s="36" t="s">
        <v>124</v>
      </c>
      <c r="D11" s="330" t="s">
        <v>125</v>
      </c>
      <c r="E11" s="331"/>
      <c r="F11" s="328" t="s">
        <v>126</v>
      </c>
      <c r="G11" s="329"/>
      <c r="H11" s="4" t="s">
        <v>127</v>
      </c>
    </row>
    <row r="12" spans="1:8" ht="31" customHeight="1">
      <c r="A12" s="4">
        <v>11</v>
      </c>
      <c r="B12" s="18" t="s">
        <v>128</v>
      </c>
      <c r="C12" s="330" t="s">
        <v>129</v>
      </c>
      <c r="D12" s="331"/>
      <c r="E12" s="328" t="s">
        <v>130</v>
      </c>
      <c r="F12" s="329"/>
      <c r="G12" s="328" t="s">
        <v>131</v>
      </c>
      <c r="H12" s="329"/>
    </row>
    <row r="13" spans="1:8" ht="31" customHeight="1">
      <c r="A13" s="4">
        <v>12</v>
      </c>
      <c r="B13" s="18" t="s">
        <v>132</v>
      </c>
      <c r="C13" s="330" t="s">
        <v>133</v>
      </c>
      <c r="D13" s="331"/>
      <c r="E13" s="328" t="s">
        <v>134</v>
      </c>
      <c r="F13" s="329"/>
      <c r="G13" s="328" t="s">
        <v>135</v>
      </c>
      <c r="H13" s="329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G1" workbookViewId="0">
      <selection activeCell="Y4" sqref="Y4"/>
    </sheetView>
  </sheetViews>
  <sheetFormatPr baseColWidth="10" defaultColWidth="11" defaultRowHeight="16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>
      <c r="A1" s="146" t="s">
        <v>83</v>
      </c>
      <c r="B1" s="146" t="s">
        <v>140</v>
      </c>
      <c r="D1" s="333" t="s">
        <v>142</v>
      </c>
      <c r="E1" s="334"/>
      <c r="F1" s="334"/>
      <c r="G1" s="334"/>
      <c r="H1" s="334"/>
      <c r="I1" s="334"/>
      <c r="J1" s="334"/>
      <c r="K1" s="334"/>
      <c r="L1" s="334"/>
      <c r="M1" s="335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>
      <c r="A2" s="3" t="s">
        <v>768</v>
      </c>
      <c r="B2" s="3" t="s">
        <v>10</v>
      </c>
      <c r="D2" s="31"/>
      <c r="E2" s="21"/>
      <c r="F2" s="21"/>
      <c r="G2" s="21"/>
      <c r="H2" s="336" t="s">
        <v>1</v>
      </c>
      <c r="I2" s="337"/>
      <c r="J2" s="336" t="s">
        <v>2</v>
      </c>
      <c r="K2" s="337"/>
      <c r="L2" s="336" t="s">
        <v>3</v>
      </c>
      <c r="M2" s="337"/>
      <c r="O2" s="338" t="s">
        <v>141</v>
      </c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</row>
    <row r="3" spans="1:26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769</v>
      </c>
      <c r="Y3" s="16" t="s">
        <v>770</v>
      </c>
      <c r="Z3" s="16" t="s">
        <v>771</v>
      </c>
    </row>
    <row r="4" spans="1:26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48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>
      <c r="A5" s="3"/>
      <c r="B5" s="3" t="s">
        <v>16</v>
      </c>
      <c r="D5" s="10"/>
      <c r="E5" s="3"/>
      <c r="F5" s="3" t="str">
        <f>B7</f>
        <v>Proximity to airports</v>
      </c>
      <c r="G5" s="148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>
      <c r="A6" s="3"/>
      <c r="B6" s="3" t="s">
        <v>772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48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48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48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>
      <c r="A9" s="3"/>
      <c r="B9" s="3" t="s">
        <v>21</v>
      </c>
      <c r="F9" t="str">
        <f>B43</f>
        <v>Ground water level</v>
      </c>
      <c r="G9" s="148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48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48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>
      <c r="A32" s="3"/>
      <c r="B32" s="3" t="s">
        <v>46</v>
      </c>
    </row>
    <row r="33" spans="1:2">
      <c r="A33" s="3"/>
      <c r="B33" s="3" t="s">
        <v>47</v>
      </c>
    </row>
    <row r="34" spans="1:2">
      <c r="A34" s="3" t="s">
        <v>17</v>
      </c>
      <c r="B34" s="3" t="s">
        <v>48</v>
      </c>
    </row>
    <row r="35" spans="1:2">
      <c r="A35" s="3"/>
      <c r="B35" s="3" t="s">
        <v>49</v>
      </c>
    </row>
    <row r="36" spans="1:2">
      <c r="A36" s="3"/>
      <c r="B36" s="3" t="s">
        <v>50</v>
      </c>
    </row>
    <row r="37" spans="1:2">
      <c r="A37" s="3"/>
      <c r="B37" s="3" t="s">
        <v>51</v>
      </c>
    </row>
    <row r="38" spans="1:2">
      <c r="A38" s="3"/>
      <c r="B38" s="3" t="s">
        <v>52</v>
      </c>
    </row>
    <row r="39" spans="1:2">
      <c r="A39" s="3"/>
      <c r="B39" s="3" t="s">
        <v>53</v>
      </c>
    </row>
    <row r="40" spans="1:2">
      <c r="A40" s="3"/>
      <c r="B40" s="3" t="s">
        <v>54</v>
      </c>
    </row>
    <row r="41" spans="1:2">
      <c r="A41" s="3"/>
      <c r="B41" s="3" t="s">
        <v>55</v>
      </c>
    </row>
    <row r="42" spans="1:2">
      <c r="A42" s="3"/>
      <c r="B42" s="3" t="s">
        <v>56</v>
      </c>
    </row>
    <row r="43" spans="1:2">
      <c r="A43" s="3"/>
      <c r="B43" s="3" t="s">
        <v>57</v>
      </c>
    </row>
    <row r="44" spans="1:2">
      <c r="A44" s="3"/>
      <c r="B44" s="3" t="s">
        <v>58</v>
      </c>
    </row>
    <row r="45" spans="1:2">
      <c r="A45" s="3" t="s">
        <v>18</v>
      </c>
      <c r="B45" s="3" t="s">
        <v>59</v>
      </c>
    </row>
    <row r="46" spans="1:2">
      <c r="A46" s="3"/>
      <c r="B46" s="3" t="s">
        <v>60</v>
      </c>
    </row>
    <row r="47" spans="1:2">
      <c r="A47" s="3"/>
      <c r="B47" s="3" t="s">
        <v>61</v>
      </c>
    </row>
    <row r="48" spans="1:2">
      <c r="A48" s="3"/>
      <c r="B48" s="3" t="s">
        <v>62</v>
      </c>
    </row>
    <row r="49" spans="1:2">
      <c r="A49" s="3"/>
      <c r="B49" s="3" t="s">
        <v>63</v>
      </c>
    </row>
    <row r="50" spans="1:2">
      <c r="A50" s="3"/>
      <c r="B50" s="3" t="s">
        <v>64</v>
      </c>
    </row>
    <row r="51" spans="1:2">
      <c r="A51" s="3" t="s">
        <v>65</v>
      </c>
      <c r="B51" s="3" t="s">
        <v>66</v>
      </c>
    </row>
    <row r="52" spans="1:2">
      <c r="A52" s="3"/>
      <c r="B52" s="3" t="s">
        <v>67</v>
      </c>
    </row>
    <row r="53" spans="1:2">
      <c r="A53" s="3" t="s">
        <v>68</v>
      </c>
      <c r="B53" s="3" t="s">
        <v>69</v>
      </c>
    </row>
    <row r="54" spans="1:2">
      <c r="A54" s="3"/>
      <c r="B54" s="3" t="s">
        <v>70</v>
      </c>
    </row>
    <row r="55" spans="1:2">
      <c r="A55" s="3" t="s">
        <v>71</v>
      </c>
      <c r="B55" s="3" t="s">
        <v>72</v>
      </c>
    </row>
    <row r="56" spans="1:2">
      <c r="A56" s="3"/>
      <c r="B56" s="3" t="s">
        <v>73</v>
      </c>
    </row>
    <row r="57" spans="1:2">
      <c r="A57" s="3" t="s">
        <v>74</v>
      </c>
      <c r="B57" s="3" t="s">
        <v>75</v>
      </c>
    </row>
    <row r="58" spans="1:2">
      <c r="A58" s="3"/>
      <c r="B58" s="3" t="s">
        <v>76</v>
      </c>
    </row>
    <row r="59" spans="1:2">
      <c r="A59" s="3"/>
      <c r="B59" s="3" t="s">
        <v>77</v>
      </c>
    </row>
    <row r="60" spans="1:2">
      <c r="A60" s="3"/>
      <c r="B60" s="3" t="s">
        <v>78</v>
      </c>
    </row>
    <row r="61" spans="1:2">
      <c r="A61" s="3"/>
      <c r="B61" s="3" t="s">
        <v>79</v>
      </c>
    </row>
    <row r="62" spans="1:2">
      <c r="A62" s="3"/>
      <c r="B62" s="3" t="s">
        <v>80</v>
      </c>
    </row>
    <row r="63" spans="1:2">
      <c r="A63" s="3"/>
      <c r="B63" s="3" t="s">
        <v>81</v>
      </c>
    </row>
    <row r="64" spans="1: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139" workbookViewId="0">
      <selection activeCell="Y4" sqref="Y4"/>
    </sheetView>
  </sheetViews>
  <sheetFormatPr baseColWidth="10" defaultColWidth="11" defaultRowHeight="16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>
      <c r="A2" s="149">
        <v>0</v>
      </c>
      <c r="B2" s="32"/>
      <c r="C2" s="32"/>
      <c r="D2" s="32"/>
      <c r="E2" s="32"/>
      <c r="F2" s="32">
        <v>0</v>
      </c>
    </row>
    <row r="3" spans="1:6" ht="17">
      <c r="A3" s="150" t="s">
        <v>149</v>
      </c>
      <c r="B3" s="151">
        <v>50</v>
      </c>
      <c r="C3" s="151">
        <v>9000</v>
      </c>
      <c r="D3" s="150">
        <f t="shared" ref="D3:D22" si="0">B3*C3</f>
        <v>450000</v>
      </c>
      <c r="E3" s="152">
        <f t="shared" ref="E3:E22" si="1">D3/$D$23</f>
        <v>0.57531257051574214</v>
      </c>
      <c r="F3" s="152">
        <f>E3+F2</f>
        <v>0.57531257051574214</v>
      </c>
    </row>
    <row r="4" spans="1:6" ht="17">
      <c r="A4" s="150" t="s">
        <v>150</v>
      </c>
      <c r="B4" s="151">
        <v>1200</v>
      </c>
      <c r="C4" s="151">
        <v>105</v>
      </c>
      <c r="D4" s="150">
        <f t="shared" si="0"/>
        <v>126000</v>
      </c>
      <c r="E4" s="152">
        <f t="shared" si="1"/>
        <v>0.1610875197444078</v>
      </c>
      <c r="F4" s="152">
        <f t="shared" ref="F4:F22" si="2">E4+F3</f>
        <v>0.73640009026014996</v>
      </c>
    </row>
    <row r="5" spans="1:6" ht="17">
      <c r="A5" s="150" t="s">
        <v>151</v>
      </c>
      <c r="B5" s="151">
        <v>9500</v>
      </c>
      <c r="C5" s="151">
        <v>7</v>
      </c>
      <c r="D5" s="150">
        <f t="shared" si="0"/>
        <v>66500</v>
      </c>
      <c r="E5" s="152">
        <f t="shared" si="1"/>
        <v>8.5018413198437448E-2</v>
      </c>
      <c r="F5" s="152">
        <f t="shared" si="2"/>
        <v>0.82141850345858747</v>
      </c>
    </row>
    <row r="6" spans="1:6" ht="17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>
      <c r="A23" s="3"/>
      <c r="B23" s="3"/>
      <c r="C23" s="3"/>
      <c r="D23" s="33">
        <f>SUM(D3:D22)</f>
        <v>782183.5</v>
      </c>
      <c r="E23" s="33"/>
      <c r="F23" s="33"/>
    </row>
    <row r="24" spans="1:6">
      <c r="D24" s="147"/>
      <c r="E24" s="147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25" zoomScaleNormal="80" workbookViewId="0">
      <selection activeCell="Y4" sqref="Y4"/>
    </sheetView>
  </sheetViews>
  <sheetFormatPr baseColWidth="10" defaultColWidth="11" defaultRowHeight="16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38" customFormat="1" ht="17" thickBot="1">
      <c r="A1" s="137"/>
      <c r="B1" s="153" t="s">
        <v>773</v>
      </c>
      <c r="C1" s="154">
        <v>41640</v>
      </c>
      <c r="D1" s="154">
        <v>41671</v>
      </c>
      <c r="E1" s="154">
        <v>41699</v>
      </c>
      <c r="F1" s="154">
        <v>41730</v>
      </c>
      <c r="G1" s="154">
        <v>41760</v>
      </c>
      <c r="H1" s="154">
        <v>41791</v>
      </c>
      <c r="I1" s="154">
        <v>41821</v>
      </c>
      <c r="J1" s="154">
        <v>41852</v>
      </c>
      <c r="K1" s="154">
        <v>41883</v>
      </c>
      <c r="L1" s="154">
        <v>41913</v>
      </c>
      <c r="M1" s="154">
        <v>41944</v>
      </c>
      <c r="N1" s="154">
        <v>41974</v>
      </c>
      <c r="O1" s="154">
        <v>42005</v>
      </c>
      <c r="P1" s="154">
        <v>42036</v>
      </c>
      <c r="Q1" s="154">
        <v>42064</v>
      </c>
      <c r="R1" s="154">
        <v>42095</v>
      </c>
      <c r="S1" s="154">
        <v>42125</v>
      </c>
      <c r="T1" s="154">
        <v>42156</v>
      </c>
      <c r="U1" s="154">
        <v>42186</v>
      </c>
      <c r="V1" s="154">
        <v>42217</v>
      </c>
      <c r="W1" s="154">
        <v>42248</v>
      </c>
      <c r="X1" s="154">
        <v>42278</v>
      </c>
      <c r="Y1" s="154">
        <v>42309</v>
      </c>
      <c r="Z1" s="154">
        <v>42339</v>
      </c>
      <c r="AA1" s="154">
        <v>42370</v>
      </c>
      <c r="AB1" s="154">
        <v>42401</v>
      </c>
      <c r="AC1" s="154">
        <v>42430</v>
      </c>
      <c r="AD1" s="154">
        <v>42461</v>
      </c>
      <c r="AE1" s="154">
        <v>42491</v>
      </c>
      <c r="AF1" s="154">
        <v>42522</v>
      </c>
      <c r="AG1" s="154">
        <v>42552</v>
      </c>
      <c r="AH1" s="154">
        <v>42583</v>
      </c>
      <c r="AI1" s="154">
        <v>42614</v>
      </c>
      <c r="AJ1" s="154">
        <v>42644</v>
      </c>
      <c r="AK1" s="154">
        <v>42675</v>
      </c>
      <c r="AL1" s="154">
        <v>42705</v>
      </c>
      <c r="AM1" s="154">
        <v>42736</v>
      </c>
      <c r="AN1" s="154">
        <v>42767</v>
      </c>
      <c r="AO1" s="154">
        <v>42795</v>
      </c>
      <c r="AP1" s="154">
        <v>42826</v>
      </c>
      <c r="AQ1" s="154">
        <v>42856</v>
      </c>
      <c r="AR1" s="154">
        <v>42887</v>
      </c>
      <c r="AS1" s="154">
        <v>42917</v>
      </c>
      <c r="AT1" s="154">
        <v>42948</v>
      </c>
      <c r="AU1" s="154">
        <v>42979</v>
      </c>
      <c r="AV1" s="154">
        <v>43009</v>
      </c>
      <c r="AW1" s="154">
        <v>43040</v>
      </c>
      <c r="AX1" s="154">
        <v>43070</v>
      </c>
      <c r="AY1" s="154">
        <v>43101</v>
      </c>
      <c r="AZ1" s="154">
        <v>43132</v>
      </c>
      <c r="BA1" s="154">
        <v>43160</v>
      </c>
      <c r="BB1" s="154">
        <v>43191</v>
      </c>
      <c r="BC1" s="154">
        <v>43221</v>
      </c>
      <c r="BD1" s="154">
        <v>43252</v>
      </c>
      <c r="BE1" s="154">
        <v>43282</v>
      </c>
      <c r="BF1" s="154">
        <v>43313</v>
      </c>
      <c r="BG1" s="154">
        <v>43344</v>
      </c>
      <c r="BH1" s="154">
        <v>43374</v>
      </c>
      <c r="BI1" s="154">
        <v>43405</v>
      </c>
      <c r="BJ1" s="154">
        <v>43435</v>
      </c>
      <c r="BK1" s="154">
        <v>43466</v>
      </c>
      <c r="BL1" s="154">
        <v>43497</v>
      </c>
      <c r="BM1" s="154">
        <v>43525</v>
      </c>
      <c r="BN1" s="154">
        <v>43556</v>
      </c>
      <c r="BO1" s="154">
        <v>43586</v>
      </c>
      <c r="BP1" s="154">
        <v>43617</v>
      </c>
      <c r="BQ1" s="154">
        <v>43647</v>
      </c>
      <c r="BR1" s="154">
        <v>43678</v>
      </c>
      <c r="BS1" s="154">
        <v>43709</v>
      </c>
      <c r="BT1" s="154">
        <v>43739</v>
      </c>
      <c r="BU1" s="154">
        <v>43770</v>
      </c>
      <c r="BV1" s="154">
        <v>43800</v>
      </c>
      <c r="BW1" s="154">
        <v>43831</v>
      </c>
      <c r="BX1" s="154">
        <v>43862</v>
      </c>
      <c r="BY1" s="154">
        <v>43891</v>
      </c>
      <c r="BZ1" s="154">
        <v>43922</v>
      </c>
      <c r="CA1" s="154">
        <v>43952</v>
      </c>
      <c r="CB1" s="154">
        <v>43983</v>
      </c>
      <c r="CC1" s="154">
        <v>44013</v>
      </c>
      <c r="CD1" s="154">
        <v>44044</v>
      </c>
      <c r="CE1" s="154">
        <v>44075</v>
      </c>
      <c r="CF1" s="154">
        <v>44105</v>
      </c>
      <c r="CG1" s="154">
        <v>44136</v>
      </c>
      <c r="CH1" s="154">
        <v>44166</v>
      </c>
    </row>
    <row r="2" spans="1:86" s="66" customFormat="1">
      <c r="A2" s="155" t="s">
        <v>774</v>
      </c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8"/>
    </row>
    <row r="3" spans="1:86">
      <c r="A3" s="10" t="s">
        <v>775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>
      <c r="A4" s="10" t="s">
        <v>776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>
      <c r="A5" s="10" t="s">
        <v>777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>
      <c r="A6" s="10" t="s">
        <v>778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>
      <c r="A7" s="10" t="s">
        <v>779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>
      <c r="A8" s="10" t="s">
        <v>780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>
      <c r="A9" s="10" t="s">
        <v>781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>
      <c r="A10" s="139" t="s">
        <v>782</v>
      </c>
      <c r="B10" s="140"/>
      <c r="C10" s="140">
        <f>C8-C7-(C6*B5)</f>
        <v>-199310.36</v>
      </c>
      <c r="D10" s="140">
        <f t="shared" ref="D10:BO10" si="6">D8-D7-(D6*C5)</f>
        <v>-202420</v>
      </c>
      <c r="E10" s="140">
        <f t="shared" si="6"/>
        <v>-205157</v>
      </c>
      <c r="F10" s="140">
        <f t="shared" si="6"/>
        <v>-205605.6</v>
      </c>
      <c r="G10" s="140">
        <f t="shared" si="6"/>
        <v>-202424.432</v>
      </c>
      <c r="H10" s="140">
        <f t="shared" si="6"/>
        <v>-192929.16064000002</v>
      </c>
      <c r="I10" s="140">
        <f t="shared" si="6"/>
        <v>-168826.48385280001</v>
      </c>
      <c r="J10" s="140">
        <f t="shared" si="6"/>
        <v>-116767.13352985602</v>
      </c>
      <c r="K10" s="140">
        <f t="shared" si="6"/>
        <v>-8549.8762004531454</v>
      </c>
      <c r="L10" s="140">
        <f t="shared" si="6"/>
        <v>213177.48627553778</v>
      </c>
      <c r="M10" s="140">
        <f t="shared" si="6"/>
        <v>660830.11600104859</v>
      </c>
      <c r="N10" s="140">
        <f t="shared" si="6"/>
        <v>1560662.1383210695</v>
      </c>
      <c r="O10" s="140">
        <f t="shared" si="6"/>
        <v>2072822.6410874908</v>
      </c>
      <c r="P10" s="140">
        <f t="shared" si="6"/>
        <v>2614350.6739092409</v>
      </c>
      <c r="Q10" s="140">
        <f t="shared" si="6"/>
        <v>3119911.2473874255</v>
      </c>
      <c r="R10" s="140">
        <f t="shared" si="6"/>
        <v>3588633.3323351741</v>
      </c>
      <c r="S10" s="140">
        <f t="shared" si="6"/>
        <v>3800578.8589818776</v>
      </c>
      <c r="T10" s="140">
        <f t="shared" si="6"/>
        <v>4021580.7161615151</v>
      </c>
      <c r="U10" s="140">
        <f t="shared" si="6"/>
        <v>4159285.7504847455</v>
      </c>
      <c r="V10" s="140">
        <f t="shared" si="6"/>
        <v>4295772.7654944398</v>
      </c>
      <c r="W10" s="140">
        <f t="shared" si="6"/>
        <v>4405127.5208043288</v>
      </c>
      <c r="X10" s="140">
        <f t="shared" si="6"/>
        <v>4517051.7312204158</v>
      </c>
      <c r="Y10" s="140">
        <f t="shared" si="6"/>
        <v>4621668.0658448236</v>
      </c>
      <c r="Z10" s="140">
        <f t="shared" si="6"/>
        <v>4762503.1471617203</v>
      </c>
      <c r="AA10" s="140">
        <f t="shared" si="6"/>
        <v>4882200.5501049552</v>
      </c>
      <c r="AB10" s="140">
        <f t="shared" si="6"/>
        <v>4965194.8011070536</v>
      </c>
      <c r="AC10" s="140">
        <f t="shared" si="6"/>
        <v>5098857.3771291953</v>
      </c>
      <c r="AD10" s="140">
        <f t="shared" si="6"/>
        <v>5245976.7046717787</v>
      </c>
      <c r="AE10" s="140">
        <f t="shared" si="6"/>
        <v>5394147.1587652145</v>
      </c>
      <c r="AF10" s="140">
        <f t="shared" si="6"/>
        <v>5470133.0619405191</v>
      </c>
      <c r="AG10" s="140">
        <f t="shared" si="6"/>
        <v>5611707.6831793291</v>
      </c>
      <c r="AH10" s="140">
        <f t="shared" si="6"/>
        <v>5700684.2368429154</v>
      </c>
      <c r="AI10" s="140">
        <f t="shared" si="6"/>
        <v>5836283.8815797735</v>
      </c>
      <c r="AJ10" s="140">
        <f t="shared" si="6"/>
        <v>5974421.7192113698</v>
      </c>
      <c r="AK10" s="140">
        <f t="shared" si="6"/>
        <v>6120861.7935955971</v>
      </c>
      <c r="AL10" s="140">
        <f t="shared" si="6"/>
        <v>6251506.0894675087</v>
      </c>
      <c r="AM10" s="140">
        <f t="shared" si="6"/>
        <v>6382941.5312568592</v>
      </c>
      <c r="AN10" s="140">
        <f t="shared" si="6"/>
        <v>6480088.9818819957</v>
      </c>
      <c r="AO10" s="140">
        <f t="shared" si="6"/>
        <v>6555743.2415196355</v>
      </c>
      <c r="AP10" s="140">
        <f t="shared" si="6"/>
        <v>6615352.0463500284</v>
      </c>
      <c r="AQ10" s="140">
        <f t="shared" si="6"/>
        <v>6665469.0672770292</v>
      </c>
      <c r="AR10" s="140">
        <f t="shared" si="6"/>
        <v>6650553.9086225703</v>
      </c>
      <c r="AS10" s="140">
        <f t="shared" si="6"/>
        <v>6636331.1067950213</v>
      </c>
      <c r="AT10" s="140">
        <f t="shared" si="6"/>
        <v>6628485.1289309217</v>
      </c>
      <c r="AU10" s="140">
        <f t="shared" si="6"/>
        <v>6619744.3715095399</v>
      </c>
      <c r="AV10" s="140">
        <f t="shared" si="6"/>
        <v>6608130.1589397304</v>
      </c>
      <c r="AW10" s="140">
        <f t="shared" si="6"/>
        <v>6598062.7421185253</v>
      </c>
      <c r="AX10" s="140">
        <f t="shared" si="6"/>
        <v>6588432.2969608959</v>
      </c>
      <c r="AY10" s="140">
        <f t="shared" si="6"/>
        <v>6578918.9229001142</v>
      </c>
      <c r="AZ10" s="140">
        <f t="shared" si="6"/>
        <v>6568096.6413581166</v>
      </c>
      <c r="BA10" s="140">
        <f t="shared" si="6"/>
        <v>6556277.3941852786</v>
      </c>
      <c r="BB10" s="140">
        <f t="shared" si="6"/>
        <v>6543457.0420689844</v>
      </c>
      <c r="BC10" s="140">
        <f t="shared" si="6"/>
        <v>6531369.3629103638</v>
      </c>
      <c r="BD10" s="140">
        <f t="shared" si="6"/>
        <v>6519141.0501685711</v>
      </c>
      <c r="BE10" s="140">
        <f t="shared" si="6"/>
        <v>6507399.7111719418</v>
      </c>
      <c r="BF10" s="140">
        <f t="shared" si="6"/>
        <v>6494481.8653953811</v>
      </c>
      <c r="BG10" s="140">
        <f t="shared" si="6"/>
        <v>6481962.942703289</v>
      </c>
      <c r="BH10" s="140">
        <f t="shared" si="6"/>
        <v>6467626.2815573541</v>
      </c>
      <c r="BI10" s="140">
        <f t="shared" si="6"/>
        <v>6455338.1271885019</v>
      </c>
      <c r="BJ10" s="140">
        <f t="shared" si="6"/>
        <v>6443434.6297322717</v>
      </c>
      <c r="BK10" s="140">
        <f t="shared" si="6"/>
        <v>6430646.8423269168</v>
      </c>
      <c r="BL10" s="140">
        <f t="shared" si="6"/>
        <v>6415547.7191734556</v>
      </c>
      <c r="BM10" s="140">
        <f t="shared" si="6"/>
        <v>6401055.1135569243</v>
      </c>
      <c r="BN10" s="140">
        <f t="shared" si="6"/>
        <v>6387953.7758280626</v>
      </c>
      <c r="BO10" s="140">
        <f t="shared" si="6"/>
        <v>6372367.3513446245</v>
      </c>
      <c r="BP10" s="140">
        <f t="shared" ref="BP10:CH10" si="7">BP8-BP7-(BP6*BO5)</f>
        <v>6358714.3783715162</v>
      </c>
      <c r="BQ10" s="140">
        <f t="shared" si="7"/>
        <v>6344066.2859389465</v>
      </c>
      <c r="BR10" s="140">
        <f t="shared" si="7"/>
        <v>6316251.3916577259</v>
      </c>
      <c r="BS10" s="140">
        <f t="shared" si="7"/>
        <v>6278660.8994908808</v>
      </c>
      <c r="BT10" s="140">
        <f t="shared" si="7"/>
        <v>6236660.8974806983</v>
      </c>
      <c r="BU10" s="140">
        <f t="shared" si="7"/>
        <v>6183609.3554303125</v>
      </c>
      <c r="BV10" s="140">
        <f t="shared" si="7"/>
        <v>6156235.1225389186</v>
      </c>
      <c r="BW10" s="140">
        <f t="shared" si="7"/>
        <v>6100337.9249896966</v>
      </c>
      <c r="BX10" s="140">
        <f t="shared" si="7"/>
        <v>6036056.36348949</v>
      </c>
      <c r="BY10" s="140">
        <f t="shared" si="7"/>
        <v>5906819.9107592804</v>
      </c>
      <c r="BZ10" s="140">
        <f t="shared" si="7"/>
        <v>5698401.9089744659</v>
      </c>
      <c r="CA10" s="140">
        <f t="shared" si="7"/>
        <v>5440578.5671539549</v>
      </c>
      <c r="CB10" s="140">
        <f t="shared" si="7"/>
        <v>5008364.9584970344</v>
      </c>
      <c r="CC10" s="140">
        <f t="shared" si="7"/>
        <v>4248494.017666975</v>
      </c>
      <c r="CD10" s="140">
        <f t="shared" si="7"/>
        <v>3441092.5380203142</v>
      </c>
      <c r="CE10" s="140">
        <f t="shared" si="7"/>
        <v>2482742.1687807203</v>
      </c>
      <c r="CF10" s="140">
        <f t="shared" si="7"/>
        <v>1120714.4121563348</v>
      </c>
      <c r="CG10" s="140">
        <f t="shared" si="7"/>
        <v>-95000.379600538523</v>
      </c>
      <c r="CH10" s="140">
        <f t="shared" si="7"/>
        <v>-225890.0071925493</v>
      </c>
    </row>
    <row r="11" spans="1:86" ht="17" thickBot="1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159"/>
      <c r="CH11" s="159"/>
    </row>
    <row r="12" spans="1:86">
      <c r="A12" s="155" t="s">
        <v>783</v>
      </c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>
      <c r="A13" s="10" t="s">
        <v>784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>
      <c r="A14" s="10" t="s">
        <v>785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>
      <c r="A15" s="10" t="s">
        <v>786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>
      <c r="A16" s="10" t="s">
        <v>787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>
      <c r="A17" s="10" t="s">
        <v>788</v>
      </c>
      <c r="B17" s="3">
        <v>670</v>
      </c>
      <c r="C17" s="3">
        <f ca="1">RANDBETWEEN(600, 750)</f>
        <v>685</v>
      </c>
      <c r="D17" s="3">
        <f t="shared" ref="D17:BO17" ca="1" si="8">RANDBETWEEN(600, 750)</f>
        <v>720</v>
      </c>
      <c r="E17" s="3">
        <f t="shared" ca="1" si="8"/>
        <v>652</v>
      </c>
      <c r="F17" s="3">
        <f t="shared" ca="1" si="8"/>
        <v>628</v>
      </c>
      <c r="G17" s="3">
        <f t="shared" ca="1" si="8"/>
        <v>617</v>
      </c>
      <c r="H17" s="3">
        <f t="shared" ca="1" si="8"/>
        <v>673</v>
      </c>
      <c r="I17" s="3">
        <f t="shared" ca="1" si="8"/>
        <v>634</v>
      </c>
      <c r="J17" s="3">
        <f t="shared" ca="1" si="8"/>
        <v>621</v>
      </c>
      <c r="K17" s="3">
        <f t="shared" ca="1" si="8"/>
        <v>618</v>
      </c>
      <c r="L17" s="3">
        <f t="shared" ca="1" si="8"/>
        <v>709</v>
      </c>
      <c r="M17" s="3">
        <f t="shared" ca="1" si="8"/>
        <v>615</v>
      </c>
      <c r="N17" s="3">
        <f t="shared" ca="1" si="8"/>
        <v>710</v>
      </c>
      <c r="O17" s="3">
        <f t="shared" ca="1" si="8"/>
        <v>741</v>
      </c>
      <c r="P17" s="3">
        <f t="shared" ca="1" si="8"/>
        <v>658</v>
      </c>
      <c r="Q17" s="3">
        <f t="shared" ca="1" si="8"/>
        <v>619</v>
      </c>
      <c r="R17" s="3">
        <f t="shared" ca="1" si="8"/>
        <v>658</v>
      </c>
      <c r="S17" s="3">
        <f t="shared" ca="1" si="8"/>
        <v>613</v>
      </c>
      <c r="T17" s="3">
        <f t="shared" ca="1" si="8"/>
        <v>697</v>
      </c>
      <c r="U17" s="3">
        <f t="shared" ca="1" si="8"/>
        <v>694</v>
      </c>
      <c r="V17" s="3">
        <f t="shared" ca="1" si="8"/>
        <v>688</v>
      </c>
      <c r="W17" s="3">
        <f t="shared" ca="1" si="8"/>
        <v>622</v>
      </c>
      <c r="X17" s="3">
        <f t="shared" ca="1" si="8"/>
        <v>726</v>
      </c>
      <c r="Y17" s="3">
        <f t="shared" ca="1" si="8"/>
        <v>720</v>
      </c>
      <c r="Z17" s="3">
        <f t="shared" ca="1" si="8"/>
        <v>737</v>
      </c>
      <c r="AA17" s="3">
        <f t="shared" ca="1" si="8"/>
        <v>616</v>
      </c>
      <c r="AB17" s="3">
        <f t="shared" ca="1" si="8"/>
        <v>734</v>
      </c>
      <c r="AC17" s="3">
        <f t="shared" ca="1" si="8"/>
        <v>617</v>
      </c>
      <c r="AD17" s="3">
        <f t="shared" ca="1" si="8"/>
        <v>613</v>
      </c>
      <c r="AE17" s="3">
        <f t="shared" ca="1" si="8"/>
        <v>679</v>
      </c>
      <c r="AF17" s="3">
        <f t="shared" ca="1" si="8"/>
        <v>678</v>
      </c>
      <c r="AG17" s="3">
        <f t="shared" ca="1" si="8"/>
        <v>656</v>
      </c>
      <c r="AH17" s="3">
        <f t="shared" ca="1" si="8"/>
        <v>614</v>
      </c>
      <c r="AI17" s="3">
        <f t="shared" ca="1" si="8"/>
        <v>666</v>
      </c>
      <c r="AJ17" s="3">
        <f t="shared" ca="1" si="8"/>
        <v>672</v>
      </c>
      <c r="AK17" s="3">
        <f t="shared" ca="1" si="8"/>
        <v>623</v>
      </c>
      <c r="AL17" s="3">
        <f t="shared" ca="1" si="8"/>
        <v>730</v>
      </c>
      <c r="AM17" s="3">
        <f t="shared" ca="1" si="8"/>
        <v>710</v>
      </c>
      <c r="AN17" s="3">
        <f t="shared" ca="1" si="8"/>
        <v>663</v>
      </c>
      <c r="AO17" s="3">
        <f t="shared" ca="1" si="8"/>
        <v>629</v>
      </c>
      <c r="AP17" s="3">
        <f t="shared" ca="1" si="8"/>
        <v>640</v>
      </c>
      <c r="AQ17" s="3">
        <f t="shared" ca="1" si="8"/>
        <v>733</v>
      </c>
      <c r="AR17" s="3">
        <f t="shared" ca="1" si="8"/>
        <v>643</v>
      </c>
      <c r="AS17" s="3">
        <f t="shared" ca="1" si="8"/>
        <v>714</v>
      </c>
      <c r="AT17" s="3">
        <f t="shared" ca="1" si="8"/>
        <v>605</v>
      </c>
      <c r="AU17" s="3">
        <f t="shared" ca="1" si="8"/>
        <v>748</v>
      </c>
      <c r="AV17" s="3">
        <f t="shared" ca="1" si="8"/>
        <v>708</v>
      </c>
      <c r="AW17" s="3">
        <f t="shared" ca="1" si="8"/>
        <v>690</v>
      </c>
      <c r="AX17" s="3">
        <f t="shared" ca="1" si="8"/>
        <v>669</v>
      </c>
      <c r="AY17" s="3">
        <f t="shared" ca="1" si="8"/>
        <v>729</v>
      </c>
      <c r="AZ17" s="3">
        <f t="shared" ca="1" si="8"/>
        <v>643</v>
      </c>
      <c r="BA17" s="3">
        <f t="shared" ca="1" si="8"/>
        <v>617</v>
      </c>
      <c r="BB17" s="3">
        <f t="shared" ca="1" si="8"/>
        <v>706</v>
      </c>
      <c r="BC17" s="3">
        <f t="shared" ca="1" si="8"/>
        <v>606</v>
      </c>
      <c r="BD17" s="3">
        <f t="shared" ca="1" si="8"/>
        <v>601</v>
      </c>
      <c r="BE17" s="3">
        <f t="shared" ca="1" si="8"/>
        <v>715</v>
      </c>
      <c r="BF17" s="3">
        <f t="shared" ca="1" si="8"/>
        <v>624</v>
      </c>
      <c r="BG17" s="3">
        <f t="shared" ca="1" si="8"/>
        <v>660</v>
      </c>
      <c r="BH17" s="3">
        <f t="shared" ca="1" si="8"/>
        <v>703</v>
      </c>
      <c r="BI17" s="3">
        <f t="shared" ca="1" si="8"/>
        <v>652</v>
      </c>
      <c r="BJ17" s="3">
        <f t="shared" ca="1" si="8"/>
        <v>615</v>
      </c>
      <c r="BK17" s="3">
        <f t="shared" ca="1" si="8"/>
        <v>706</v>
      </c>
      <c r="BL17" s="3">
        <f t="shared" ca="1" si="8"/>
        <v>724</v>
      </c>
      <c r="BM17" s="3">
        <f t="shared" ca="1" si="8"/>
        <v>732</v>
      </c>
      <c r="BN17" s="3">
        <f t="shared" ca="1" si="8"/>
        <v>689</v>
      </c>
      <c r="BO17" s="3">
        <f t="shared" ca="1" si="8"/>
        <v>733</v>
      </c>
      <c r="BP17" s="3">
        <f t="shared" ref="BP17:CH17" ca="1" si="9">RANDBETWEEN(600, 750)</f>
        <v>650</v>
      </c>
      <c r="BQ17" s="3">
        <f t="shared" ca="1" si="9"/>
        <v>621</v>
      </c>
      <c r="BR17" s="3">
        <f t="shared" ca="1" si="9"/>
        <v>621</v>
      </c>
      <c r="BS17" s="3">
        <f t="shared" ca="1" si="9"/>
        <v>631</v>
      </c>
      <c r="BT17" s="3">
        <f t="shared" ca="1" si="9"/>
        <v>670</v>
      </c>
      <c r="BU17" s="3">
        <f t="shared" ca="1" si="9"/>
        <v>699</v>
      </c>
      <c r="BV17" s="3">
        <f t="shared" ca="1" si="9"/>
        <v>624</v>
      </c>
      <c r="BW17" s="3">
        <f t="shared" ca="1" si="9"/>
        <v>673</v>
      </c>
      <c r="BX17" s="3">
        <f t="shared" ca="1" si="9"/>
        <v>670</v>
      </c>
      <c r="BY17" s="3">
        <f t="shared" ca="1" si="9"/>
        <v>722</v>
      </c>
      <c r="BZ17" s="3">
        <f t="shared" ca="1" si="9"/>
        <v>724</v>
      </c>
      <c r="CA17" s="3">
        <f t="shared" ca="1" si="9"/>
        <v>686</v>
      </c>
      <c r="CB17" s="3">
        <f t="shared" ca="1" si="9"/>
        <v>717</v>
      </c>
      <c r="CC17" s="3">
        <f t="shared" ca="1" si="9"/>
        <v>750</v>
      </c>
      <c r="CD17" s="3">
        <f t="shared" ca="1" si="9"/>
        <v>729</v>
      </c>
      <c r="CE17" s="3">
        <f t="shared" ca="1" si="9"/>
        <v>669</v>
      </c>
      <c r="CF17" s="3">
        <f t="shared" ca="1" si="9"/>
        <v>719</v>
      </c>
      <c r="CG17" s="3">
        <f t="shared" ca="1" si="9"/>
        <v>682</v>
      </c>
      <c r="CH17" s="11">
        <f t="shared" ca="1" si="9"/>
        <v>661</v>
      </c>
    </row>
    <row r="18" spans="1:86">
      <c r="A18" s="10" t="s">
        <v>789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>
      <c r="A19" s="10" t="s">
        <v>790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11"/>
    </row>
    <row r="20" spans="1:86" ht="17" thickBot="1">
      <c r="A20" s="139" t="s">
        <v>791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1"/>
    </row>
    <row r="21" spans="1:86" ht="17" thickBot="1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</row>
    <row r="22" spans="1:86">
      <c r="A22" s="155" t="s">
        <v>792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>
      <c r="A23" s="10" t="s">
        <v>793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>
      <c r="A24" s="10" t="s">
        <v>794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>
      <c r="A25" s="10" t="s">
        <v>795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>
      <c r="A26" s="10" t="s">
        <v>796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>
      <c r="A27" s="10" t="s">
        <v>797</v>
      </c>
      <c r="B27" s="3">
        <v>450</v>
      </c>
      <c r="C27" s="3">
        <f ca="1">RANDBETWEEN(350, 490)</f>
        <v>416</v>
      </c>
      <c r="D27" s="3">
        <f t="shared" ref="D27:BO27" ca="1" si="12">RANDBETWEEN(350, 490)</f>
        <v>394</v>
      </c>
      <c r="E27" s="3">
        <f t="shared" ca="1" si="12"/>
        <v>467</v>
      </c>
      <c r="F27" s="3">
        <f t="shared" ca="1" si="12"/>
        <v>367</v>
      </c>
      <c r="G27" s="3">
        <f t="shared" ca="1" si="12"/>
        <v>370</v>
      </c>
      <c r="H27" s="3">
        <f t="shared" ca="1" si="12"/>
        <v>391</v>
      </c>
      <c r="I27" s="3">
        <f t="shared" ca="1" si="12"/>
        <v>451</v>
      </c>
      <c r="J27" s="3">
        <f t="shared" ca="1" si="12"/>
        <v>388</v>
      </c>
      <c r="K27" s="3">
        <f t="shared" ca="1" si="12"/>
        <v>424</v>
      </c>
      <c r="L27" s="3">
        <f t="shared" ca="1" si="12"/>
        <v>377</v>
      </c>
      <c r="M27" s="3">
        <f t="shared" ca="1" si="12"/>
        <v>450</v>
      </c>
      <c r="N27" s="3">
        <f t="shared" ca="1" si="12"/>
        <v>414</v>
      </c>
      <c r="O27" s="3">
        <f t="shared" ca="1" si="12"/>
        <v>440</v>
      </c>
      <c r="P27" s="3">
        <f t="shared" ca="1" si="12"/>
        <v>453</v>
      </c>
      <c r="Q27" s="3">
        <f t="shared" ca="1" si="12"/>
        <v>470</v>
      </c>
      <c r="R27" s="3">
        <f t="shared" ca="1" si="12"/>
        <v>465</v>
      </c>
      <c r="S27" s="3">
        <f t="shared" ca="1" si="12"/>
        <v>403</v>
      </c>
      <c r="T27" s="3">
        <f t="shared" ca="1" si="12"/>
        <v>455</v>
      </c>
      <c r="U27" s="3">
        <f t="shared" ca="1" si="12"/>
        <v>407</v>
      </c>
      <c r="V27" s="3">
        <f t="shared" ca="1" si="12"/>
        <v>356</v>
      </c>
      <c r="W27" s="3">
        <f t="shared" ca="1" si="12"/>
        <v>403</v>
      </c>
      <c r="X27" s="3">
        <f t="shared" ca="1" si="12"/>
        <v>427</v>
      </c>
      <c r="Y27" s="3">
        <f t="shared" ca="1" si="12"/>
        <v>487</v>
      </c>
      <c r="Z27" s="3">
        <f t="shared" ca="1" si="12"/>
        <v>430</v>
      </c>
      <c r="AA27" s="3">
        <f t="shared" ca="1" si="12"/>
        <v>426</v>
      </c>
      <c r="AB27" s="3">
        <f t="shared" ca="1" si="12"/>
        <v>431</v>
      </c>
      <c r="AC27" s="3">
        <f t="shared" ca="1" si="12"/>
        <v>384</v>
      </c>
      <c r="AD27" s="3">
        <f t="shared" ca="1" si="12"/>
        <v>460</v>
      </c>
      <c r="AE27" s="3">
        <f t="shared" ca="1" si="12"/>
        <v>387</v>
      </c>
      <c r="AF27" s="3">
        <f t="shared" ca="1" si="12"/>
        <v>433</v>
      </c>
      <c r="AG27" s="3">
        <f t="shared" ca="1" si="12"/>
        <v>416</v>
      </c>
      <c r="AH27" s="3">
        <f t="shared" ca="1" si="12"/>
        <v>430</v>
      </c>
      <c r="AI27" s="3">
        <f t="shared" ca="1" si="12"/>
        <v>481</v>
      </c>
      <c r="AJ27" s="3">
        <f t="shared" ca="1" si="12"/>
        <v>453</v>
      </c>
      <c r="AK27" s="3">
        <f t="shared" ca="1" si="12"/>
        <v>445</v>
      </c>
      <c r="AL27" s="3">
        <f t="shared" ca="1" si="12"/>
        <v>410</v>
      </c>
      <c r="AM27" s="3">
        <f t="shared" ca="1" si="12"/>
        <v>396</v>
      </c>
      <c r="AN27" s="3">
        <f t="shared" ca="1" si="12"/>
        <v>394</v>
      </c>
      <c r="AO27" s="3">
        <f t="shared" ca="1" si="12"/>
        <v>432</v>
      </c>
      <c r="AP27" s="3">
        <f t="shared" ca="1" si="12"/>
        <v>406</v>
      </c>
      <c r="AQ27" s="3">
        <f t="shared" ca="1" si="12"/>
        <v>397</v>
      </c>
      <c r="AR27" s="3">
        <f t="shared" ca="1" si="12"/>
        <v>438</v>
      </c>
      <c r="AS27" s="3">
        <f t="shared" ca="1" si="12"/>
        <v>432</v>
      </c>
      <c r="AT27" s="3">
        <f t="shared" ca="1" si="12"/>
        <v>445</v>
      </c>
      <c r="AU27" s="3">
        <f t="shared" ca="1" si="12"/>
        <v>464</v>
      </c>
      <c r="AV27" s="3">
        <f t="shared" ca="1" si="12"/>
        <v>358</v>
      </c>
      <c r="AW27" s="3">
        <f t="shared" ca="1" si="12"/>
        <v>385</v>
      </c>
      <c r="AX27" s="3">
        <f t="shared" ca="1" si="12"/>
        <v>407</v>
      </c>
      <c r="AY27" s="3">
        <f t="shared" ca="1" si="12"/>
        <v>478</v>
      </c>
      <c r="AZ27" s="3">
        <f t="shared" ca="1" si="12"/>
        <v>423</v>
      </c>
      <c r="BA27" s="3">
        <f t="shared" ca="1" si="12"/>
        <v>385</v>
      </c>
      <c r="BB27" s="3">
        <f t="shared" ca="1" si="12"/>
        <v>406</v>
      </c>
      <c r="BC27" s="3">
        <f t="shared" ca="1" si="12"/>
        <v>374</v>
      </c>
      <c r="BD27" s="3">
        <f t="shared" ca="1" si="12"/>
        <v>420</v>
      </c>
      <c r="BE27" s="3">
        <f t="shared" ca="1" si="12"/>
        <v>360</v>
      </c>
      <c r="BF27" s="3">
        <f t="shared" ca="1" si="12"/>
        <v>402</v>
      </c>
      <c r="BG27" s="3">
        <f t="shared" ca="1" si="12"/>
        <v>379</v>
      </c>
      <c r="BH27" s="3">
        <f t="shared" ca="1" si="12"/>
        <v>393</v>
      </c>
      <c r="BI27" s="3">
        <f t="shared" ca="1" si="12"/>
        <v>373</v>
      </c>
      <c r="BJ27" s="3">
        <f t="shared" ca="1" si="12"/>
        <v>376</v>
      </c>
      <c r="BK27" s="3">
        <f t="shared" ca="1" si="12"/>
        <v>484</v>
      </c>
      <c r="BL27" s="3">
        <f t="shared" ca="1" si="12"/>
        <v>438</v>
      </c>
      <c r="BM27" s="3">
        <f t="shared" ca="1" si="12"/>
        <v>410</v>
      </c>
      <c r="BN27" s="3">
        <f t="shared" ca="1" si="12"/>
        <v>423</v>
      </c>
      <c r="BO27" s="3">
        <f t="shared" ca="1" si="12"/>
        <v>452</v>
      </c>
      <c r="BP27" s="3">
        <f t="shared" ref="BP27:CH27" ca="1" si="13">RANDBETWEEN(350, 490)</f>
        <v>408</v>
      </c>
      <c r="BQ27" s="3">
        <f t="shared" ca="1" si="13"/>
        <v>372</v>
      </c>
      <c r="BR27" s="3">
        <f t="shared" ca="1" si="13"/>
        <v>414</v>
      </c>
      <c r="BS27" s="3">
        <f t="shared" ca="1" si="13"/>
        <v>357</v>
      </c>
      <c r="BT27" s="3">
        <f t="shared" ca="1" si="13"/>
        <v>407</v>
      </c>
      <c r="BU27" s="3">
        <f t="shared" ca="1" si="13"/>
        <v>375</v>
      </c>
      <c r="BV27" s="3">
        <f t="shared" ca="1" si="13"/>
        <v>386</v>
      </c>
      <c r="BW27" s="3">
        <f t="shared" ca="1" si="13"/>
        <v>422</v>
      </c>
      <c r="BX27" s="3">
        <f t="shared" ca="1" si="13"/>
        <v>456</v>
      </c>
      <c r="BY27" s="3">
        <f t="shared" ca="1" si="13"/>
        <v>474</v>
      </c>
      <c r="BZ27" s="3">
        <f t="shared" ca="1" si="13"/>
        <v>416</v>
      </c>
      <c r="CA27" s="3">
        <f t="shared" ca="1" si="13"/>
        <v>388</v>
      </c>
      <c r="CB27" s="3">
        <f t="shared" ca="1" si="13"/>
        <v>407</v>
      </c>
      <c r="CC27" s="3">
        <f t="shared" ca="1" si="13"/>
        <v>411</v>
      </c>
      <c r="CD27" s="3">
        <f t="shared" ca="1" si="13"/>
        <v>430</v>
      </c>
      <c r="CE27" s="3">
        <f t="shared" ca="1" si="13"/>
        <v>411</v>
      </c>
      <c r="CF27" s="3">
        <f t="shared" ca="1" si="13"/>
        <v>368</v>
      </c>
      <c r="CG27" s="3">
        <f t="shared" ca="1" si="13"/>
        <v>418</v>
      </c>
      <c r="CH27" s="11">
        <f t="shared" ca="1" si="13"/>
        <v>458</v>
      </c>
    </row>
    <row r="28" spans="1:86">
      <c r="A28" s="10" t="s">
        <v>798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11"/>
    </row>
    <row r="29" spans="1:86">
      <c r="A29" s="10" t="s">
        <v>799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11"/>
    </row>
    <row r="30" spans="1:86" ht="17" thickBot="1">
      <c r="A30" s="139" t="s">
        <v>800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J3" sqref="J3"/>
    </sheetView>
  </sheetViews>
  <sheetFormatPr baseColWidth="10" defaultColWidth="10.83203125" defaultRowHeight="16"/>
  <cols>
    <col min="1" max="1" width="22.1640625" style="99" customWidth="1"/>
    <col min="2" max="11" width="21.33203125" style="99" customWidth="1"/>
    <col min="12" max="16384" width="10.83203125" style="99"/>
  </cols>
  <sheetData>
    <row r="1" spans="1:11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</row>
    <row r="2" spans="1:11">
      <c r="A2" s="105"/>
      <c r="B2" s="106" t="str">
        <f>A3</f>
        <v>Style</v>
      </c>
      <c r="C2" s="106" t="str">
        <f>A4</f>
        <v>Lightweight</v>
      </c>
      <c r="D2" s="106" t="str">
        <f>A5</f>
        <v>Durable</v>
      </c>
      <c r="E2" s="106" t="str">
        <f>A6</f>
        <v>Simple locking system</v>
      </c>
      <c r="F2" s="106" t="str">
        <f>A7</f>
        <v>Short charging time</v>
      </c>
      <c r="G2" s="106" t="str">
        <f>A8</f>
        <v>Easy-to-replace parts</v>
      </c>
      <c r="H2" s="106" t="s">
        <v>704</v>
      </c>
      <c r="I2" s="106" t="s">
        <v>641</v>
      </c>
      <c r="J2" s="106" t="s">
        <v>169</v>
      </c>
      <c r="K2" s="106" t="s">
        <v>642</v>
      </c>
    </row>
    <row r="3" spans="1:11">
      <c r="A3" s="106" t="s">
        <v>643</v>
      </c>
      <c r="B3" s="100"/>
      <c r="C3" s="101">
        <f t="array" ref="C3:G3">TRANSPOSE(B4:B8)*(-1)</f>
        <v>1</v>
      </c>
      <c r="D3" s="101">
        <v>0</v>
      </c>
      <c r="E3" s="101">
        <v>1</v>
      </c>
      <c r="F3" s="101">
        <v>-1</v>
      </c>
      <c r="G3" s="101">
        <v>0</v>
      </c>
      <c r="H3" s="107" t="s">
        <v>704</v>
      </c>
      <c r="I3" s="101">
        <f>SUM(B3:G3)</f>
        <v>1</v>
      </c>
      <c r="J3" s="101" cm="1">
        <f t="array" ref="J3">I3+(ROUNDUP(MAX(ABS($I$3:$I$8)), -1))</f>
        <v>11</v>
      </c>
      <c r="K3" s="102">
        <f>J3/$J$9</f>
        <v>0.18333333333333332</v>
      </c>
    </row>
    <row r="4" spans="1:11">
      <c r="A4" s="106" t="s">
        <v>644</v>
      </c>
      <c r="B4" s="101">
        <v>-1</v>
      </c>
      <c r="C4" s="100"/>
      <c r="D4" s="101">
        <f t="array" ref="D4:G4">TRANSPOSE(C5:C8)*(-1)</f>
        <v>-1</v>
      </c>
      <c r="E4" s="101">
        <v>0</v>
      </c>
      <c r="F4" s="101">
        <v>-1</v>
      </c>
      <c r="G4" s="103">
        <v>0</v>
      </c>
      <c r="H4" s="108" t="s">
        <v>704</v>
      </c>
      <c r="I4" s="101">
        <f t="shared" ref="I4:I8" si="0">SUM(B4:G4)</f>
        <v>-3</v>
      </c>
      <c r="J4" s="101" cm="1">
        <f t="array" ref="J4">I4+(ROUNDUP(MAX(ABS($I$3:$I$8)), -1))</f>
        <v>7</v>
      </c>
      <c r="K4" s="102">
        <f t="shared" ref="K4:K8" si="1">J4/$J$9</f>
        <v>0.11666666666666667</v>
      </c>
    </row>
    <row r="5" spans="1:11">
      <c r="A5" s="106" t="s">
        <v>645</v>
      </c>
      <c r="B5" s="101">
        <v>0</v>
      </c>
      <c r="C5" s="101">
        <v>1</v>
      </c>
      <c r="D5" s="100"/>
      <c r="E5" s="101">
        <f t="array" ref="E5:G5">TRANSPOSE(D6:D8)*(-1)</f>
        <v>1</v>
      </c>
      <c r="F5" s="101">
        <v>0</v>
      </c>
      <c r="G5" s="103">
        <v>-1</v>
      </c>
      <c r="H5" s="108" t="s">
        <v>704</v>
      </c>
      <c r="I5" s="101">
        <f t="shared" si="0"/>
        <v>1</v>
      </c>
      <c r="J5" s="101" cm="1">
        <f t="array" ref="J5">I5+(ROUNDUP(MAX(ABS($I$3:$I$8)), -1))</f>
        <v>11</v>
      </c>
      <c r="K5" s="102">
        <f t="shared" si="1"/>
        <v>0.18333333333333332</v>
      </c>
    </row>
    <row r="6" spans="1:11">
      <c r="A6" s="106" t="s">
        <v>646</v>
      </c>
      <c r="B6" s="101">
        <v>-1</v>
      </c>
      <c r="C6" s="101">
        <v>0</v>
      </c>
      <c r="D6" s="101">
        <v>-1</v>
      </c>
      <c r="E6" s="100"/>
      <c r="F6" s="101">
        <f t="array" ref="F6:G6">TRANSPOSE(E7:E8)*(-1)</f>
        <v>-1</v>
      </c>
      <c r="G6" s="103">
        <v>-1</v>
      </c>
      <c r="H6" s="108" t="s">
        <v>704</v>
      </c>
      <c r="I6" s="101">
        <f t="shared" si="0"/>
        <v>-4</v>
      </c>
      <c r="J6" s="101" cm="1">
        <f t="array" ref="J6">I6+(ROUNDUP(MAX(ABS($I$3:$I$8)), -1))</f>
        <v>6</v>
      </c>
      <c r="K6" s="102">
        <f t="shared" si="1"/>
        <v>0.1</v>
      </c>
    </row>
    <row r="7" spans="1:11">
      <c r="A7" s="106" t="s">
        <v>647</v>
      </c>
      <c r="B7" s="101">
        <v>1</v>
      </c>
      <c r="C7" s="101">
        <v>1</v>
      </c>
      <c r="D7" s="101">
        <v>0</v>
      </c>
      <c r="E7" s="101">
        <v>1</v>
      </c>
      <c r="F7" s="100"/>
      <c r="G7" s="103">
        <f t="array" ref="G7">TRANSPOSE(F8)*(-1)</f>
        <v>1</v>
      </c>
      <c r="H7" s="108" t="s">
        <v>704</v>
      </c>
      <c r="I7" s="101">
        <f t="shared" si="0"/>
        <v>4</v>
      </c>
      <c r="J7" s="101" cm="1">
        <f t="array" ref="J7">I7+(ROUNDUP(MAX(ABS($I$3:$I$8)), -1))</f>
        <v>14</v>
      </c>
      <c r="K7" s="102">
        <f t="shared" si="1"/>
        <v>0.23333333333333334</v>
      </c>
    </row>
    <row r="8" spans="1:11">
      <c r="A8" s="106" t="s">
        <v>648</v>
      </c>
      <c r="B8" s="101">
        <v>0</v>
      </c>
      <c r="C8" s="101">
        <v>0</v>
      </c>
      <c r="D8" s="101">
        <v>1</v>
      </c>
      <c r="E8" s="101">
        <v>1</v>
      </c>
      <c r="F8" s="101">
        <v>-1</v>
      </c>
      <c r="G8" s="104"/>
      <c r="H8" s="108" t="s">
        <v>704</v>
      </c>
      <c r="I8" s="101">
        <f t="shared" si="0"/>
        <v>1</v>
      </c>
      <c r="J8" s="101" cm="1">
        <f t="array" ref="J8">I8+(ROUNDUP(MAX(ABS($I$3:$I$8)), -1))</f>
        <v>11</v>
      </c>
      <c r="K8" s="102">
        <f t="shared" si="1"/>
        <v>0.18333333333333332</v>
      </c>
    </row>
    <row r="9" spans="1:11">
      <c r="A9" s="1" t="s">
        <v>692</v>
      </c>
      <c r="B9" s="107" t="s">
        <v>704</v>
      </c>
      <c r="C9" s="107" t="s">
        <v>704</v>
      </c>
      <c r="D9" s="107" t="s">
        <v>704</v>
      </c>
      <c r="E9" s="107" t="s">
        <v>704</v>
      </c>
      <c r="F9" s="107" t="s">
        <v>704</v>
      </c>
      <c r="G9" s="107" t="s">
        <v>704</v>
      </c>
      <c r="H9" s="107" t="s">
        <v>704</v>
      </c>
      <c r="J9" s="101">
        <f>SUM(J3:J8)</f>
        <v>60</v>
      </c>
      <c r="K9" s="102"/>
    </row>
    <row r="10" spans="1:11">
      <c r="A10" s="1" t="s">
        <v>693</v>
      </c>
      <c r="B10" s="107" t="s">
        <v>704</v>
      </c>
      <c r="C10" s="107" t="s">
        <v>704</v>
      </c>
      <c r="D10" s="107" t="s">
        <v>704</v>
      </c>
      <c r="E10" s="107" t="s">
        <v>704</v>
      </c>
      <c r="F10" s="107" t="s">
        <v>704</v>
      </c>
      <c r="G10" s="107" t="s">
        <v>704</v>
      </c>
      <c r="H10" s="107" t="s">
        <v>704</v>
      </c>
    </row>
    <row r="11" spans="1:11">
      <c r="A11" s="1" t="s">
        <v>694</v>
      </c>
      <c r="B11" s="107" t="s">
        <v>704</v>
      </c>
      <c r="C11" s="107" t="s">
        <v>704</v>
      </c>
      <c r="D11" s="107" t="s">
        <v>704</v>
      </c>
      <c r="E11" s="107" t="s">
        <v>704</v>
      </c>
      <c r="F11" s="107" t="s">
        <v>704</v>
      </c>
      <c r="G11" s="107" t="s">
        <v>704</v>
      </c>
      <c r="H11" s="107" t="s">
        <v>704</v>
      </c>
    </row>
    <row r="12" spans="1:11">
      <c r="A12" s="1" t="s">
        <v>695</v>
      </c>
      <c r="B12" s="107" t="s">
        <v>704</v>
      </c>
      <c r="C12" s="107" t="s">
        <v>704</v>
      </c>
      <c r="D12" s="107" t="s">
        <v>704</v>
      </c>
      <c r="E12" s="107" t="s">
        <v>704</v>
      </c>
      <c r="F12" s="107" t="s">
        <v>704</v>
      </c>
      <c r="G12" s="107" t="s">
        <v>704</v>
      </c>
      <c r="H12" s="107" t="s">
        <v>704</v>
      </c>
    </row>
    <row r="13" spans="1:11">
      <c r="A13" s="1" t="s">
        <v>696</v>
      </c>
      <c r="B13" s="107" t="s">
        <v>704</v>
      </c>
      <c r="C13" s="107" t="s">
        <v>704</v>
      </c>
      <c r="D13" s="107" t="s">
        <v>704</v>
      </c>
      <c r="E13" s="107" t="s">
        <v>704</v>
      </c>
      <c r="F13" s="107" t="s">
        <v>704</v>
      </c>
      <c r="G13" s="107" t="s">
        <v>704</v>
      </c>
      <c r="H13" s="107" t="s">
        <v>704</v>
      </c>
    </row>
    <row r="14" spans="1:11">
      <c r="A14" s="1" t="s">
        <v>697</v>
      </c>
      <c r="B14" s="107" t="s">
        <v>704</v>
      </c>
      <c r="C14" s="107" t="s">
        <v>704</v>
      </c>
      <c r="D14" s="107" t="s">
        <v>704</v>
      </c>
      <c r="E14" s="107" t="s">
        <v>704</v>
      </c>
      <c r="F14" s="107" t="s">
        <v>704</v>
      </c>
      <c r="G14" s="107" t="s">
        <v>704</v>
      </c>
      <c r="H14" s="107" t="s">
        <v>704</v>
      </c>
    </row>
    <row r="15" spans="1:11">
      <c r="A15" s="1" t="s">
        <v>698</v>
      </c>
      <c r="B15" s="107" t="s">
        <v>704</v>
      </c>
      <c r="C15" s="107" t="s">
        <v>704</v>
      </c>
      <c r="D15" s="107" t="s">
        <v>704</v>
      </c>
      <c r="E15" s="107" t="s">
        <v>704</v>
      </c>
      <c r="F15" s="107" t="s">
        <v>704</v>
      </c>
      <c r="G15" s="107" t="s">
        <v>704</v>
      </c>
      <c r="H15" s="107" t="s">
        <v>704</v>
      </c>
    </row>
    <row r="16" spans="1:11">
      <c r="A16" s="1" t="s">
        <v>699</v>
      </c>
      <c r="B16" s="107" t="s">
        <v>704</v>
      </c>
      <c r="C16" s="107" t="s">
        <v>704</v>
      </c>
      <c r="D16" s="107" t="s">
        <v>704</v>
      </c>
      <c r="E16" s="107" t="s">
        <v>704</v>
      </c>
      <c r="F16" s="107" t="s">
        <v>704</v>
      </c>
      <c r="G16" s="107" t="s">
        <v>704</v>
      </c>
      <c r="H16" s="107" t="s">
        <v>704</v>
      </c>
    </row>
    <row r="17" spans="1:8">
      <c r="A17" s="1" t="s">
        <v>700</v>
      </c>
      <c r="B17" s="107" t="s">
        <v>704</v>
      </c>
      <c r="C17" s="107" t="s">
        <v>704</v>
      </c>
      <c r="D17" s="107" t="s">
        <v>704</v>
      </c>
      <c r="E17" s="107" t="s">
        <v>704</v>
      </c>
      <c r="F17" s="107" t="s">
        <v>704</v>
      </c>
      <c r="G17" s="107" t="s">
        <v>704</v>
      </c>
      <c r="H17" s="107" t="s">
        <v>704</v>
      </c>
    </row>
    <row r="18" spans="1:8">
      <c r="A18" s="1" t="s">
        <v>701</v>
      </c>
      <c r="B18" s="107" t="s">
        <v>704</v>
      </c>
      <c r="C18" s="107" t="s">
        <v>704</v>
      </c>
      <c r="D18" s="107" t="s">
        <v>704</v>
      </c>
      <c r="E18" s="107" t="s">
        <v>704</v>
      </c>
      <c r="F18" s="107" t="s">
        <v>704</v>
      </c>
      <c r="G18" s="107" t="s">
        <v>704</v>
      </c>
      <c r="H18" s="107" t="s">
        <v>704</v>
      </c>
    </row>
    <row r="22" spans="1:8">
      <c r="C22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Normal="85" workbookViewId="0">
      <selection activeCell="BU38" sqref="BU38"/>
    </sheetView>
  </sheetViews>
  <sheetFormatPr baseColWidth="10" defaultColWidth="9.1640625" defaultRowHeight="16"/>
  <cols>
    <col min="1" max="1" width="9.1640625" style="72"/>
    <col min="2" max="2" width="5" style="72" customWidth="1"/>
    <col min="3" max="3" width="14.33203125" style="72" customWidth="1"/>
    <col min="4" max="5" width="5" style="72" customWidth="1"/>
    <col min="6" max="7" width="17.83203125" style="72" customWidth="1"/>
    <col min="8" max="71" width="1.6640625" style="72" customWidth="1"/>
    <col min="72" max="74" width="5" style="72" customWidth="1"/>
    <col min="75" max="75" width="5" style="73" customWidth="1"/>
    <col min="76" max="76" width="5" style="72" customWidth="1"/>
    <col min="77" max="82" width="5.6640625" style="72" customWidth="1"/>
    <col min="83" max="83" width="5" style="72" customWidth="1"/>
    <col min="84" max="16384" width="9.1640625" style="72"/>
  </cols>
  <sheetData>
    <row r="1" spans="2:71" ht="10" customHeight="1"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4"/>
      <c r="AN1" s="75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2:71" ht="10" customHeight="1">
      <c r="H2" s="76"/>
      <c r="I2" s="76"/>
      <c r="J2" s="77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78"/>
      <c r="AM2" s="389"/>
      <c r="AN2" s="389"/>
      <c r="AO2" s="79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77"/>
      <c r="BR2" s="76"/>
      <c r="BS2" s="76"/>
    </row>
    <row r="3" spans="2:71" ht="10" customHeight="1">
      <c r="H3" s="76"/>
      <c r="I3" s="76"/>
      <c r="J3" s="77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78"/>
      <c r="AL3" s="79"/>
      <c r="AM3" s="389"/>
      <c r="AN3" s="389"/>
      <c r="AO3" s="78"/>
      <c r="AP3" s="79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77"/>
      <c r="BR3" s="76"/>
      <c r="BS3" s="76"/>
    </row>
    <row r="4" spans="2:71" ht="10" customHeight="1">
      <c r="H4" s="76"/>
      <c r="I4" s="76"/>
      <c r="J4" s="77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78"/>
      <c r="AK4" s="389"/>
      <c r="AL4" s="389"/>
      <c r="AM4" s="79"/>
      <c r="AN4" s="78"/>
      <c r="AO4" s="389"/>
      <c r="AP4" s="389"/>
      <c r="AQ4" s="79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77"/>
      <c r="BR4" s="76"/>
      <c r="BS4" s="76"/>
    </row>
    <row r="5" spans="2:71" ht="10" customHeight="1">
      <c r="B5" s="396" t="s">
        <v>649</v>
      </c>
      <c r="C5" s="397"/>
      <c r="D5" s="398"/>
      <c r="H5" s="76"/>
      <c r="I5" s="76"/>
      <c r="J5" s="77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78"/>
      <c r="AJ5" s="79"/>
      <c r="AK5" s="389"/>
      <c r="AL5" s="389"/>
      <c r="AM5" s="78"/>
      <c r="AN5" s="79"/>
      <c r="AO5" s="389"/>
      <c r="AP5" s="389"/>
      <c r="AQ5" s="78"/>
      <c r="AR5" s="79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77"/>
      <c r="BR5" s="76"/>
      <c r="BS5" s="76"/>
    </row>
    <row r="6" spans="2:71" ht="10" customHeight="1">
      <c r="B6" s="399"/>
      <c r="C6" s="400"/>
      <c r="D6" s="401"/>
      <c r="H6" s="76"/>
      <c r="I6" s="76"/>
      <c r="J6" s="77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78"/>
      <c r="AI6" s="389"/>
      <c r="AJ6" s="389"/>
      <c r="AK6" s="79"/>
      <c r="AL6" s="78"/>
      <c r="AM6" s="389"/>
      <c r="AN6" s="389"/>
      <c r="AO6" s="79"/>
      <c r="AP6" s="78"/>
      <c r="AQ6" s="389"/>
      <c r="AR6" s="389"/>
      <c r="AS6" s="79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77"/>
      <c r="BR6" s="76"/>
      <c r="BS6" s="76"/>
    </row>
    <row r="7" spans="2:71" ht="10" customHeight="1">
      <c r="B7" s="390" t="s">
        <v>650</v>
      </c>
      <c r="C7" s="391"/>
      <c r="D7" s="402" t="s">
        <v>651</v>
      </c>
      <c r="H7" s="76"/>
      <c r="I7" s="76"/>
      <c r="J7" s="77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78"/>
      <c r="AH7" s="79"/>
      <c r="AI7" s="389"/>
      <c r="AJ7" s="389"/>
      <c r="AK7" s="78"/>
      <c r="AL7" s="79"/>
      <c r="AM7" s="389"/>
      <c r="AN7" s="389"/>
      <c r="AO7" s="78"/>
      <c r="AP7" s="79"/>
      <c r="AQ7" s="389"/>
      <c r="AR7" s="389"/>
      <c r="AS7" s="78"/>
      <c r="AT7" s="79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77"/>
      <c r="BR7" s="76"/>
      <c r="BS7" s="76"/>
    </row>
    <row r="8" spans="2:71" ht="10" customHeight="1">
      <c r="B8" s="390"/>
      <c r="C8" s="391"/>
      <c r="D8" s="402"/>
      <c r="H8" s="76"/>
      <c r="I8" s="76"/>
      <c r="J8" s="77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78"/>
      <c r="AG8" s="389"/>
      <c r="AH8" s="389"/>
      <c r="AI8" s="79"/>
      <c r="AJ8" s="78"/>
      <c r="AK8" s="389"/>
      <c r="AL8" s="389"/>
      <c r="AM8" s="79"/>
      <c r="AN8" s="78"/>
      <c r="AO8" s="389"/>
      <c r="AP8" s="389"/>
      <c r="AQ8" s="79"/>
      <c r="AR8" s="78"/>
      <c r="AS8" s="389"/>
      <c r="AT8" s="389"/>
      <c r="AU8" s="79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77"/>
      <c r="BR8" s="76"/>
      <c r="BS8" s="76"/>
    </row>
    <row r="9" spans="2:71" ht="10" customHeight="1">
      <c r="B9" s="390" t="s">
        <v>652</v>
      </c>
      <c r="C9" s="391"/>
      <c r="D9" s="402" t="s">
        <v>653</v>
      </c>
      <c r="H9" s="76"/>
      <c r="I9" s="76"/>
      <c r="J9" s="77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78"/>
      <c r="AF9" s="79"/>
      <c r="AG9" s="389"/>
      <c r="AH9" s="389"/>
      <c r="AI9" s="78"/>
      <c r="AJ9" s="79"/>
      <c r="AK9" s="389"/>
      <c r="AL9" s="389"/>
      <c r="AM9" s="78"/>
      <c r="AN9" s="79"/>
      <c r="AO9" s="389"/>
      <c r="AP9" s="389"/>
      <c r="AQ9" s="78"/>
      <c r="AR9" s="79"/>
      <c r="AS9" s="389"/>
      <c r="AT9" s="389"/>
      <c r="AU9" s="78"/>
      <c r="AV9" s="79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77"/>
      <c r="BR9" s="76"/>
      <c r="BS9" s="76"/>
    </row>
    <row r="10" spans="2:71" ht="10" customHeight="1">
      <c r="B10" s="390"/>
      <c r="C10" s="391"/>
      <c r="D10" s="402"/>
      <c r="H10" s="76"/>
      <c r="I10" s="76"/>
      <c r="J10" s="77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78"/>
      <c r="AE10" s="389"/>
      <c r="AF10" s="389"/>
      <c r="AG10" s="79"/>
      <c r="AH10" s="78"/>
      <c r="AI10" s="389"/>
      <c r="AJ10" s="389"/>
      <c r="AK10" s="79"/>
      <c r="AL10" s="78"/>
      <c r="AM10" s="389"/>
      <c r="AN10" s="389"/>
      <c r="AO10" s="79"/>
      <c r="AP10" s="78"/>
      <c r="AQ10" s="389"/>
      <c r="AR10" s="389"/>
      <c r="AS10" s="79"/>
      <c r="AT10" s="78"/>
      <c r="AU10" s="389"/>
      <c r="AV10" s="389"/>
      <c r="AW10" s="79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77"/>
      <c r="BR10" s="76"/>
      <c r="BS10" s="76"/>
    </row>
    <row r="11" spans="2:71" ht="10" customHeight="1">
      <c r="B11" s="390" t="s">
        <v>654</v>
      </c>
      <c r="C11" s="391"/>
      <c r="D11" s="402"/>
      <c r="H11" s="76"/>
      <c r="I11" s="76"/>
      <c r="J11" s="77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78"/>
      <c r="AD11" s="79"/>
      <c r="AE11" s="389"/>
      <c r="AF11" s="389"/>
      <c r="AG11" s="78"/>
      <c r="AH11" s="79"/>
      <c r="AI11" s="389"/>
      <c r="AJ11" s="389"/>
      <c r="AK11" s="78"/>
      <c r="AL11" s="79"/>
      <c r="AM11" s="389"/>
      <c r="AN11" s="389"/>
      <c r="AO11" s="78"/>
      <c r="AP11" s="79"/>
      <c r="AQ11" s="389"/>
      <c r="AR11" s="389"/>
      <c r="AS11" s="78"/>
      <c r="AT11" s="79"/>
      <c r="AU11" s="389"/>
      <c r="AV11" s="389"/>
      <c r="AW11" s="78"/>
      <c r="AX11" s="79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77"/>
      <c r="BR11" s="76"/>
      <c r="BS11" s="76"/>
    </row>
    <row r="12" spans="2:71" ht="10" customHeight="1">
      <c r="B12" s="392"/>
      <c r="C12" s="393"/>
      <c r="D12" s="403"/>
      <c r="H12" s="76"/>
      <c r="I12" s="76"/>
      <c r="J12" s="77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78"/>
      <c r="AC12" s="389"/>
      <c r="AD12" s="389"/>
      <c r="AE12" s="79"/>
      <c r="AF12" s="78"/>
      <c r="AG12" s="389"/>
      <c r="AH12" s="389"/>
      <c r="AI12" s="79"/>
      <c r="AJ12" s="78"/>
      <c r="AK12" s="389"/>
      <c r="AL12" s="389"/>
      <c r="AM12" s="79"/>
      <c r="AN12" s="78"/>
      <c r="AO12" s="389"/>
      <c r="AP12" s="389"/>
      <c r="AQ12" s="79"/>
      <c r="AR12" s="78"/>
      <c r="AS12" s="389"/>
      <c r="AT12" s="389"/>
      <c r="AU12" s="79"/>
      <c r="AV12" s="78"/>
      <c r="AW12" s="389"/>
      <c r="AX12" s="389"/>
      <c r="AY12" s="79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77"/>
      <c r="BR12" s="76"/>
      <c r="BS12" s="76"/>
    </row>
    <row r="13" spans="2:71" ht="10" customHeight="1">
      <c r="H13" s="76"/>
      <c r="I13" s="76"/>
      <c r="J13" s="77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78"/>
      <c r="AB13" s="79"/>
      <c r="AC13" s="389"/>
      <c r="AD13" s="389"/>
      <c r="AE13" s="78"/>
      <c r="AF13" s="79"/>
      <c r="AG13" s="389"/>
      <c r="AH13" s="389"/>
      <c r="AI13" s="78"/>
      <c r="AJ13" s="79"/>
      <c r="AK13" s="389"/>
      <c r="AL13" s="389"/>
      <c r="AM13" s="78"/>
      <c r="AN13" s="79"/>
      <c r="AO13" s="389"/>
      <c r="AP13" s="389"/>
      <c r="AQ13" s="78"/>
      <c r="AR13" s="79"/>
      <c r="AS13" s="389"/>
      <c r="AT13" s="389"/>
      <c r="AU13" s="78"/>
      <c r="AV13" s="79"/>
      <c r="AW13" s="389"/>
      <c r="AX13" s="389"/>
      <c r="AY13" s="78"/>
      <c r="AZ13" s="79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77"/>
      <c r="BR13" s="76"/>
      <c r="BS13" s="76"/>
    </row>
    <row r="14" spans="2:71" ht="10" customHeight="1">
      <c r="B14" s="396" t="s">
        <v>655</v>
      </c>
      <c r="C14" s="397"/>
      <c r="D14" s="398"/>
      <c r="H14" s="76"/>
      <c r="I14" s="76"/>
      <c r="J14" s="77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78"/>
      <c r="AA14" s="389"/>
      <c r="AB14" s="389"/>
      <c r="AC14" s="79"/>
      <c r="AD14" s="78"/>
      <c r="AE14" s="389"/>
      <c r="AF14" s="389"/>
      <c r="AG14" s="79"/>
      <c r="AH14" s="78"/>
      <c r="AI14" s="389"/>
      <c r="AJ14" s="389"/>
      <c r="AK14" s="79"/>
      <c r="AL14" s="78"/>
      <c r="AM14" s="389"/>
      <c r="AN14" s="389"/>
      <c r="AO14" s="79"/>
      <c r="AP14" s="78"/>
      <c r="AQ14" s="389"/>
      <c r="AR14" s="389"/>
      <c r="AS14" s="79"/>
      <c r="AT14" s="78"/>
      <c r="AU14" s="389"/>
      <c r="AV14" s="389"/>
      <c r="AW14" s="79"/>
      <c r="AX14" s="78"/>
      <c r="AY14" s="389"/>
      <c r="AZ14" s="389"/>
      <c r="BA14" s="79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77"/>
      <c r="BR14" s="76"/>
      <c r="BS14" s="76"/>
    </row>
    <row r="15" spans="2:71" ht="10" customHeight="1">
      <c r="B15" s="399"/>
      <c r="C15" s="400"/>
      <c r="D15" s="401"/>
      <c r="H15" s="76"/>
      <c r="I15" s="76"/>
      <c r="J15" s="77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78"/>
      <c r="Z15" s="79"/>
      <c r="AA15" s="389"/>
      <c r="AB15" s="389"/>
      <c r="AC15" s="78"/>
      <c r="AD15" s="79"/>
      <c r="AE15" s="389"/>
      <c r="AF15" s="389"/>
      <c r="AG15" s="78"/>
      <c r="AH15" s="79"/>
      <c r="AI15" s="389"/>
      <c r="AJ15" s="389"/>
      <c r="AK15" s="78"/>
      <c r="AL15" s="79"/>
      <c r="AM15" s="389"/>
      <c r="AN15" s="389"/>
      <c r="AO15" s="78"/>
      <c r="AP15" s="79"/>
      <c r="AQ15" s="389"/>
      <c r="AR15" s="389"/>
      <c r="AS15" s="78"/>
      <c r="AT15" s="79"/>
      <c r="AU15" s="389"/>
      <c r="AV15" s="389"/>
      <c r="AW15" s="78"/>
      <c r="AX15" s="79"/>
      <c r="AY15" s="389"/>
      <c r="AZ15" s="389"/>
      <c r="BA15" s="78"/>
      <c r="BB15" s="79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77"/>
      <c r="BR15" s="76"/>
      <c r="BS15" s="76"/>
    </row>
    <row r="16" spans="2:71" ht="10" customHeight="1">
      <c r="B16" s="390" t="s">
        <v>656</v>
      </c>
      <c r="C16" s="391"/>
      <c r="D16" s="394" t="s">
        <v>657</v>
      </c>
      <c r="H16" s="76"/>
      <c r="I16" s="76"/>
      <c r="J16" s="77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78"/>
      <c r="Y16" s="389"/>
      <c r="Z16" s="389"/>
      <c r="AA16" s="79"/>
      <c r="AB16" s="78"/>
      <c r="AC16" s="389"/>
      <c r="AD16" s="389"/>
      <c r="AE16" s="79"/>
      <c r="AF16" s="78"/>
      <c r="AG16" s="389"/>
      <c r="AH16" s="389"/>
      <c r="AI16" s="79"/>
      <c r="AJ16" s="78"/>
      <c r="AK16" s="389"/>
      <c r="AL16" s="389"/>
      <c r="AM16" s="79"/>
      <c r="AN16" s="78"/>
      <c r="AO16" s="389"/>
      <c r="AP16" s="389"/>
      <c r="AQ16" s="79"/>
      <c r="AR16" s="78"/>
      <c r="AS16" s="389"/>
      <c r="AT16" s="389"/>
      <c r="AU16" s="79"/>
      <c r="AV16" s="78"/>
      <c r="AW16" s="389"/>
      <c r="AX16" s="389"/>
      <c r="AY16" s="79"/>
      <c r="AZ16" s="78"/>
      <c r="BA16" s="389"/>
      <c r="BB16" s="389"/>
      <c r="BC16" s="79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77"/>
      <c r="BR16" s="76"/>
      <c r="BS16" s="76"/>
    </row>
    <row r="17" spans="2:80" ht="10" customHeight="1">
      <c r="B17" s="390"/>
      <c r="C17" s="391"/>
      <c r="D17" s="394"/>
      <c r="H17" s="76"/>
      <c r="I17" s="76"/>
      <c r="J17" s="77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78"/>
      <c r="X17" s="79"/>
      <c r="Y17" s="389"/>
      <c r="Z17" s="389"/>
      <c r="AA17" s="78"/>
      <c r="AB17" s="79"/>
      <c r="AC17" s="389"/>
      <c r="AD17" s="389"/>
      <c r="AE17" s="78"/>
      <c r="AF17" s="79"/>
      <c r="AG17" s="389"/>
      <c r="AH17" s="389"/>
      <c r="AI17" s="78"/>
      <c r="AJ17" s="79"/>
      <c r="AK17" s="389"/>
      <c r="AL17" s="389"/>
      <c r="AM17" s="78"/>
      <c r="AN17" s="79"/>
      <c r="AO17" s="389"/>
      <c r="AP17" s="389"/>
      <c r="AQ17" s="78"/>
      <c r="AR17" s="79"/>
      <c r="AS17" s="389"/>
      <c r="AT17" s="389"/>
      <c r="AU17" s="78"/>
      <c r="AV17" s="79"/>
      <c r="AW17" s="389"/>
      <c r="AX17" s="389"/>
      <c r="AY17" s="78"/>
      <c r="AZ17" s="79"/>
      <c r="BA17" s="389"/>
      <c r="BB17" s="389"/>
      <c r="BC17" s="78"/>
      <c r="BD17" s="79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77"/>
      <c r="BR17" s="76"/>
      <c r="BS17" s="76"/>
    </row>
    <row r="18" spans="2:80" ht="10" customHeight="1">
      <c r="B18" s="390" t="s">
        <v>658</v>
      </c>
      <c r="C18" s="391"/>
      <c r="D18" s="394" t="s">
        <v>659</v>
      </c>
      <c r="H18" s="76"/>
      <c r="I18" s="76"/>
      <c r="J18" s="77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78"/>
      <c r="W18" s="389"/>
      <c r="X18" s="389"/>
      <c r="Y18" s="79"/>
      <c r="Z18" s="78"/>
      <c r="AA18" s="389"/>
      <c r="AB18" s="389"/>
      <c r="AC18" s="79"/>
      <c r="AD18" s="78"/>
      <c r="AE18" s="389"/>
      <c r="AF18" s="389"/>
      <c r="AG18" s="79"/>
      <c r="AH18" s="78"/>
      <c r="AI18" s="389"/>
      <c r="AJ18" s="389"/>
      <c r="AK18" s="79"/>
      <c r="AL18" s="78"/>
      <c r="AM18" s="389"/>
      <c r="AN18" s="389"/>
      <c r="AO18" s="79"/>
      <c r="AP18" s="78"/>
      <c r="AQ18" s="389"/>
      <c r="AR18" s="389"/>
      <c r="AS18" s="79"/>
      <c r="AT18" s="78"/>
      <c r="AU18" s="389"/>
      <c r="AV18" s="389"/>
      <c r="AW18" s="79"/>
      <c r="AX18" s="78"/>
      <c r="AY18" s="389"/>
      <c r="AZ18" s="389"/>
      <c r="BA18" s="79"/>
      <c r="BB18" s="78"/>
      <c r="BC18" s="389"/>
      <c r="BD18" s="389"/>
      <c r="BE18" s="79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77"/>
      <c r="BR18" s="76"/>
      <c r="BS18" s="76"/>
    </row>
    <row r="19" spans="2:80" ht="10" customHeight="1">
      <c r="B19" s="390"/>
      <c r="C19" s="391"/>
      <c r="D19" s="394"/>
      <c r="H19" s="76"/>
      <c r="I19" s="76"/>
      <c r="J19" s="77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78"/>
      <c r="V19" s="79"/>
      <c r="W19" s="389"/>
      <c r="X19" s="389"/>
      <c r="Y19" s="78"/>
      <c r="Z19" s="79"/>
      <c r="AA19" s="389"/>
      <c r="AB19" s="389"/>
      <c r="AC19" s="78"/>
      <c r="AD19" s="79"/>
      <c r="AE19" s="389"/>
      <c r="AF19" s="389"/>
      <c r="AG19" s="78"/>
      <c r="AH19" s="79"/>
      <c r="AI19" s="389"/>
      <c r="AJ19" s="389"/>
      <c r="AK19" s="78"/>
      <c r="AL19" s="79"/>
      <c r="AM19" s="389"/>
      <c r="AN19" s="389"/>
      <c r="AO19" s="78"/>
      <c r="AP19" s="79"/>
      <c r="AQ19" s="389"/>
      <c r="AR19" s="389"/>
      <c r="AS19" s="78"/>
      <c r="AT19" s="79"/>
      <c r="AU19" s="389"/>
      <c r="AV19" s="389"/>
      <c r="AW19" s="78"/>
      <c r="AX19" s="79"/>
      <c r="AY19" s="389"/>
      <c r="AZ19" s="389"/>
      <c r="BA19" s="78"/>
      <c r="BB19" s="79"/>
      <c r="BC19" s="389"/>
      <c r="BD19" s="389"/>
      <c r="BE19" s="78"/>
      <c r="BF19" s="79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77"/>
      <c r="BR19" s="76"/>
      <c r="BS19" s="76"/>
    </row>
    <row r="20" spans="2:80" ht="10" customHeight="1">
      <c r="B20" s="390" t="s">
        <v>660</v>
      </c>
      <c r="C20" s="391"/>
      <c r="D20" s="394" t="s">
        <v>661</v>
      </c>
      <c r="H20" s="76"/>
      <c r="I20" s="76"/>
      <c r="J20" s="77"/>
      <c r="K20" s="144"/>
      <c r="L20" s="144"/>
      <c r="M20" s="144"/>
      <c r="N20" s="144"/>
      <c r="O20" s="144"/>
      <c r="P20" s="144"/>
      <c r="Q20" s="144"/>
      <c r="R20" s="144"/>
      <c r="S20" s="144"/>
      <c r="T20" s="78"/>
      <c r="U20" s="389"/>
      <c r="V20" s="389"/>
      <c r="W20" s="79"/>
      <c r="X20" s="78"/>
      <c r="Y20" s="389"/>
      <c r="Z20" s="389"/>
      <c r="AA20" s="79"/>
      <c r="AB20" s="78"/>
      <c r="AC20" s="389"/>
      <c r="AD20" s="389"/>
      <c r="AE20" s="79"/>
      <c r="AF20" s="78"/>
      <c r="AG20" s="389"/>
      <c r="AH20" s="389"/>
      <c r="AI20" s="79"/>
      <c r="AJ20" s="78"/>
      <c r="AK20" s="389"/>
      <c r="AL20" s="389"/>
      <c r="AM20" s="79"/>
      <c r="AN20" s="78"/>
      <c r="AO20" s="389"/>
      <c r="AP20" s="389"/>
      <c r="AQ20" s="79"/>
      <c r="AR20" s="78"/>
      <c r="AS20" s="389"/>
      <c r="AT20" s="389"/>
      <c r="AU20" s="79"/>
      <c r="AV20" s="78"/>
      <c r="AW20" s="389"/>
      <c r="AX20" s="389"/>
      <c r="AY20" s="79"/>
      <c r="AZ20" s="78"/>
      <c r="BA20" s="389"/>
      <c r="BB20" s="389"/>
      <c r="BC20" s="79"/>
      <c r="BD20" s="78"/>
      <c r="BE20" s="389"/>
      <c r="BF20" s="389"/>
      <c r="BG20" s="79"/>
      <c r="BH20" s="144"/>
      <c r="BI20" s="144"/>
      <c r="BJ20" s="144"/>
      <c r="BK20" s="144"/>
      <c r="BL20" s="144"/>
      <c r="BM20" s="144"/>
      <c r="BN20" s="144"/>
      <c r="BO20" s="144"/>
      <c r="BP20" s="144"/>
      <c r="BQ20" s="77"/>
      <c r="BR20" s="76"/>
      <c r="BS20" s="76"/>
    </row>
    <row r="21" spans="2:80" ht="10" customHeight="1">
      <c r="B21" s="392"/>
      <c r="C21" s="393"/>
      <c r="D21" s="395"/>
      <c r="H21" s="76"/>
      <c r="I21" s="76"/>
      <c r="J21" s="77"/>
      <c r="K21" s="144"/>
      <c r="L21" s="144"/>
      <c r="M21" s="144"/>
      <c r="N21" s="144"/>
      <c r="O21" s="144"/>
      <c r="P21" s="144"/>
      <c r="Q21" s="144"/>
      <c r="R21" s="144"/>
      <c r="S21" s="78"/>
      <c r="T21" s="79"/>
      <c r="U21" s="389"/>
      <c r="V21" s="389"/>
      <c r="W21" s="78"/>
      <c r="X21" s="79"/>
      <c r="Y21" s="389"/>
      <c r="Z21" s="389"/>
      <c r="AA21" s="78"/>
      <c r="AB21" s="79"/>
      <c r="AC21" s="389"/>
      <c r="AD21" s="389"/>
      <c r="AE21" s="78"/>
      <c r="AF21" s="79"/>
      <c r="AG21" s="389"/>
      <c r="AH21" s="389"/>
      <c r="AI21" s="78"/>
      <c r="AJ21" s="79"/>
      <c r="AK21" s="389"/>
      <c r="AL21" s="389"/>
      <c r="AM21" s="78"/>
      <c r="AN21" s="79"/>
      <c r="AO21" s="389"/>
      <c r="AP21" s="389"/>
      <c r="AQ21" s="78"/>
      <c r="AR21" s="79"/>
      <c r="AS21" s="389"/>
      <c r="AT21" s="389"/>
      <c r="AU21" s="78"/>
      <c r="AV21" s="79"/>
      <c r="AW21" s="389"/>
      <c r="AX21" s="389"/>
      <c r="AY21" s="78"/>
      <c r="AZ21" s="79"/>
      <c r="BA21" s="389"/>
      <c r="BB21" s="389"/>
      <c r="BC21" s="78"/>
      <c r="BD21" s="79"/>
      <c r="BE21" s="389"/>
      <c r="BF21" s="389"/>
      <c r="BG21" s="78"/>
      <c r="BH21" s="79"/>
      <c r="BI21" s="144"/>
      <c r="BJ21" s="144"/>
      <c r="BK21" s="144"/>
      <c r="BL21" s="144"/>
      <c r="BM21" s="144"/>
      <c r="BN21" s="144"/>
      <c r="BO21" s="144"/>
      <c r="BP21" s="144"/>
      <c r="BQ21" s="77"/>
      <c r="BR21" s="76"/>
      <c r="BS21" s="76"/>
    </row>
    <row r="22" spans="2:80" ht="10" customHeight="1">
      <c r="H22" s="76"/>
      <c r="I22" s="76"/>
      <c r="J22" s="77"/>
      <c r="K22" s="144"/>
      <c r="L22" s="144"/>
      <c r="M22" s="144"/>
      <c r="N22" s="144"/>
      <c r="O22" s="144"/>
      <c r="P22" s="144"/>
      <c r="Q22" s="144"/>
      <c r="R22" s="78"/>
      <c r="S22" s="389" t="s">
        <v>653</v>
      </c>
      <c r="T22" s="389"/>
      <c r="U22" s="79"/>
      <c r="V22" s="78"/>
      <c r="W22" s="389"/>
      <c r="X22" s="389"/>
      <c r="Y22" s="79"/>
      <c r="Z22" s="78"/>
      <c r="AA22" s="389"/>
      <c r="AB22" s="389"/>
      <c r="AC22" s="79"/>
      <c r="AD22" s="78"/>
      <c r="AE22" s="389"/>
      <c r="AF22" s="389"/>
      <c r="AG22" s="79"/>
      <c r="AH22" s="78"/>
      <c r="AI22" s="389"/>
      <c r="AJ22" s="389"/>
      <c r="AK22" s="79"/>
      <c r="AL22" s="78"/>
      <c r="AM22" s="389"/>
      <c r="AN22" s="389"/>
      <c r="AO22" s="79"/>
      <c r="AP22" s="78"/>
      <c r="AQ22" s="389"/>
      <c r="AR22" s="389"/>
      <c r="AS22" s="79"/>
      <c r="AT22" s="78"/>
      <c r="AU22" s="389"/>
      <c r="AV22" s="389"/>
      <c r="AW22" s="79"/>
      <c r="AX22" s="78"/>
      <c r="AY22" s="389"/>
      <c r="AZ22" s="389"/>
      <c r="BA22" s="79"/>
      <c r="BB22" s="78"/>
      <c r="BC22" s="389"/>
      <c r="BD22" s="389"/>
      <c r="BE22" s="79"/>
      <c r="BF22" s="78"/>
      <c r="BG22" s="389"/>
      <c r="BH22" s="389"/>
      <c r="BI22" s="79"/>
      <c r="BJ22" s="144"/>
      <c r="BK22" s="144"/>
      <c r="BL22" s="144"/>
      <c r="BM22" s="144"/>
      <c r="BN22" s="144"/>
      <c r="BO22" s="144"/>
      <c r="BP22" s="144"/>
      <c r="BQ22" s="77"/>
      <c r="BR22" s="76"/>
      <c r="BS22" s="76"/>
    </row>
    <row r="23" spans="2:80" ht="10" customHeight="1">
      <c r="B23" s="396" t="s">
        <v>662</v>
      </c>
      <c r="C23" s="397"/>
      <c r="D23" s="398"/>
      <c r="H23" s="76"/>
      <c r="I23" s="76"/>
      <c r="J23" s="77"/>
      <c r="K23" s="144"/>
      <c r="L23" s="144"/>
      <c r="M23" s="144"/>
      <c r="N23" s="144"/>
      <c r="O23" s="144"/>
      <c r="P23" s="144"/>
      <c r="Q23" s="78"/>
      <c r="R23" s="79"/>
      <c r="S23" s="389"/>
      <c r="T23" s="389"/>
      <c r="U23" s="78"/>
      <c r="V23" s="79"/>
      <c r="W23" s="389"/>
      <c r="X23" s="389"/>
      <c r="Y23" s="78"/>
      <c r="Z23" s="79"/>
      <c r="AA23" s="389"/>
      <c r="AB23" s="389"/>
      <c r="AC23" s="78"/>
      <c r="AD23" s="79"/>
      <c r="AE23" s="389"/>
      <c r="AF23" s="389"/>
      <c r="AG23" s="78"/>
      <c r="AH23" s="79"/>
      <c r="AI23" s="389"/>
      <c r="AJ23" s="389"/>
      <c r="AK23" s="78"/>
      <c r="AL23" s="79"/>
      <c r="AM23" s="389"/>
      <c r="AN23" s="389"/>
      <c r="AO23" s="78"/>
      <c r="AP23" s="79"/>
      <c r="AQ23" s="389"/>
      <c r="AR23" s="389"/>
      <c r="AS23" s="78"/>
      <c r="AT23" s="79"/>
      <c r="AU23" s="389"/>
      <c r="AV23" s="389"/>
      <c r="AW23" s="78"/>
      <c r="AX23" s="79"/>
      <c r="AY23" s="389"/>
      <c r="AZ23" s="389"/>
      <c r="BA23" s="78"/>
      <c r="BB23" s="79"/>
      <c r="BC23" s="389"/>
      <c r="BD23" s="389"/>
      <c r="BE23" s="78"/>
      <c r="BF23" s="79"/>
      <c r="BG23" s="389"/>
      <c r="BH23" s="389"/>
      <c r="BI23" s="78"/>
      <c r="BJ23" s="79"/>
      <c r="BK23" s="144"/>
      <c r="BL23" s="144"/>
      <c r="BM23" s="144"/>
      <c r="BN23" s="144"/>
      <c r="BO23" s="144"/>
      <c r="BP23" s="144"/>
      <c r="BQ23" s="77"/>
      <c r="BR23" s="76"/>
      <c r="BS23" s="76"/>
    </row>
    <row r="24" spans="2:80" ht="10" customHeight="1">
      <c r="B24" s="399"/>
      <c r="C24" s="400"/>
      <c r="D24" s="401"/>
      <c r="H24" s="76"/>
      <c r="I24" s="76"/>
      <c r="J24" s="77"/>
      <c r="K24" s="144"/>
      <c r="L24" s="144"/>
      <c r="M24" s="144"/>
      <c r="N24" s="144"/>
      <c r="O24" s="144"/>
      <c r="P24" s="78"/>
      <c r="Q24" s="389"/>
      <c r="R24" s="389"/>
      <c r="S24" s="79"/>
      <c r="T24" s="78"/>
      <c r="U24" s="389"/>
      <c r="V24" s="389"/>
      <c r="W24" s="79"/>
      <c r="X24" s="78"/>
      <c r="Y24" s="389"/>
      <c r="Z24" s="389"/>
      <c r="AA24" s="79"/>
      <c r="AB24" s="78"/>
      <c r="AC24" s="389"/>
      <c r="AD24" s="389"/>
      <c r="AE24" s="79"/>
      <c r="AF24" s="78"/>
      <c r="AG24" s="389"/>
      <c r="AH24" s="389"/>
      <c r="AI24" s="79"/>
      <c r="AJ24" s="78"/>
      <c r="AK24" s="389"/>
      <c r="AL24" s="389"/>
      <c r="AM24" s="79"/>
      <c r="AN24" s="78"/>
      <c r="AO24" s="389"/>
      <c r="AP24" s="389"/>
      <c r="AQ24" s="79"/>
      <c r="AR24" s="78"/>
      <c r="AS24" s="389"/>
      <c r="AT24" s="389"/>
      <c r="AU24" s="79"/>
      <c r="AV24" s="78"/>
      <c r="AW24" s="389"/>
      <c r="AX24" s="389"/>
      <c r="AY24" s="79"/>
      <c r="AZ24" s="78"/>
      <c r="BA24" s="389"/>
      <c r="BB24" s="389"/>
      <c r="BC24" s="79"/>
      <c r="BD24" s="78"/>
      <c r="BE24" s="389"/>
      <c r="BF24" s="389"/>
      <c r="BG24" s="79"/>
      <c r="BH24" s="78"/>
      <c r="BI24" s="389"/>
      <c r="BJ24" s="389"/>
      <c r="BK24" s="79"/>
      <c r="BL24" s="144"/>
      <c r="BM24" s="144"/>
      <c r="BN24" s="144"/>
      <c r="BO24" s="144"/>
      <c r="BP24" s="144"/>
      <c r="BQ24" s="77"/>
      <c r="BR24" s="76"/>
      <c r="BS24" s="76"/>
    </row>
    <row r="25" spans="2:80" ht="10" customHeight="1">
      <c r="B25" s="390" t="s">
        <v>663</v>
      </c>
      <c r="C25" s="391"/>
      <c r="D25" s="394" t="s">
        <v>664</v>
      </c>
      <c r="H25" s="76"/>
      <c r="I25" s="76"/>
      <c r="J25" s="77"/>
      <c r="K25" s="144"/>
      <c r="L25" s="144"/>
      <c r="M25" s="144"/>
      <c r="N25" s="144"/>
      <c r="O25" s="78"/>
      <c r="P25" s="79"/>
      <c r="Q25" s="389"/>
      <c r="R25" s="389"/>
      <c r="S25" s="78"/>
      <c r="T25" s="79"/>
      <c r="U25" s="389"/>
      <c r="V25" s="389"/>
      <c r="W25" s="78"/>
      <c r="X25" s="79"/>
      <c r="Y25" s="389"/>
      <c r="Z25" s="389"/>
      <c r="AA25" s="78"/>
      <c r="AB25" s="79"/>
      <c r="AC25" s="389"/>
      <c r="AD25" s="389"/>
      <c r="AE25" s="78"/>
      <c r="AF25" s="79"/>
      <c r="AG25" s="389"/>
      <c r="AH25" s="389"/>
      <c r="AI25" s="78"/>
      <c r="AJ25" s="79"/>
      <c r="AK25" s="389"/>
      <c r="AL25" s="389"/>
      <c r="AM25" s="78"/>
      <c r="AN25" s="79"/>
      <c r="AO25" s="389"/>
      <c r="AP25" s="389"/>
      <c r="AQ25" s="78"/>
      <c r="AR25" s="79"/>
      <c r="AS25" s="389"/>
      <c r="AT25" s="389"/>
      <c r="AU25" s="78"/>
      <c r="AV25" s="79"/>
      <c r="AW25" s="389"/>
      <c r="AX25" s="389"/>
      <c r="AY25" s="78"/>
      <c r="AZ25" s="79"/>
      <c r="BA25" s="389"/>
      <c r="BB25" s="389"/>
      <c r="BC25" s="78"/>
      <c r="BD25" s="79"/>
      <c r="BE25" s="389"/>
      <c r="BF25" s="389"/>
      <c r="BG25" s="78"/>
      <c r="BH25" s="79"/>
      <c r="BI25" s="389"/>
      <c r="BJ25" s="389"/>
      <c r="BK25" s="78"/>
      <c r="BL25" s="79"/>
      <c r="BM25" s="144"/>
      <c r="BN25" s="144"/>
      <c r="BO25" s="144"/>
      <c r="BP25" s="144"/>
      <c r="BQ25" s="77"/>
      <c r="BR25" s="76"/>
      <c r="BS25" s="76"/>
    </row>
    <row r="26" spans="2:80" ht="10" customHeight="1">
      <c r="B26" s="390"/>
      <c r="C26" s="391"/>
      <c r="D26" s="394"/>
      <c r="H26" s="76"/>
      <c r="I26" s="76"/>
      <c r="J26" s="77"/>
      <c r="K26" s="144"/>
      <c r="L26" s="144"/>
      <c r="M26" s="144"/>
      <c r="N26" s="78"/>
      <c r="O26" s="389"/>
      <c r="P26" s="389"/>
      <c r="Q26" s="79"/>
      <c r="R26" s="78"/>
      <c r="S26" s="389"/>
      <c r="T26" s="389"/>
      <c r="U26" s="79"/>
      <c r="V26" s="78"/>
      <c r="W26" s="389"/>
      <c r="X26" s="389"/>
      <c r="Y26" s="79"/>
      <c r="Z26" s="78"/>
      <c r="AA26" s="389"/>
      <c r="AB26" s="389"/>
      <c r="AC26" s="79"/>
      <c r="AD26" s="78"/>
      <c r="AE26" s="389"/>
      <c r="AF26" s="389"/>
      <c r="AG26" s="79"/>
      <c r="AH26" s="78"/>
      <c r="AI26" s="389"/>
      <c r="AJ26" s="389"/>
      <c r="AK26" s="79"/>
      <c r="AL26" s="78"/>
      <c r="AM26" s="389"/>
      <c r="AN26" s="389"/>
      <c r="AO26" s="79"/>
      <c r="AP26" s="78"/>
      <c r="AQ26" s="389"/>
      <c r="AR26" s="389"/>
      <c r="AS26" s="79"/>
      <c r="AT26" s="78"/>
      <c r="AU26" s="389"/>
      <c r="AV26" s="389"/>
      <c r="AW26" s="79"/>
      <c r="AX26" s="78"/>
      <c r="AY26" s="389"/>
      <c r="AZ26" s="389"/>
      <c r="BA26" s="79"/>
      <c r="BB26" s="78"/>
      <c r="BC26" s="389"/>
      <c r="BD26" s="389"/>
      <c r="BE26" s="79"/>
      <c r="BF26" s="78"/>
      <c r="BG26" s="389"/>
      <c r="BH26" s="389"/>
      <c r="BI26" s="79"/>
      <c r="BJ26" s="78"/>
      <c r="BK26" s="389"/>
      <c r="BL26" s="389"/>
      <c r="BM26" s="79"/>
      <c r="BN26" s="144"/>
      <c r="BO26" s="144"/>
      <c r="BP26" s="144"/>
      <c r="BQ26" s="77"/>
      <c r="BR26" s="76"/>
      <c r="BS26" s="76"/>
    </row>
    <row r="27" spans="2:80" ht="10" customHeight="1">
      <c r="B27" s="390" t="s">
        <v>665</v>
      </c>
      <c r="C27" s="391"/>
      <c r="D27" s="394" t="s">
        <v>666</v>
      </c>
      <c r="H27" s="76"/>
      <c r="I27" s="76"/>
      <c r="J27" s="77"/>
      <c r="K27" s="144"/>
      <c r="L27" s="144"/>
      <c r="M27" s="78"/>
      <c r="N27" s="79"/>
      <c r="O27" s="389"/>
      <c r="P27" s="389"/>
      <c r="Q27" s="78"/>
      <c r="R27" s="79"/>
      <c r="S27" s="389"/>
      <c r="T27" s="389"/>
      <c r="U27" s="78"/>
      <c r="V27" s="79"/>
      <c r="W27" s="389"/>
      <c r="X27" s="389"/>
      <c r="Y27" s="78"/>
      <c r="Z27" s="79"/>
      <c r="AA27" s="389"/>
      <c r="AB27" s="389"/>
      <c r="AC27" s="78"/>
      <c r="AD27" s="79"/>
      <c r="AE27" s="389"/>
      <c r="AF27" s="389"/>
      <c r="AG27" s="78"/>
      <c r="AH27" s="79"/>
      <c r="AI27" s="389"/>
      <c r="AJ27" s="389"/>
      <c r="AK27" s="78"/>
      <c r="AL27" s="79"/>
      <c r="AM27" s="389"/>
      <c r="AN27" s="389"/>
      <c r="AO27" s="78"/>
      <c r="AP27" s="79"/>
      <c r="AQ27" s="389"/>
      <c r="AR27" s="389"/>
      <c r="AS27" s="78"/>
      <c r="AT27" s="79"/>
      <c r="AU27" s="389"/>
      <c r="AV27" s="389"/>
      <c r="AW27" s="78"/>
      <c r="AX27" s="79"/>
      <c r="AY27" s="389"/>
      <c r="AZ27" s="389"/>
      <c r="BA27" s="78"/>
      <c r="BB27" s="79"/>
      <c r="BC27" s="389"/>
      <c r="BD27" s="389"/>
      <c r="BE27" s="78"/>
      <c r="BF27" s="79"/>
      <c r="BG27" s="389"/>
      <c r="BH27" s="389"/>
      <c r="BI27" s="78"/>
      <c r="BJ27" s="79"/>
      <c r="BK27" s="389"/>
      <c r="BL27" s="389"/>
      <c r="BM27" s="78"/>
      <c r="BN27" s="79"/>
      <c r="BO27" s="144"/>
      <c r="BP27" s="144"/>
      <c r="BQ27" s="77"/>
      <c r="BR27" s="76"/>
      <c r="BS27" s="76"/>
    </row>
    <row r="28" spans="2:80" ht="10" customHeight="1">
      <c r="B28" s="390"/>
      <c r="C28" s="391"/>
      <c r="D28" s="394"/>
      <c r="H28" s="76"/>
      <c r="I28" s="76"/>
      <c r="J28" s="77"/>
      <c r="K28" s="144"/>
      <c r="L28" s="78"/>
      <c r="M28" s="389" t="s">
        <v>651</v>
      </c>
      <c r="N28" s="389"/>
      <c r="O28" s="79"/>
      <c r="P28" s="78"/>
      <c r="Q28" s="389"/>
      <c r="R28" s="389"/>
      <c r="S28" s="79"/>
      <c r="T28" s="78"/>
      <c r="U28" s="389"/>
      <c r="V28" s="389"/>
      <c r="W28" s="79"/>
      <c r="X28" s="78"/>
      <c r="Y28" s="389"/>
      <c r="Z28" s="389"/>
      <c r="AA28" s="79"/>
      <c r="AB28" s="78"/>
      <c r="AC28" s="389"/>
      <c r="AD28" s="389"/>
      <c r="AE28" s="79"/>
      <c r="AF28" s="78"/>
      <c r="AG28" s="389"/>
      <c r="AH28" s="389"/>
      <c r="AI28" s="79"/>
      <c r="AJ28" s="78"/>
      <c r="AK28" s="389"/>
      <c r="AL28" s="389"/>
      <c r="AM28" s="79"/>
      <c r="AN28" s="78"/>
      <c r="AO28" s="389"/>
      <c r="AP28" s="389"/>
      <c r="AQ28" s="79"/>
      <c r="AR28" s="78"/>
      <c r="AS28" s="389"/>
      <c r="AT28" s="389"/>
      <c r="AU28" s="79"/>
      <c r="AV28" s="78"/>
      <c r="AW28" s="389"/>
      <c r="AX28" s="389"/>
      <c r="AY28" s="79"/>
      <c r="AZ28" s="78"/>
      <c r="BA28" s="389"/>
      <c r="BB28" s="389"/>
      <c r="BC28" s="79"/>
      <c r="BD28" s="78"/>
      <c r="BE28" s="389"/>
      <c r="BF28" s="389"/>
      <c r="BG28" s="79"/>
      <c r="BH28" s="78"/>
      <c r="BI28" s="389"/>
      <c r="BJ28" s="389"/>
      <c r="BK28" s="79"/>
      <c r="BL28" s="78"/>
      <c r="BM28" s="389"/>
      <c r="BN28" s="389"/>
      <c r="BO28" s="79"/>
      <c r="BP28" s="144"/>
      <c r="BQ28" s="80"/>
      <c r="BR28" s="81"/>
      <c r="BS28" s="76"/>
      <c r="BU28" s="82"/>
      <c r="BV28" s="82"/>
      <c r="BY28" s="82"/>
      <c r="BZ28" s="82"/>
    </row>
    <row r="29" spans="2:80" ht="10" customHeight="1">
      <c r="B29" s="390" t="s">
        <v>667</v>
      </c>
      <c r="C29" s="391"/>
      <c r="D29" s="394" t="s">
        <v>668</v>
      </c>
      <c r="H29" s="76"/>
      <c r="I29" s="76"/>
      <c r="J29" s="77"/>
      <c r="K29" s="78"/>
      <c r="L29" s="79"/>
      <c r="M29" s="389"/>
      <c r="N29" s="389"/>
      <c r="O29" s="78"/>
      <c r="P29" s="79"/>
      <c r="Q29" s="389"/>
      <c r="R29" s="389"/>
      <c r="S29" s="78"/>
      <c r="T29" s="79"/>
      <c r="U29" s="389"/>
      <c r="V29" s="389"/>
      <c r="W29" s="78"/>
      <c r="X29" s="79"/>
      <c r="Y29" s="389"/>
      <c r="Z29" s="389"/>
      <c r="AA29" s="78"/>
      <c r="AB29" s="79"/>
      <c r="AC29" s="389"/>
      <c r="AD29" s="389"/>
      <c r="AE29" s="78"/>
      <c r="AF29" s="79"/>
      <c r="AG29" s="389"/>
      <c r="AH29" s="389"/>
      <c r="AI29" s="78"/>
      <c r="AJ29" s="79"/>
      <c r="AK29" s="389"/>
      <c r="AL29" s="389"/>
      <c r="AM29" s="78"/>
      <c r="AN29" s="79"/>
      <c r="AO29" s="389"/>
      <c r="AP29" s="389"/>
      <c r="AQ29" s="78"/>
      <c r="AR29" s="79"/>
      <c r="AS29" s="389"/>
      <c r="AT29" s="389"/>
      <c r="AU29" s="78"/>
      <c r="AV29" s="79"/>
      <c r="AW29" s="389"/>
      <c r="AX29" s="389"/>
      <c r="AY29" s="78"/>
      <c r="AZ29" s="79"/>
      <c r="BA29" s="389"/>
      <c r="BB29" s="389"/>
      <c r="BC29" s="78"/>
      <c r="BD29" s="79"/>
      <c r="BE29" s="389"/>
      <c r="BF29" s="389"/>
      <c r="BG29" s="78"/>
      <c r="BH29" s="79"/>
      <c r="BI29" s="389"/>
      <c r="BJ29" s="389"/>
      <c r="BK29" s="78"/>
      <c r="BL29" s="79"/>
      <c r="BM29" s="389"/>
      <c r="BN29" s="389"/>
      <c r="BO29" s="78"/>
      <c r="BP29" s="79"/>
      <c r="BQ29" s="80"/>
      <c r="BR29" s="81"/>
      <c r="BS29" s="76"/>
      <c r="BU29" s="82"/>
      <c r="BV29" s="82"/>
      <c r="BY29" s="82"/>
      <c r="BZ29" s="82"/>
    </row>
    <row r="30" spans="2:80" ht="10" customHeight="1">
      <c r="B30" s="392"/>
      <c r="C30" s="393"/>
      <c r="D30" s="395"/>
      <c r="H30" s="76"/>
      <c r="I30" s="76"/>
      <c r="J30" s="83"/>
      <c r="K30" s="389" t="s">
        <v>651</v>
      </c>
      <c r="L30" s="389"/>
      <c r="M30" s="79"/>
      <c r="N30" s="78"/>
      <c r="O30" s="389"/>
      <c r="P30" s="389"/>
      <c r="Q30" s="79"/>
      <c r="R30" s="78"/>
      <c r="S30" s="389"/>
      <c r="T30" s="389"/>
      <c r="U30" s="79"/>
      <c r="V30" s="78"/>
      <c r="W30" s="389"/>
      <c r="X30" s="389"/>
      <c r="Y30" s="79"/>
      <c r="Z30" s="78"/>
      <c r="AA30" s="389"/>
      <c r="AB30" s="389"/>
      <c r="AC30" s="79"/>
      <c r="AD30" s="78"/>
      <c r="AE30" s="389"/>
      <c r="AF30" s="389"/>
      <c r="AG30" s="79"/>
      <c r="AH30" s="78"/>
      <c r="AI30" s="389"/>
      <c r="AJ30" s="389"/>
      <c r="AK30" s="79"/>
      <c r="AL30" s="78"/>
      <c r="AM30" s="389"/>
      <c r="AN30" s="389"/>
      <c r="AO30" s="79"/>
      <c r="AP30" s="78"/>
      <c r="AQ30" s="389"/>
      <c r="AR30" s="389"/>
      <c r="AS30" s="79"/>
      <c r="AT30" s="78"/>
      <c r="AU30" s="389"/>
      <c r="AV30" s="389"/>
      <c r="AW30" s="79"/>
      <c r="AX30" s="78"/>
      <c r="AY30" s="389"/>
      <c r="AZ30" s="389"/>
      <c r="BA30" s="79"/>
      <c r="BB30" s="78"/>
      <c r="BC30" s="389"/>
      <c r="BD30" s="389"/>
      <c r="BE30" s="79"/>
      <c r="BF30" s="78"/>
      <c r="BG30" s="389"/>
      <c r="BH30" s="389"/>
      <c r="BI30" s="79"/>
      <c r="BJ30" s="78"/>
      <c r="BK30" s="389"/>
      <c r="BL30" s="389"/>
      <c r="BM30" s="79"/>
      <c r="BN30" s="78"/>
      <c r="BO30" s="389"/>
      <c r="BP30" s="389"/>
      <c r="BQ30" s="84"/>
      <c r="BR30" s="76"/>
      <c r="BS30" s="85"/>
      <c r="BT30" s="82"/>
      <c r="BW30" s="86"/>
      <c r="BX30" s="82"/>
      <c r="CA30" s="82"/>
      <c r="CB30" s="82"/>
    </row>
    <row r="31" spans="2:80" ht="10" customHeight="1">
      <c r="H31" s="76"/>
      <c r="I31" s="87"/>
      <c r="J31" s="84"/>
      <c r="K31" s="389"/>
      <c r="L31" s="389"/>
      <c r="M31" s="78"/>
      <c r="N31" s="79"/>
      <c r="O31" s="389"/>
      <c r="P31" s="389"/>
      <c r="Q31" s="78"/>
      <c r="R31" s="79"/>
      <c r="S31" s="389"/>
      <c r="T31" s="389"/>
      <c r="U31" s="78"/>
      <c r="V31" s="79"/>
      <c r="W31" s="389"/>
      <c r="X31" s="389"/>
      <c r="Y31" s="78"/>
      <c r="Z31" s="79"/>
      <c r="AA31" s="389"/>
      <c r="AB31" s="389"/>
      <c r="AC31" s="78"/>
      <c r="AD31" s="79"/>
      <c r="AE31" s="389"/>
      <c r="AF31" s="389"/>
      <c r="AG31" s="78"/>
      <c r="AH31" s="79"/>
      <c r="AI31" s="389"/>
      <c r="AJ31" s="389"/>
      <c r="AK31" s="78"/>
      <c r="AL31" s="79"/>
      <c r="AM31" s="389"/>
      <c r="AN31" s="389"/>
      <c r="AO31" s="78"/>
      <c r="AP31" s="79"/>
      <c r="AQ31" s="389"/>
      <c r="AR31" s="389"/>
      <c r="AS31" s="78"/>
      <c r="AT31" s="79"/>
      <c r="AU31" s="389"/>
      <c r="AV31" s="389"/>
      <c r="AW31" s="78"/>
      <c r="AX31" s="79"/>
      <c r="AY31" s="389"/>
      <c r="AZ31" s="389"/>
      <c r="BA31" s="78"/>
      <c r="BB31" s="79"/>
      <c r="BC31" s="389"/>
      <c r="BD31" s="389"/>
      <c r="BE31" s="78"/>
      <c r="BF31" s="79"/>
      <c r="BG31" s="389"/>
      <c r="BH31" s="389"/>
      <c r="BI31" s="78"/>
      <c r="BJ31" s="79"/>
      <c r="BK31" s="389"/>
      <c r="BL31" s="389"/>
      <c r="BM31" s="78"/>
      <c r="BN31" s="79"/>
      <c r="BO31" s="389"/>
      <c r="BP31" s="389"/>
      <c r="BQ31" s="83"/>
      <c r="BR31" s="88"/>
      <c r="BS31" s="85"/>
      <c r="BT31" s="82"/>
      <c r="BW31" s="86"/>
      <c r="BX31" s="82"/>
      <c r="CA31" s="82"/>
      <c r="CB31" s="82"/>
    </row>
    <row r="32" spans="2:80" ht="10" customHeight="1">
      <c r="H32" s="87"/>
      <c r="I32" s="76"/>
      <c r="J32" s="77"/>
      <c r="K32" s="84"/>
      <c r="L32" s="83"/>
      <c r="M32" s="77"/>
      <c r="N32" s="77"/>
      <c r="O32" s="84"/>
      <c r="P32" s="83"/>
      <c r="Q32" s="77"/>
      <c r="R32" s="77"/>
      <c r="S32" s="84"/>
      <c r="T32" s="83"/>
      <c r="U32" s="77"/>
      <c r="V32" s="77"/>
      <c r="W32" s="84"/>
      <c r="X32" s="83"/>
      <c r="Y32" s="77"/>
      <c r="Z32" s="77"/>
      <c r="AA32" s="84"/>
      <c r="AB32" s="83"/>
      <c r="AC32" s="77"/>
      <c r="AD32" s="77"/>
      <c r="AE32" s="84"/>
      <c r="AF32" s="83"/>
      <c r="AG32" s="77"/>
      <c r="AH32" s="77"/>
      <c r="AI32" s="84"/>
      <c r="AJ32" s="83"/>
      <c r="AK32" s="77"/>
      <c r="AL32" s="77"/>
      <c r="AM32" s="84"/>
      <c r="AN32" s="83"/>
      <c r="AO32" s="77"/>
      <c r="AP32" s="77"/>
      <c r="AQ32" s="84"/>
      <c r="AR32" s="83"/>
      <c r="AS32" s="77"/>
      <c r="AT32" s="77"/>
      <c r="AU32" s="84"/>
      <c r="AV32" s="83"/>
      <c r="AW32" s="77"/>
      <c r="AX32" s="77"/>
      <c r="AY32" s="84"/>
      <c r="AZ32" s="83"/>
      <c r="BA32" s="77"/>
      <c r="BB32" s="77"/>
      <c r="BC32" s="84"/>
      <c r="BD32" s="83"/>
      <c r="BE32" s="77"/>
      <c r="BF32" s="77"/>
      <c r="BG32" s="84"/>
      <c r="BH32" s="83"/>
      <c r="BI32" s="77"/>
      <c r="BJ32" s="77"/>
      <c r="BK32" s="84"/>
      <c r="BL32" s="83"/>
      <c r="BM32" s="77"/>
      <c r="BN32" s="77"/>
      <c r="BO32" s="84"/>
      <c r="BP32" s="83"/>
      <c r="BQ32" s="77"/>
      <c r="BR32" s="76"/>
      <c r="BS32" s="88"/>
    </row>
    <row r="33" spans="2:83" ht="19.5" customHeight="1">
      <c r="F33" s="350" t="s">
        <v>669</v>
      </c>
      <c r="G33" s="350"/>
      <c r="H33" s="386">
        <v>1</v>
      </c>
      <c r="I33" s="387"/>
      <c r="J33" s="387"/>
      <c r="K33" s="388"/>
      <c r="L33" s="386">
        <v>2</v>
      </c>
      <c r="M33" s="387"/>
      <c r="N33" s="387"/>
      <c r="O33" s="388"/>
      <c r="P33" s="386">
        <v>3</v>
      </c>
      <c r="Q33" s="387"/>
      <c r="R33" s="387"/>
      <c r="S33" s="388"/>
      <c r="T33" s="386">
        <v>4</v>
      </c>
      <c r="U33" s="387"/>
      <c r="V33" s="387"/>
      <c r="W33" s="388"/>
      <c r="X33" s="386">
        <v>5</v>
      </c>
      <c r="Y33" s="387"/>
      <c r="Z33" s="387"/>
      <c r="AA33" s="388"/>
      <c r="AB33" s="386">
        <v>6</v>
      </c>
      <c r="AC33" s="387"/>
      <c r="AD33" s="387"/>
      <c r="AE33" s="388"/>
      <c r="AF33" s="386">
        <v>7</v>
      </c>
      <c r="AG33" s="387"/>
      <c r="AH33" s="387"/>
      <c r="AI33" s="388"/>
      <c r="AJ33" s="386">
        <v>8</v>
      </c>
      <c r="AK33" s="387"/>
      <c r="AL33" s="387"/>
      <c r="AM33" s="388"/>
      <c r="AN33" s="386">
        <v>9</v>
      </c>
      <c r="AO33" s="387"/>
      <c r="AP33" s="387"/>
      <c r="AQ33" s="388"/>
      <c r="AR33" s="386">
        <v>10</v>
      </c>
      <c r="AS33" s="387"/>
      <c r="AT33" s="387"/>
      <c r="AU33" s="388"/>
      <c r="AV33" s="386">
        <v>11</v>
      </c>
      <c r="AW33" s="387"/>
      <c r="AX33" s="387"/>
      <c r="AY33" s="388"/>
      <c r="AZ33" s="386">
        <v>12</v>
      </c>
      <c r="BA33" s="387"/>
      <c r="BB33" s="387"/>
      <c r="BC33" s="388"/>
      <c r="BD33" s="386">
        <v>13</v>
      </c>
      <c r="BE33" s="387"/>
      <c r="BF33" s="387"/>
      <c r="BG33" s="388"/>
      <c r="BH33" s="386">
        <v>14</v>
      </c>
      <c r="BI33" s="387"/>
      <c r="BJ33" s="387"/>
      <c r="BK33" s="388"/>
      <c r="BL33" s="386">
        <v>15</v>
      </c>
      <c r="BM33" s="387"/>
      <c r="BN33" s="387"/>
      <c r="BO33" s="388"/>
      <c r="BP33" s="386">
        <v>16</v>
      </c>
      <c r="BQ33" s="387"/>
      <c r="BR33" s="387"/>
      <c r="BS33" s="388"/>
    </row>
    <row r="34" spans="2:83" ht="19.5" customHeight="1">
      <c r="F34" s="350" t="s">
        <v>670</v>
      </c>
      <c r="G34" s="350"/>
      <c r="H34" s="378"/>
      <c r="I34" s="379"/>
      <c r="J34" s="379"/>
      <c r="K34" s="380"/>
      <c r="L34" s="378"/>
      <c r="M34" s="379"/>
      <c r="N34" s="379"/>
      <c r="O34" s="380"/>
      <c r="P34" s="378"/>
      <c r="Q34" s="379"/>
      <c r="R34" s="379"/>
      <c r="S34" s="380"/>
      <c r="T34" s="378"/>
      <c r="U34" s="379"/>
      <c r="V34" s="379"/>
      <c r="W34" s="380"/>
      <c r="X34" s="378"/>
      <c r="Y34" s="379"/>
      <c r="Z34" s="379"/>
      <c r="AA34" s="380"/>
      <c r="AB34" s="378"/>
      <c r="AC34" s="379"/>
      <c r="AD34" s="379"/>
      <c r="AE34" s="380"/>
      <c r="AF34" s="378"/>
      <c r="AG34" s="379"/>
      <c r="AH34" s="379"/>
      <c r="AI34" s="380"/>
      <c r="AJ34" s="378"/>
      <c r="AK34" s="379"/>
      <c r="AL34" s="379"/>
      <c r="AM34" s="380"/>
      <c r="AN34" s="378"/>
      <c r="AO34" s="379"/>
      <c r="AP34" s="379"/>
      <c r="AQ34" s="380"/>
      <c r="AR34" s="378"/>
      <c r="AS34" s="379"/>
      <c r="AT34" s="379"/>
      <c r="AU34" s="380"/>
      <c r="AV34" s="378"/>
      <c r="AW34" s="379"/>
      <c r="AX34" s="379"/>
      <c r="AY34" s="380"/>
      <c r="AZ34" s="378"/>
      <c r="BA34" s="379"/>
      <c r="BB34" s="379"/>
      <c r="BC34" s="380"/>
      <c r="BD34" s="378"/>
      <c r="BE34" s="379"/>
      <c r="BF34" s="379"/>
      <c r="BG34" s="380"/>
      <c r="BH34" s="378"/>
      <c r="BI34" s="379"/>
      <c r="BJ34" s="379"/>
      <c r="BK34" s="380"/>
      <c r="BL34" s="378"/>
      <c r="BM34" s="379"/>
      <c r="BN34" s="379"/>
      <c r="BO34" s="380"/>
      <c r="BP34" s="378"/>
      <c r="BQ34" s="379"/>
      <c r="BR34" s="379"/>
      <c r="BS34" s="380"/>
      <c r="BT34" s="381" t="s">
        <v>671</v>
      </c>
      <c r="BU34" s="382"/>
      <c r="BV34" s="382"/>
      <c r="BW34" s="382"/>
      <c r="BX34" s="382"/>
      <c r="BY34" s="382"/>
      <c r="BZ34" s="382"/>
      <c r="CA34" s="382"/>
      <c r="CB34" s="382"/>
      <c r="CC34" s="382"/>
      <c r="CD34" s="383"/>
    </row>
    <row r="35" spans="2:83" ht="90" customHeight="1">
      <c r="B35" s="384" t="s">
        <v>672</v>
      </c>
      <c r="C35" s="385" t="s">
        <v>673</v>
      </c>
      <c r="D35" s="384" t="s">
        <v>674</v>
      </c>
      <c r="E35" s="384" t="s">
        <v>675</v>
      </c>
      <c r="F35" s="89"/>
      <c r="G35" s="90" t="s">
        <v>703</v>
      </c>
      <c r="H35" s="362" t="s">
        <v>801</v>
      </c>
      <c r="I35" s="363"/>
      <c r="J35" s="363"/>
      <c r="K35" s="364"/>
      <c r="L35" s="362" t="s">
        <v>802</v>
      </c>
      <c r="M35" s="363"/>
      <c r="N35" s="363"/>
      <c r="O35" s="364"/>
      <c r="P35" s="362" t="s">
        <v>705</v>
      </c>
      <c r="Q35" s="363"/>
      <c r="R35" s="363"/>
      <c r="S35" s="364"/>
      <c r="T35" s="362" t="s">
        <v>706</v>
      </c>
      <c r="U35" s="363"/>
      <c r="V35" s="363"/>
      <c r="W35" s="364"/>
      <c r="X35" s="362" t="s">
        <v>707</v>
      </c>
      <c r="Y35" s="363"/>
      <c r="Z35" s="363"/>
      <c r="AA35" s="364"/>
      <c r="AB35" s="362" t="s">
        <v>708</v>
      </c>
      <c r="AC35" s="363"/>
      <c r="AD35" s="363"/>
      <c r="AE35" s="364"/>
      <c r="AF35" s="362"/>
      <c r="AG35" s="363"/>
      <c r="AH35" s="363"/>
      <c r="AI35" s="364"/>
      <c r="AJ35" s="362"/>
      <c r="AK35" s="363"/>
      <c r="AL35" s="363"/>
      <c r="AM35" s="364"/>
      <c r="AN35" s="362"/>
      <c r="AO35" s="363"/>
      <c r="AP35" s="363"/>
      <c r="AQ35" s="364"/>
      <c r="AR35" s="362"/>
      <c r="AS35" s="363"/>
      <c r="AT35" s="363"/>
      <c r="AU35" s="364"/>
      <c r="AV35" s="362"/>
      <c r="AW35" s="363"/>
      <c r="AX35" s="363"/>
      <c r="AY35" s="364"/>
      <c r="AZ35" s="362"/>
      <c r="BA35" s="363"/>
      <c r="BB35" s="363"/>
      <c r="BC35" s="364"/>
      <c r="BD35" s="362"/>
      <c r="BE35" s="363"/>
      <c r="BF35" s="363"/>
      <c r="BG35" s="364"/>
      <c r="BH35" s="362"/>
      <c r="BI35" s="363"/>
      <c r="BJ35" s="363"/>
      <c r="BK35" s="364"/>
      <c r="BL35" s="362"/>
      <c r="BM35" s="363"/>
      <c r="BN35" s="363"/>
      <c r="BO35" s="364"/>
      <c r="BP35" s="362"/>
      <c r="BQ35" s="363"/>
      <c r="BR35" s="363"/>
      <c r="BS35" s="364"/>
      <c r="BT35" s="375" t="s">
        <v>676</v>
      </c>
      <c r="BU35" s="375" t="s">
        <v>677</v>
      </c>
      <c r="BV35" s="375" t="s">
        <v>678</v>
      </c>
      <c r="BW35" s="375" t="s">
        <v>679</v>
      </c>
      <c r="BX35" s="375" t="s">
        <v>680</v>
      </c>
      <c r="BY35" s="376" t="s">
        <v>681</v>
      </c>
      <c r="BZ35" s="369" t="s">
        <v>682</v>
      </c>
      <c r="CA35" s="369" t="s">
        <v>683</v>
      </c>
      <c r="CB35" s="369" t="s">
        <v>684</v>
      </c>
      <c r="CC35" s="369" t="s">
        <v>685</v>
      </c>
      <c r="CD35" s="371" t="s">
        <v>686</v>
      </c>
      <c r="CE35" s="373" t="s">
        <v>672</v>
      </c>
    </row>
    <row r="36" spans="2:83" ht="90" customHeight="1">
      <c r="B36" s="384"/>
      <c r="C36" s="384"/>
      <c r="D36" s="384"/>
      <c r="E36" s="384"/>
      <c r="F36" s="91" t="s">
        <v>702</v>
      </c>
      <c r="G36" s="92"/>
      <c r="H36" s="365"/>
      <c r="I36" s="366"/>
      <c r="J36" s="366"/>
      <c r="K36" s="367"/>
      <c r="L36" s="365"/>
      <c r="M36" s="366"/>
      <c r="N36" s="366"/>
      <c r="O36" s="367"/>
      <c r="P36" s="365"/>
      <c r="Q36" s="366"/>
      <c r="R36" s="366"/>
      <c r="S36" s="367"/>
      <c r="T36" s="365"/>
      <c r="U36" s="366"/>
      <c r="V36" s="366"/>
      <c r="W36" s="367"/>
      <c r="X36" s="365"/>
      <c r="Y36" s="366"/>
      <c r="Z36" s="366"/>
      <c r="AA36" s="367"/>
      <c r="AB36" s="365"/>
      <c r="AC36" s="366"/>
      <c r="AD36" s="366"/>
      <c r="AE36" s="367"/>
      <c r="AF36" s="365"/>
      <c r="AG36" s="366"/>
      <c r="AH36" s="366"/>
      <c r="AI36" s="367"/>
      <c r="AJ36" s="365"/>
      <c r="AK36" s="366"/>
      <c r="AL36" s="366"/>
      <c r="AM36" s="367"/>
      <c r="AN36" s="365"/>
      <c r="AO36" s="366"/>
      <c r="AP36" s="366"/>
      <c r="AQ36" s="367"/>
      <c r="AR36" s="365"/>
      <c r="AS36" s="366"/>
      <c r="AT36" s="366"/>
      <c r="AU36" s="367"/>
      <c r="AV36" s="365"/>
      <c r="AW36" s="366"/>
      <c r="AX36" s="366"/>
      <c r="AY36" s="367"/>
      <c r="AZ36" s="365"/>
      <c r="BA36" s="366"/>
      <c r="BB36" s="366"/>
      <c r="BC36" s="367"/>
      <c r="BD36" s="365"/>
      <c r="BE36" s="366"/>
      <c r="BF36" s="366"/>
      <c r="BG36" s="367"/>
      <c r="BH36" s="365"/>
      <c r="BI36" s="366"/>
      <c r="BJ36" s="366"/>
      <c r="BK36" s="367"/>
      <c r="BL36" s="365"/>
      <c r="BM36" s="366"/>
      <c r="BN36" s="366"/>
      <c r="BO36" s="367"/>
      <c r="BP36" s="365"/>
      <c r="BQ36" s="366"/>
      <c r="BR36" s="366"/>
      <c r="BS36" s="367"/>
      <c r="BT36" s="375"/>
      <c r="BU36" s="375"/>
      <c r="BV36" s="375"/>
      <c r="BW36" s="375"/>
      <c r="BX36" s="375"/>
      <c r="BY36" s="377"/>
      <c r="BZ36" s="370"/>
      <c r="CA36" s="370"/>
      <c r="CB36" s="370"/>
      <c r="CC36" s="370"/>
      <c r="CD36" s="372"/>
      <c r="CE36" s="374"/>
    </row>
    <row r="37" spans="2:83" ht="30" customHeight="1">
      <c r="B37" s="93">
        <v>1</v>
      </c>
      <c r="C37" s="94" t="str">
        <f>REPT("|", (D37*100))</f>
        <v>||||||||||||||||||</v>
      </c>
      <c r="D37" s="109">
        <f>'S05 Req Weights'!K3</f>
        <v>0.18333333333333332</v>
      </c>
      <c r="E37" s="145">
        <f>IF(COUNTIF(H37:BP37,"●"),9,IF(COUNTIF(H37:BP37,"○"),3,IF(COUNTIF(H37:BP37,"▽"),1,"")))</f>
        <v>9</v>
      </c>
      <c r="F37" s="361" t="str">
        <f>'S05 Req Weights'!A3</f>
        <v>Style</v>
      </c>
      <c r="G37" s="361"/>
      <c r="H37" s="358" t="s">
        <v>657</v>
      </c>
      <c r="I37" s="359"/>
      <c r="J37" s="359"/>
      <c r="K37" s="360"/>
      <c r="L37" s="358" t="s">
        <v>657</v>
      </c>
      <c r="M37" s="359"/>
      <c r="N37" s="359"/>
      <c r="O37" s="360"/>
      <c r="P37" s="358" t="s">
        <v>659</v>
      </c>
      <c r="Q37" s="359"/>
      <c r="R37" s="359"/>
      <c r="S37" s="360"/>
      <c r="T37" s="358"/>
      <c r="U37" s="359"/>
      <c r="V37" s="359"/>
      <c r="W37" s="360"/>
      <c r="X37" s="358"/>
      <c r="Y37" s="359"/>
      <c r="Z37" s="359"/>
      <c r="AA37" s="360"/>
      <c r="AB37" s="358" t="s">
        <v>661</v>
      </c>
      <c r="AC37" s="359"/>
      <c r="AD37" s="359"/>
      <c r="AE37" s="360"/>
      <c r="AF37" s="358"/>
      <c r="AG37" s="359"/>
      <c r="AH37" s="359"/>
      <c r="AI37" s="360"/>
      <c r="AJ37" s="358"/>
      <c r="AK37" s="359"/>
      <c r="AL37" s="359"/>
      <c r="AM37" s="360"/>
      <c r="AN37" s="358"/>
      <c r="AO37" s="359"/>
      <c r="AP37" s="359"/>
      <c r="AQ37" s="360"/>
      <c r="AR37" s="358"/>
      <c r="AS37" s="359"/>
      <c r="AT37" s="359"/>
      <c r="AU37" s="360"/>
      <c r="AV37" s="358"/>
      <c r="AW37" s="359"/>
      <c r="AX37" s="359"/>
      <c r="AY37" s="360"/>
      <c r="AZ37" s="358"/>
      <c r="BA37" s="359"/>
      <c r="BB37" s="359"/>
      <c r="BC37" s="360"/>
      <c r="BD37" s="358"/>
      <c r="BE37" s="359"/>
      <c r="BF37" s="359"/>
      <c r="BG37" s="360"/>
      <c r="BH37" s="358"/>
      <c r="BI37" s="359"/>
      <c r="BJ37" s="359"/>
      <c r="BK37" s="360"/>
      <c r="BL37" s="358"/>
      <c r="BM37" s="359"/>
      <c r="BN37" s="359"/>
      <c r="BO37" s="360"/>
      <c r="BP37" s="358"/>
      <c r="BQ37" s="359"/>
      <c r="BR37" s="359"/>
      <c r="BS37" s="360"/>
      <c r="BT37" s="95">
        <v>5</v>
      </c>
      <c r="BU37" s="95">
        <v>1</v>
      </c>
      <c r="BV37" s="95">
        <v>3</v>
      </c>
      <c r="BW37" s="95">
        <v>4</v>
      </c>
      <c r="BX37" s="95">
        <v>5</v>
      </c>
      <c r="BY37" s="368"/>
      <c r="CE37" s="93">
        <v>1</v>
      </c>
    </row>
    <row r="38" spans="2:83" ht="30" customHeight="1">
      <c r="B38" s="93">
        <v>2</v>
      </c>
      <c r="C38" s="94" t="str">
        <f t="shared" ref="C38:C42" si="0">REPT("|", (D38*100))</f>
        <v>|||||||||||</v>
      </c>
      <c r="D38" s="109">
        <f>'S05 Req Weights'!K4</f>
        <v>0.11666666666666667</v>
      </c>
      <c r="E38" s="145">
        <f t="shared" ref="E38:E52" si="1">IF(COUNTIF(H38:BP38,"●"),9,IF(COUNTIF(H38:BP38,"○"),3,IF(COUNTIF(H38:BP38,"▽"),1,"")))</f>
        <v>9</v>
      </c>
      <c r="F38" s="361" t="str">
        <f>'S05 Req Weights'!A4</f>
        <v>Lightweight</v>
      </c>
      <c r="G38" s="361"/>
      <c r="H38" s="358" t="s">
        <v>657</v>
      </c>
      <c r="I38" s="359"/>
      <c r="J38" s="359"/>
      <c r="K38" s="360"/>
      <c r="L38" s="358" t="s">
        <v>657</v>
      </c>
      <c r="M38" s="359"/>
      <c r="N38" s="359"/>
      <c r="O38" s="360"/>
      <c r="P38" s="358"/>
      <c r="Q38" s="359"/>
      <c r="R38" s="359"/>
      <c r="S38" s="360"/>
      <c r="T38" s="358" t="s">
        <v>661</v>
      </c>
      <c r="U38" s="359"/>
      <c r="V38" s="359"/>
      <c r="W38" s="360"/>
      <c r="X38" s="358"/>
      <c r="Y38" s="359"/>
      <c r="Z38" s="359"/>
      <c r="AA38" s="360"/>
      <c r="AB38" s="358"/>
      <c r="AC38" s="359"/>
      <c r="AD38" s="359"/>
      <c r="AE38" s="360"/>
      <c r="AF38" s="358"/>
      <c r="AG38" s="359"/>
      <c r="AH38" s="359"/>
      <c r="AI38" s="360"/>
      <c r="AJ38" s="358"/>
      <c r="AK38" s="359"/>
      <c r="AL38" s="359"/>
      <c r="AM38" s="360"/>
      <c r="AN38" s="358"/>
      <c r="AO38" s="359"/>
      <c r="AP38" s="359"/>
      <c r="AQ38" s="360"/>
      <c r="AR38" s="358"/>
      <c r="AS38" s="359"/>
      <c r="AT38" s="359"/>
      <c r="AU38" s="360"/>
      <c r="AV38" s="358"/>
      <c r="AW38" s="359"/>
      <c r="AX38" s="359"/>
      <c r="AY38" s="360"/>
      <c r="AZ38" s="358"/>
      <c r="BA38" s="359"/>
      <c r="BB38" s="359"/>
      <c r="BC38" s="360"/>
      <c r="BD38" s="358"/>
      <c r="BE38" s="359"/>
      <c r="BF38" s="359"/>
      <c r="BG38" s="360"/>
      <c r="BH38" s="358"/>
      <c r="BI38" s="359"/>
      <c r="BJ38" s="359"/>
      <c r="BK38" s="360"/>
      <c r="BL38" s="358"/>
      <c r="BM38" s="359"/>
      <c r="BN38" s="359"/>
      <c r="BO38" s="360"/>
      <c r="BP38" s="358"/>
      <c r="BQ38" s="359"/>
      <c r="BR38" s="359"/>
      <c r="BS38" s="360"/>
      <c r="BT38" s="95">
        <v>3</v>
      </c>
      <c r="BU38" s="95">
        <v>4</v>
      </c>
      <c r="BV38" s="95">
        <v>5</v>
      </c>
      <c r="BW38" s="95">
        <v>6</v>
      </c>
      <c r="BX38" s="95">
        <v>7</v>
      </c>
      <c r="BY38" s="368"/>
      <c r="CE38" s="93">
        <v>2</v>
      </c>
    </row>
    <row r="39" spans="2:83" ht="30" customHeight="1">
      <c r="B39" s="93">
        <v>3</v>
      </c>
      <c r="C39" s="94" t="str">
        <f t="shared" si="0"/>
        <v>||||||||||||||||||</v>
      </c>
      <c r="D39" s="109">
        <f>'S05 Req Weights'!K5</f>
        <v>0.18333333333333332</v>
      </c>
      <c r="E39" s="145">
        <f t="shared" si="1"/>
        <v>3</v>
      </c>
      <c r="F39" s="361" t="str">
        <f>'S05 Req Weights'!A5</f>
        <v>Durable</v>
      </c>
      <c r="G39" s="361"/>
      <c r="H39" s="358"/>
      <c r="I39" s="359"/>
      <c r="J39" s="359"/>
      <c r="K39" s="360"/>
      <c r="L39" s="358" t="s">
        <v>659</v>
      </c>
      <c r="M39" s="359"/>
      <c r="N39" s="359"/>
      <c r="O39" s="360"/>
      <c r="P39" s="358"/>
      <c r="Q39" s="359"/>
      <c r="R39" s="359"/>
      <c r="S39" s="360"/>
      <c r="T39" s="358"/>
      <c r="U39" s="359"/>
      <c r="V39" s="359"/>
      <c r="W39" s="360"/>
      <c r="X39" s="358"/>
      <c r="Y39" s="359"/>
      <c r="Z39" s="359"/>
      <c r="AA39" s="360"/>
      <c r="AB39" s="358"/>
      <c r="AC39" s="359"/>
      <c r="AD39" s="359"/>
      <c r="AE39" s="360"/>
      <c r="AF39" s="358"/>
      <c r="AG39" s="359"/>
      <c r="AH39" s="359"/>
      <c r="AI39" s="360"/>
      <c r="AJ39" s="358"/>
      <c r="AK39" s="359"/>
      <c r="AL39" s="359"/>
      <c r="AM39" s="360"/>
      <c r="AN39" s="358"/>
      <c r="AO39" s="359"/>
      <c r="AP39" s="359"/>
      <c r="AQ39" s="360"/>
      <c r="AR39" s="358"/>
      <c r="AS39" s="359"/>
      <c r="AT39" s="359"/>
      <c r="AU39" s="360"/>
      <c r="AV39" s="358"/>
      <c r="AW39" s="359"/>
      <c r="AX39" s="359"/>
      <c r="AY39" s="360"/>
      <c r="AZ39" s="358"/>
      <c r="BA39" s="359"/>
      <c r="BB39" s="359"/>
      <c r="BC39" s="360"/>
      <c r="BD39" s="358"/>
      <c r="BE39" s="359"/>
      <c r="BF39" s="359"/>
      <c r="BG39" s="360"/>
      <c r="BH39" s="358"/>
      <c r="BI39" s="359"/>
      <c r="BJ39" s="359"/>
      <c r="BK39" s="360"/>
      <c r="BL39" s="358"/>
      <c r="BM39" s="359"/>
      <c r="BN39" s="359"/>
      <c r="BO39" s="360"/>
      <c r="BP39" s="358"/>
      <c r="BQ39" s="359"/>
      <c r="BR39" s="359"/>
      <c r="BS39" s="360"/>
      <c r="BT39" s="95">
        <v>2</v>
      </c>
      <c r="BU39" s="95">
        <v>3</v>
      </c>
      <c r="BV39" s="95">
        <v>3</v>
      </c>
      <c r="BW39" s="95">
        <v>3</v>
      </c>
      <c r="BX39" s="95">
        <v>3</v>
      </c>
      <c r="BY39" s="368"/>
      <c r="CE39" s="93">
        <v>3</v>
      </c>
    </row>
    <row r="40" spans="2:83" ht="30" customHeight="1">
      <c r="B40" s="93">
        <v>4</v>
      </c>
      <c r="C40" s="94" t="str">
        <f t="shared" si="0"/>
        <v>||||||||||</v>
      </c>
      <c r="D40" s="109">
        <f>'S05 Req Weights'!K6</f>
        <v>0.1</v>
      </c>
      <c r="E40" s="145">
        <f t="shared" si="1"/>
        <v>9</v>
      </c>
      <c r="F40" s="361" t="str">
        <f>'S05 Req Weights'!A6</f>
        <v>Simple locking system</v>
      </c>
      <c r="G40" s="361"/>
      <c r="H40" s="358"/>
      <c r="I40" s="359"/>
      <c r="J40" s="359"/>
      <c r="K40" s="360"/>
      <c r="L40" s="358"/>
      <c r="M40" s="359"/>
      <c r="N40" s="359"/>
      <c r="O40" s="360"/>
      <c r="P40" s="358"/>
      <c r="Q40" s="359"/>
      <c r="R40" s="359"/>
      <c r="S40" s="360"/>
      <c r="T40" s="358" t="s">
        <v>657</v>
      </c>
      <c r="U40" s="359"/>
      <c r="V40" s="359"/>
      <c r="W40" s="360"/>
      <c r="X40" s="358"/>
      <c r="Y40" s="359"/>
      <c r="Z40" s="359"/>
      <c r="AA40" s="360"/>
      <c r="AB40" s="358" t="s">
        <v>657</v>
      </c>
      <c r="AC40" s="359"/>
      <c r="AD40" s="359"/>
      <c r="AE40" s="360"/>
      <c r="AF40" s="358"/>
      <c r="AG40" s="359"/>
      <c r="AH40" s="359"/>
      <c r="AI40" s="360"/>
      <c r="AJ40" s="358"/>
      <c r="AK40" s="359"/>
      <c r="AL40" s="359"/>
      <c r="AM40" s="360"/>
      <c r="AN40" s="358"/>
      <c r="AO40" s="359"/>
      <c r="AP40" s="359"/>
      <c r="AQ40" s="360"/>
      <c r="AR40" s="358"/>
      <c r="AS40" s="359"/>
      <c r="AT40" s="359"/>
      <c r="AU40" s="360"/>
      <c r="AV40" s="358"/>
      <c r="AW40" s="359"/>
      <c r="AX40" s="359"/>
      <c r="AY40" s="360"/>
      <c r="AZ40" s="358"/>
      <c r="BA40" s="359"/>
      <c r="BB40" s="359"/>
      <c r="BC40" s="360"/>
      <c r="BD40" s="358"/>
      <c r="BE40" s="359"/>
      <c r="BF40" s="359"/>
      <c r="BG40" s="360"/>
      <c r="BH40" s="358"/>
      <c r="BI40" s="359"/>
      <c r="BJ40" s="359"/>
      <c r="BK40" s="360"/>
      <c r="BL40" s="358"/>
      <c r="BM40" s="359"/>
      <c r="BN40" s="359"/>
      <c r="BO40" s="360"/>
      <c r="BP40" s="358"/>
      <c r="BQ40" s="359"/>
      <c r="BR40" s="359"/>
      <c r="BS40" s="360"/>
      <c r="BT40" s="95">
        <v>5</v>
      </c>
      <c r="BU40" s="95">
        <v>6</v>
      </c>
      <c r="BV40" s="95">
        <v>7</v>
      </c>
      <c r="BW40" s="95">
        <v>8</v>
      </c>
      <c r="BX40" s="95">
        <v>9</v>
      </c>
      <c r="BY40" s="368"/>
      <c r="CE40" s="93">
        <v>4</v>
      </c>
    </row>
    <row r="41" spans="2:83" ht="30" customHeight="1">
      <c r="B41" s="93">
        <v>5</v>
      </c>
      <c r="C41" s="94" t="str">
        <f t="shared" si="0"/>
        <v>|||||||||||||||||||||||</v>
      </c>
      <c r="D41" s="109">
        <f>'S05 Req Weights'!K7</f>
        <v>0.23333333333333334</v>
      </c>
      <c r="E41" s="145">
        <f t="shared" si="1"/>
        <v>9</v>
      </c>
      <c r="F41" s="361" t="str">
        <f>'S05 Req Weights'!A7</f>
        <v>Short charging time</v>
      </c>
      <c r="G41" s="361"/>
      <c r="H41" s="358"/>
      <c r="I41" s="359"/>
      <c r="J41" s="359"/>
      <c r="K41" s="360"/>
      <c r="L41" s="358"/>
      <c r="M41" s="359"/>
      <c r="N41" s="359"/>
      <c r="O41" s="360"/>
      <c r="P41" s="358"/>
      <c r="Q41" s="359"/>
      <c r="R41" s="359"/>
      <c r="S41" s="360"/>
      <c r="T41" s="358"/>
      <c r="U41" s="359"/>
      <c r="V41" s="359"/>
      <c r="W41" s="360"/>
      <c r="X41" s="358" t="s">
        <v>657</v>
      </c>
      <c r="Y41" s="359"/>
      <c r="Z41" s="359"/>
      <c r="AA41" s="360"/>
      <c r="AB41" s="358"/>
      <c r="AC41" s="359"/>
      <c r="AD41" s="359"/>
      <c r="AE41" s="360"/>
      <c r="AF41" s="358"/>
      <c r="AG41" s="359"/>
      <c r="AH41" s="359"/>
      <c r="AI41" s="360"/>
      <c r="AJ41" s="358"/>
      <c r="AK41" s="359"/>
      <c r="AL41" s="359"/>
      <c r="AM41" s="360"/>
      <c r="AN41" s="358"/>
      <c r="AO41" s="359"/>
      <c r="AP41" s="359"/>
      <c r="AQ41" s="360"/>
      <c r="AR41" s="358"/>
      <c r="AS41" s="359"/>
      <c r="AT41" s="359"/>
      <c r="AU41" s="360"/>
      <c r="AV41" s="358"/>
      <c r="AW41" s="359"/>
      <c r="AX41" s="359"/>
      <c r="AY41" s="360"/>
      <c r="AZ41" s="358"/>
      <c r="BA41" s="359"/>
      <c r="BB41" s="359"/>
      <c r="BC41" s="360"/>
      <c r="BD41" s="358"/>
      <c r="BE41" s="359"/>
      <c r="BF41" s="359"/>
      <c r="BG41" s="360"/>
      <c r="BH41" s="358"/>
      <c r="BI41" s="359"/>
      <c r="BJ41" s="359"/>
      <c r="BK41" s="360"/>
      <c r="BL41" s="358"/>
      <c r="BM41" s="359"/>
      <c r="BN41" s="359"/>
      <c r="BO41" s="360"/>
      <c r="BP41" s="358"/>
      <c r="BQ41" s="359"/>
      <c r="BR41" s="359"/>
      <c r="BS41" s="360"/>
      <c r="BT41" s="95">
        <v>2</v>
      </c>
      <c r="BU41" s="95">
        <v>3</v>
      </c>
      <c r="BV41" s="95">
        <v>4</v>
      </c>
      <c r="BW41" s="95">
        <v>56</v>
      </c>
      <c r="BX41" s="95">
        <v>7</v>
      </c>
      <c r="BY41" s="368"/>
      <c r="CE41" s="93">
        <v>5</v>
      </c>
    </row>
    <row r="42" spans="2:83" ht="30" customHeight="1">
      <c r="B42" s="93">
        <v>6</v>
      </c>
      <c r="C42" s="94" t="str">
        <f t="shared" si="0"/>
        <v>||||||||||||||||||</v>
      </c>
      <c r="D42" s="109">
        <f>'S05 Req Weights'!K8</f>
        <v>0.18333333333333332</v>
      </c>
      <c r="E42" s="145">
        <f t="shared" si="1"/>
        <v>9</v>
      </c>
      <c r="F42" s="361" t="str">
        <f>'S05 Req Weights'!A8</f>
        <v>Easy-to-replace parts</v>
      </c>
      <c r="G42" s="361"/>
      <c r="H42" s="358" t="s">
        <v>659</v>
      </c>
      <c r="I42" s="359"/>
      <c r="J42" s="359"/>
      <c r="K42" s="360"/>
      <c r="L42" s="358"/>
      <c r="M42" s="359"/>
      <c r="N42" s="359"/>
      <c r="O42" s="360"/>
      <c r="P42" s="358" t="s">
        <v>659</v>
      </c>
      <c r="Q42" s="359"/>
      <c r="R42" s="359"/>
      <c r="S42" s="360"/>
      <c r="T42" s="358"/>
      <c r="U42" s="359"/>
      <c r="V42" s="359"/>
      <c r="W42" s="360"/>
      <c r="X42" s="358"/>
      <c r="Y42" s="359"/>
      <c r="Z42" s="359"/>
      <c r="AA42" s="360"/>
      <c r="AB42" s="358" t="s">
        <v>657</v>
      </c>
      <c r="AC42" s="359"/>
      <c r="AD42" s="359"/>
      <c r="AE42" s="360"/>
      <c r="AF42" s="358"/>
      <c r="AG42" s="359"/>
      <c r="AH42" s="359"/>
      <c r="AI42" s="360"/>
      <c r="AJ42" s="358"/>
      <c r="AK42" s="359"/>
      <c r="AL42" s="359"/>
      <c r="AM42" s="360"/>
      <c r="AN42" s="358"/>
      <c r="AO42" s="359"/>
      <c r="AP42" s="359"/>
      <c r="AQ42" s="360"/>
      <c r="AR42" s="358"/>
      <c r="AS42" s="359"/>
      <c r="AT42" s="359"/>
      <c r="AU42" s="360"/>
      <c r="AV42" s="358"/>
      <c r="AW42" s="359"/>
      <c r="AX42" s="359"/>
      <c r="AY42" s="360"/>
      <c r="AZ42" s="358"/>
      <c r="BA42" s="359"/>
      <c r="BB42" s="359"/>
      <c r="BC42" s="360"/>
      <c r="BD42" s="358"/>
      <c r="BE42" s="359"/>
      <c r="BF42" s="359"/>
      <c r="BG42" s="360"/>
      <c r="BH42" s="358"/>
      <c r="BI42" s="359"/>
      <c r="BJ42" s="359"/>
      <c r="BK42" s="360"/>
      <c r="BL42" s="358"/>
      <c r="BM42" s="359"/>
      <c r="BN42" s="359"/>
      <c r="BO42" s="360"/>
      <c r="BP42" s="358"/>
      <c r="BQ42" s="359"/>
      <c r="BR42" s="359"/>
      <c r="BS42" s="360"/>
      <c r="BT42" s="95"/>
      <c r="BU42" s="95"/>
      <c r="BV42" s="95"/>
      <c r="BW42" s="95"/>
      <c r="BX42" s="95"/>
      <c r="BY42" s="368"/>
      <c r="CE42" s="93">
        <v>6</v>
      </c>
    </row>
    <row r="43" spans="2:83" ht="30" customHeight="1">
      <c r="B43" s="93">
        <v>7</v>
      </c>
      <c r="C43" s="94"/>
      <c r="D43" s="145"/>
      <c r="E43" s="145" t="str">
        <f t="shared" si="1"/>
        <v/>
      </c>
      <c r="F43" s="361" t="str">
        <f>'S05 Req Weights'!A9</f>
        <v>Different sizes</v>
      </c>
      <c r="G43" s="361"/>
      <c r="H43" s="358"/>
      <c r="I43" s="359"/>
      <c r="J43" s="359"/>
      <c r="K43" s="360"/>
      <c r="L43" s="358"/>
      <c r="M43" s="359"/>
      <c r="N43" s="359"/>
      <c r="O43" s="360"/>
      <c r="P43" s="358"/>
      <c r="Q43" s="359"/>
      <c r="R43" s="359"/>
      <c r="S43" s="360"/>
      <c r="T43" s="358"/>
      <c r="U43" s="359"/>
      <c r="V43" s="359"/>
      <c r="W43" s="360"/>
      <c r="X43" s="358"/>
      <c r="Y43" s="359"/>
      <c r="Z43" s="359"/>
      <c r="AA43" s="360"/>
      <c r="AB43" s="358"/>
      <c r="AC43" s="359"/>
      <c r="AD43" s="359"/>
      <c r="AE43" s="360"/>
      <c r="AF43" s="358"/>
      <c r="AG43" s="359"/>
      <c r="AH43" s="359"/>
      <c r="AI43" s="360"/>
      <c r="AJ43" s="358"/>
      <c r="AK43" s="359"/>
      <c r="AL43" s="359"/>
      <c r="AM43" s="360"/>
      <c r="AN43" s="358"/>
      <c r="AO43" s="359"/>
      <c r="AP43" s="359"/>
      <c r="AQ43" s="360"/>
      <c r="AR43" s="358"/>
      <c r="AS43" s="359"/>
      <c r="AT43" s="359"/>
      <c r="AU43" s="360"/>
      <c r="AV43" s="358"/>
      <c r="AW43" s="359"/>
      <c r="AX43" s="359"/>
      <c r="AY43" s="360"/>
      <c r="AZ43" s="358"/>
      <c r="BA43" s="359"/>
      <c r="BB43" s="359"/>
      <c r="BC43" s="360"/>
      <c r="BD43" s="358"/>
      <c r="BE43" s="359"/>
      <c r="BF43" s="359"/>
      <c r="BG43" s="360"/>
      <c r="BH43" s="358"/>
      <c r="BI43" s="359"/>
      <c r="BJ43" s="359"/>
      <c r="BK43" s="360"/>
      <c r="BL43" s="358"/>
      <c r="BM43" s="359"/>
      <c r="BN43" s="359"/>
      <c r="BO43" s="360"/>
      <c r="BP43" s="358"/>
      <c r="BQ43" s="359"/>
      <c r="BR43" s="359"/>
      <c r="BS43" s="360"/>
      <c r="BT43" s="95"/>
      <c r="BU43" s="95"/>
      <c r="BV43" s="95"/>
      <c r="BW43" s="95"/>
      <c r="BX43" s="95"/>
      <c r="BY43" s="368"/>
      <c r="CE43" s="93">
        <v>7</v>
      </c>
    </row>
    <row r="44" spans="2:83" ht="30" customHeight="1">
      <c r="B44" s="93">
        <v>8</v>
      </c>
      <c r="C44" s="94"/>
      <c r="D44" s="145"/>
      <c r="E44" s="145" t="str">
        <f t="shared" si="1"/>
        <v/>
      </c>
      <c r="F44" s="361" t="str">
        <f>'S05 Req Weights'!A10</f>
        <v>Long-lasting battery</v>
      </c>
      <c r="G44" s="361"/>
      <c r="H44" s="358"/>
      <c r="I44" s="359"/>
      <c r="J44" s="359"/>
      <c r="K44" s="360"/>
      <c r="L44" s="358"/>
      <c r="M44" s="359"/>
      <c r="N44" s="359"/>
      <c r="O44" s="360"/>
      <c r="P44" s="358"/>
      <c r="Q44" s="359"/>
      <c r="R44" s="359"/>
      <c r="S44" s="360"/>
      <c r="T44" s="358"/>
      <c r="U44" s="359"/>
      <c r="V44" s="359"/>
      <c r="W44" s="360"/>
      <c r="X44" s="358"/>
      <c r="Y44" s="359"/>
      <c r="Z44" s="359"/>
      <c r="AA44" s="360"/>
      <c r="AB44" s="358"/>
      <c r="AC44" s="359"/>
      <c r="AD44" s="359"/>
      <c r="AE44" s="360"/>
      <c r="AF44" s="358"/>
      <c r="AG44" s="359"/>
      <c r="AH44" s="359"/>
      <c r="AI44" s="360"/>
      <c r="AJ44" s="358"/>
      <c r="AK44" s="359"/>
      <c r="AL44" s="359"/>
      <c r="AM44" s="360"/>
      <c r="AN44" s="358"/>
      <c r="AO44" s="359"/>
      <c r="AP44" s="359"/>
      <c r="AQ44" s="360"/>
      <c r="AR44" s="358"/>
      <c r="AS44" s="359"/>
      <c r="AT44" s="359"/>
      <c r="AU44" s="360"/>
      <c r="AV44" s="358"/>
      <c r="AW44" s="359"/>
      <c r="AX44" s="359"/>
      <c r="AY44" s="360"/>
      <c r="AZ44" s="358"/>
      <c r="BA44" s="359"/>
      <c r="BB44" s="359"/>
      <c r="BC44" s="360"/>
      <c r="BD44" s="358"/>
      <c r="BE44" s="359"/>
      <c r="BF44" s="359"/>
      <c r="BG44" s="360"/>
      <c r="BH44" s="358"/>
      <c r="BI44" s="359"/>
      <c r="BJ44" s="359"/>
      <c r="BK44" s="360"/>
      <c r="BL44" s="358"/>
      <c r="BM44" s="359"/>
      <c r="BN44" s="359"/>
      <c r="BO44" s="360"/>
      <c r="BP44" s="358"/>
      <c r="BQ44" s="359"/>
      <c r="BR44" s="359"/>
      <c r="BS44" s="360"/>
      <c r="BT44" s="95"/>
      <c r="BU44" s="95"/>
      <c r="BV44" s="95"/>
      <c r="BW44" s="95"/>
      <c r="BX44" s="95"/>
      <c r="BY44" s="368"/>
      <c r="CE44" s="93">
        <v>8</v>
      </c>
    </row>
    <row r="45" spans="2:83" ht="30" customHeight="1">
      <c r="B45" s="93">
        <v>9</v>
      </c>
      <c r="C45" s="94"/>
      <c r="D45" s="145"/>
      <c r="E45" s="145" t="str">
        <f t="shared" si="1"/>
        <v/>
      </c>
      <c r="F45" s="361" t="str">
        <f>'S05 Req Weights'!A11</f>
        <v>Display</v>
      </c>
      <c r="G45" s="361"/>
      <c r="H45" s="358"/>
      <c r="I45" s="359"/>
      <c r="J45" s="359"/>
      <c r="K45" s="360"/>
      <c r="L45" s="358"/>
      <c r="M45" s="359"/>
      <c r="N45" s="359"/>
      <c r="O45" s="360"/>
      <c r="P45" s="358"/>
      <c r="Q45" s="359"/>
      <c r="R45" s="359"/>
      <c r="S45" s="360"/>
      <c r="T45" s="358"/>
      <c r="U45" s="359"/>
      <c r="V45" s="359"/>
      <c r="W45" s="360"/>
      <c r="X45" s="358"/>
      <c r="Y45" s="359"/>
      <c r="Z45" s="359"/>
      <c r="AA45" s="360"/>
      <c r="AB45" s="358"/>
      <c r="AC45" s="359"/>
      <c r="AD45" s="359"/>
      <c r="AE45" s="360"/>
      <c r="AF45" s="358"/>
      <c r="AG45" s="359"/>
      <c r="AH45" s="359"/>
      <c r="AI45" s="360"/>
      <c r="AJ45" s="358"/>
      <c r="AK45" s="359"/>
      <c r="AL45" s="359"/>
      <c r="AM45" s="360"/>
      <c r="AN45" s="358"/>
      <c r="AO45" s="359"/>
      <c r="AP45" s="359"/>
      <c r="AQ45" s="360"/>
      <c r="AR45" s="358"/>
      <c r="AS45" s="359"/>
      <c r="AT45" s="359"/>
      <c r="AU45" s="360"/>
      <c r="AV45" s="358"/>
      <c r="AW45" s="359"/>
      <c r="AX45" s="359"/>
      <c r="AY45" s="360"/>
      <c r="AZ45" s="358"/>
      <c r="BA45" s="359"/>
      <c r="BB45" s="359"/>
      <c r="BC45" s="360"/>
      <c r="BD45" s="358"/>
      <c r="BE45" s="359"/>
      <c r="BF45" s="359"/>
      <c r="BG45" s="360"/>
      <c r="BH45" s="358"/>
      <c r="BI45" s="359"/>
      <c r="BJ45" s="359"/>
      <c r="BK45" s="360"/>
      <c r="BL45" s="358"/>
      <c r="BM45" s="359"/>
      <c r="BN45" s="359"/>
      <c r="BO45" s="360"/>
      <c r="BP45" s="358"/>
      <c r="BQ45" s="359"/>
      <c r="BR45" s="359"/>
      <c r="BS45" s="360"/>
      <c r="BT45" s="95"/>
      <c r="BU45" s="95"/>
      <c r="BV45" s="95"/>
      <c r="BW45" s="95"/>
      <c r="BX45" s="95"/>
      <c r="BY45" s="368"/>
      <c r="CE45" s="93">
        <v>9</v>
      </c>
    </row>
    <row r="46" spans="2:83" ht="30" customHeight="1">
      <c r="B46" s="93">
        <v>10</v>
      </c>
      <c r="C46" s="94"/>
      <c r="D46" s="145"/>
      <c r="E46" s="145" t="str">
        <f t="shared" si="1"/>
        <v/>
      </c>
      <c r="F46" s="361" t="str">
        <f>'S05 Req Weights'!A12</f>
        <v>Smartphone connectivity</v>
      </c>
      <c r="G46" s="361"/>
      <c r="H46" s="358"/>
      <c r="I46" s="359"/>
      <c r="J46" s="359"/>
      <c r="K46" s="360"/>
      <c r="L46" s="358"/>
      <c r="M46" s="359"/>
      <c r="N46" s="359"/>
      <c r="O46" s="360"/>
      <c r="P46" s="358"/>
      <c r="Q46" s="359"/>
      <c r="R46" s="359"/>
      <c r="S46" s="360"/>
      <c r="T46" s="358"/>
      <c r="U46" s="359"/>
      <c r="V46" s="359"/>
      <c r="W46" s="360"/>
      <c r="X46" s="358"/>
      <c r="Y46" s="359"/>
      <c r="Z46" s="359"/>
      <c r="AA46" s="360"/>
      <c r="AB46" s="358"/>
      <c r="AC46" s="359"/>
      <c r="AD46" s="359"/>
      <c r="AE46" s="360"/>
      <c r="AF46" s="358"/>
      <c r="AG46" s="359"/>
      <c r="AH46" s="359"/>
      <c r="AI46" s="360"/>
      <c r="AJ46" s="358"/>
      <c r="AK46" s="359"/>
      <c r="AL46" s="359"/>
      <c r="AM46" s="360"/>
      <c r="AN46" s="358"/>
      <c r="AO46" s="359"/>
      <c r="AP46" s="359"/>
      <c r="AQ46" s="360"/>
      <c r="AR46" s="358"/>
      <c r="AS46" s="359"/>
      <c r="AT46" s="359"/>
      <c r="AU46" s="360"/>
      <c r="AV46" s="358"/>
      <c r="AW46" s="359"/>
      <c r="AX46" s="359"/>
      <c r="AY46" s="360"/>
      <c r="AZ46" s="358"/>
      <c r="BA46" s="359"/>
      <c r="BB46" s="359"/>
      <c r="BC46" s="360"/>
      <c r="BD46" s="358"/>
      <c r="BE46" s="359"/>
      <c r="BF46" s="359"/>
      <c r="BG46" s="360"/>
      <c r="BH46" s="358"/>
      <c r="BI46" s="359"/>
      <c r="BJ46" s="359"/>
      <c r="BK46" s="360"/>
      <c r="BL46" s="358"/>
      <c r="BM46" s="359"/>
      <c r="BN46" s="359"/>
      <c r="BO46" s="360"/>
      <c r="BP46" s="358"/>
      <c r="BQ46" s="359"/>
      <c r="BR46" s="359"/>
      <c r="BS46" s="360"/>
      <c r="BT46" s="95"/>
      <c r="BU46" s="95"/>
      <c r="BV46" s="95"/>
      <c r="BW46" s="95"/>
      <c r="BX46" s="95"/>
      <c r="BY46" s="368"/>
      <c r="CE46" s="93">
        <v>10</v>
      </c>
    </row>
    <row r="47" spans="2:83" ht="30" customHeight="1">
      <c r="B47" s="93">
        <v>11</v>
      </c>
      <c r="C47" s="94"/>
      <c r="D47" s="145"/>
      <c r="E47" s="145" t="str">
        <f t="shared" si="1"/>
        <v/>
      </c>
      <c r="F47" s="361" t="str">
        <f>'S05 Req Weights'!A13</f>
        <v>GPS tracking</v>
      </c>
      <c r="G47" s="361"/>
      <c r="H47" s="358"/>
      <c r="I47" s="359"/>
      <c r="J47" s="359"/>
      <c r="K47" s="360"/>
      <c r="L47" s="358"/>
      <c r="M47" s="359"/>
      <c r="N47" s="359"/>
      <c r="O47" s="360"/>
      <c r="P47" s="358"/>
      <c r="Q47" s="359"/>
      <c r="R47" s="359"/>
      <c r="S47" s="360"/>
      <c r="T47" s="358"/>
      <c r="U47" s="359"/>
      <c r="V47" s="359"/>
      <c r="W47" s="360"/>
      <c r="X47" s="358"/>
      <c r="Y47" s="359"/>
      <c r="Z47" s="359"/>
      <c r="AA47" s="360"/>
      <c r="AB47" s="358"/>
      <c r="AC47" s="359"/>
      <c r="AD47" s="359"/>
      <c r="AE47" s="360"/>
      <c r="AF47" s="358"/>
      <c r="AG47" s="359"/>
      <c r="AH47" s="359"/>
      <c r="AI47" s="360"/>
      <c r="AJ47" s="358"/>
      <c r="AK47" s="359"/>
      <c r="AL47" s="359"/>
      <c r="AM47" s="360"/>
      <c r="AN47" s="358"/>
      <c r="AO47" s="359"/>
      <c r="AP47" s="359"/>
      <c r="AQ47" s="360"/>
      <c r="AR47" s="358"/>
      <c r="AS47" s="359"/>
      <c r="AT47" s="359"/>
      <c r="AU47" s="360"/>
      <c r="AV47" s="358"/>
      <c r="AW47" s="359"/>
      <c r="AX47" s="359"/>
      <c r="AY47" s="360"/>
      <c r="AZ47" s="358"/>
      <c r="BA47" s="359"/>
      <c r="BB47" s="359"/>
      <c r="BC47" s="360"/>
      <c r="BD47" s="358"/>
      <c r="BE47" s="359"/>
      <c r="BF47" s="359"/>
      <c r="BG47" s="360"/>
      <c r="BH47" s="358"/>
      <c r="BI47" s="359"/>
      <c r="BJ47" s="359"/>
      <c r="BK47" s="360"/>
      <c r="BL47" s="358"/>
      <c r="BM47" s="359"/>
      <c r="BN47" s="359"/>
      <c r="BO47" s="360"/>
      <c r="BP47" s="358"/>
      <c r="BQ47" s="359"/>
      <c r="BR47" s="359"/>
      <c r="BS47" s="360"/>
      <c r="BT47" s="95"/>
      <c r="BU47" s="95"/>
      <c r="BV47" s="95"/>
      <c r="BW47" s="95"/>
      <c r="BX47" s="95"/>
      <c r="BY47" s="368"/>
      <c r="CE47" s="93">
        <v>11</v>
      </c>
    </row>
    <row r="48" spans="2:83" ht="30" customHeight="1">
      <c r="B48" s="93">
        <v>12</v>
      </c>
      <c r="C48" s="94"/>
      <c r="D48" s="145"/>
      <c r="E48" s="145" t="str">
        <f t="shared" si="1"/>
        <v/>
      </c>
      <c r="F48" s="361" t="str">
        <f>'S05 Req Weights'!A14</f>
        <v>Basket</v>
      </c>
      <c r="G48" s="361"/>
      <c r="H48" s="358"/>
      <c r="I48" s="359"/>
      <c r="J48" s="359"/>
      <c r="K48" s="360"/>
      <c r="L48" s="358"/>
      <c r="M48" s="359"/>
      <c r="N48" s="359"/>
      <c r="O48" s="360"/>
      <c r="P48" s="358"/>
      <c r="Q48" s="359"/>
      <c r="R48" s="359"/>
      <c r="S48" s="360"/>
      <c r="T48" s="358"/>
      <c r="U48" s="359"/>
      <c r="V48" s="359"/>
      <c r="W48" s="360"/>
      <c r="X48" s="358"/>
      <c r="Y48" s="359"/>
      <c r="Z48" s="359"/>
      <c r="AA48" s="360"/>
      <c r="AB48" s="358"/>
      <c r="AC48" s="359"/>
      <c r="AD48" s="359"/>
      <c r="AE48" s="360"/>
      <c r="AF48" s="358"/>
      <c r="AG48" s="359"/>
      <c r="AH48" s="359"/>
      <c r="AI48" s="360"/>
      <c r="AJ48" s="358"/>
      <c r="AK48" s="359"/>
      <c r="AL48" s="359"/>
      <c r="AM48" s="360"/>
      <c r="AN48" s="358"/>
      <c r="AO48" s="359"/>
      <c r="AP48" s="359"/>
      <c r="AQ48" s="360"/>
      <c r="AR48" s="358"/>
      <c r="AS48" s="359"/>
      <c r="AT48" s="359"/>
      <c r="AU48" s="360"/>
      <c r="AV48" s="358"/>
      <c r="AW48" s="359"/>
      <c r="AX48" s="359"/>
      <c r="AY48" s="360"/>
      <c r="AZ48" s="358"/>
      <c r="BA48" s="359"/>
      <c r="BB48" s="359"/>
      <c r="BC48" s="360"/>
      <c r="BD48" s="358"/>
      <c r="BE48" s="359"/>
      <c r="BF48" s="359"/>
      <c r="BG48" s="360"/>
      <c r="BH48" s="358"/>
      <c r="BI48" s="359"/>
      <c r="BJ48" s="359"/>
      <c r="BK48" s="360"/>
      <c r="BL48" s="358"/>
      <c r="BM48" s="359"/>
      <c r="BN48" s="359"/>
      <c r="BO48" s="360"/>
      <c r="BP48" s="358"/>
      <c r="BQ48" s="359"/>
      <c r="BR48" s="359"/>
      <c r="BS48" s="360"/>
      <c r="BT48" s="95"/>
      <c r="BU48" s="95"/>
      <c r="BV48" s="95"/>
      <c r="BW48" s="95"/>
      <c r="BX48" s="95"/>
      <c r="BY48" s="368"/>
      <c r="CE48" s="93">
        <v>12</v>
      </c>
    </row>
    <row r="49" spans="2:83" ht="30" customHeight="1">
      <c r="B49" s="93">
        <v>13</v>
      </c>
      <c r="C49" s="94"/>
      <c r="D49" s="145"/>
      <c r="E49" s="145" t="str">
        <f t="shared" si="1"/>
        <v/>
      </c>
      <c r="F49" s="361" t="str">
        <f>'S05 Req Weights'!A15</f>
        <v>Gear system</v>
      </c>
      <c r="G49" s="361"/>
      <c r="H49" s="358"/>
      <c r="I49" s="359"/>
      <c r="J49" s="359"/>
      <c r="K49" s="360"/>
      <c r="L49" s="358"/>
      <c r="M49" s="359"/>
      <c r="N49" s="359"/>
      <c r="O49" s="360"/>
      <c r="P49" s="358"/>
      <c r="Q49" s="359"/>
      <c r="R49" s="359"/>
      <c r="S49" s="360"/>
      <c r="T49" s="358"/>
      <c r="U49" s="359"/>
      <c r="V49" s="359"/>
      <c r="W49" s="360"/>
      <c r="X49" s="358"/>
      <c r="Y49" s="359"/>
      <c r="Z49" s="359"/>
      <c r="AA49" s="360"/>
      <c r="AB49" s="358"/>
      <c r="AC49" s="359"/>
      <c r="AD49" s="359"/>
      <c r="AE49" s="360"/>
      <c r="AF49" s="358"/>
      <c r="AG49" s="359"/>
      <c r="AH49" s="359"/>
      <c r="AI49" s="360"/>
      <c r="AJ49" s="358"/>
      <c r="AK49" s="359"/>
      <c r="AL49" s="359"/>
      <c r="AM49" s="360"/>
      <c r="AN49" s="358"/>
      <c r="AO49" s="359"/>
      <c r="AP49" s="359"/>
      <c r="AQ49" s="360"/>
      <c r="AR49" s="358"/>
      <c r="AS49" s="359"/>
      <c r="AT49" s="359"/>
      <c r="AU49" s="360"/>
      <c r="AV49" s="358"/>
      <c r="AW49" s="359"/>
      <c r="AX49" s="359"/>
      <c r="AY49" s="360"/>
      <c r="AZ49" s="358"/>
      <c r="BA49" s="359"/>
      <c r="BB49" s="359"/>
      <c r="BC49" s="360"/>
      <c r="BD49" s="358"/>
      <c r="BE49" s="359"/>
      <c r="BF49" s="359"/>
      <c r="BG49" s="360"/>
      <c r="BH49" s="358"/>
      <c r="BI49" s="359"/>
      <c r="BJ49" s="359"/>
      <c r="BK49" s="360"/>
      <c r="BL49" s="358"/>
      <c r="BM49" s="359"/>
      <c r="BN49" s="359"/>
      <c r="BO49" s="360"/>
      <c r="BP49" s="358"/>
      <c r="BQ49" s="359"/>
      <c r="BR49" s="359"/>
      <c r="BS49" s="360"/>
      <c r="BT49" s="95"/>
      <c r="BU49" s="95"/>
      <c r="BV49" s="95"/>
      <c r="BW49" s="95"/>
      <c r="BX49" s="95"/>
      <c r="BY49" s="368"/>
      <c r="CE49" s="93">
        <v>13</v>
      </c>
    </row>
    <row r="50" spans="2:83" ht="30" customHeight="1">
      <c r="B50" s="93">
        <v>14</v>
      </c>
      <c r="C50" s="94"/>
      <c r="D50" s="145"/>
      <c r="E50" s="145" t="str">
        <f t="shared" si="1"/>
        <v/>
      </c>
      <c r="F50" s="361" t="str">
        <f>'S05 Req Weights'!A16</f>
        <v>Break system</v>
      </c>
      <c r="G50" s="361"/>
      <c r="H50" s="358"/>
      <c r="I50" s="359"/>
      <c r="J50" s="359"/>
      <c r="K50" s="360"/>
      <c r="L50" s="358"/>
      <c r="M50" s="359"/>
      <c r="N50" s="359"/>
      <c r="O50" s="360"/>
      <c r="P50" s="358"/>
      <c r="Q50" s="359"/>
      <c r="R50" s="359"/>
      <c r="S50" s="360"/>
      <c r="T50" s="358"/>
      <c r="U50" s="359"/>
      <c r="V50" s="359"/>
      <c r="W50" s="360"/>
      <c r="X50" s="358"/>
      <c r="Y50" s="359"/>
      <c r="Z50" s="359"/>
      <c r="AA50" s="360"/>
      <c r="AB50" s="358"/>
      <c r="AC50" s="359"/>
      <c r="AD50" s="359"/>
      <c r="AE50" s="360"/>
      <c r="AF50" s="358"/>
      <c r="AG50" s="359"/>
      <c r="AH50" s="359"/>
      <c r="AI50" s="360"/>
      <c r="AJ50" s="358"/>
      <c r="AK50" s="359"/>
      <c r="AL50" s="359"/>
      <c r="AM50" s="360"/>
      <c r="AN50" s="358"/>
      <c r="AO50" s="359"/>
      <c r="AP50" s="359"/>
      <c r="AQ50" s="360"/>
      <c r="AR50" s="358"/>
      <c r="AS50" s="359"/>
      <c r="AT50" s="359"/>
      <c r="AU50" s="360"/>
      <c r="AV50" s="358"/>
      <c r="AW50" s="359"/>
      <c r="AX50" s="359"/>
      <c r="AY50" s="360"/>
      <c r="AZ50" s="358"/>
      <c r="BA50" s="359"/>
      <c r="BB50" s="359"/>
      <c r="BC50" s="360"/>
      <c r="BD50" s="358"/>
      <c r="BE50" s="359"/>
      <c r="BF50" s="359"/>
      <c r="BG50" s="360"/>
      <c r="BH50" s="358"/>
      <c r="BI50" s="359"/>
      <c r="BJ50" s="359"/>
      <c r="BK50" s="360"/>
      <c r="BL50" s="358"/>
      <c r="BM50" s="359"/>
      <c r="BN50" s="359"/>
      <c r="BO50" s="360"/>
      <c r="BP50" s="358"/>
      <c r="BQ50" s="359"/>
      <c r="BR50" s="359"/>
      <c r="BS50" s="360"/>
      <c r="BT50" s="95"/>
      <c r="BU50" s="95"/>
      <c r="BV50" s="95"/>
      <c r="BW50" s="95"/>
      <c r="BX50" s="95"/>
      <c r="BY50" s="368"/>
      <c r="CE50" s="93">
        <v>14</v>
      </c>
    </row>
    <row r="51" spans="2:83" ht="30" customHeight="1">
      <c r="B51" s="93">
        <v>15</v>
      </c>
      <c r="C51" s="94"/>
      <c r="D51" s="145"/>
      <c r="E51" s="145" t="str">
        <f t="shared" si="1"/>
        <v/>
      </c>
      <c r="F51" s="361" t="str">
        <f>'S05 Req Weights'!A17</f>
        <v>Different colors</v>
      </c>
      <c r="G51" s="361"/>
      <c r="H51" s="358"/>
      <c r="I51" s="359"/>
      <c r="J51" s="359"/>
      <c r="K51" s="360"/>
      <c r="L51" s="358"/>
      <c r="M51" s="359"/>
      <c r="N51" s="359"/>
      <c r="O51" s="360"/>
      <c r="P51" s="358"/>
      <c r="Q51" s="359"/>
      <c r="R51" s="359"/>
      <c r="S51" s="360"/>
      <c r="T51" s="358"/>
      <c r="U51" s="359"/>
      <c r="V51" s="359"/>
      <c r="W51" s="360"/>
      <c r="X51" s="358"/>
      <c r="Y51" s="359"/>
      <c r="Z51" s="359"/>
      <c r="AA51" s="360"/>
      <c r="AB51" s="358"/>
      <c r="AC51" s="359"/>
      <c r="AD51" s="359"/>
      <c r="AE51" s="360"/>
      <c r="AF51" s="358"/>
      <c r="AG51" s="359"/>
      <c r="AH51" s="359"/>
      <c r="AI51" s="360"/>
      <c r="AJ51" s="358"/>
      <c r="AK51" s="359"/>
      <c r="AL51" s="359"/>
      <c r="AM51" s="360"/>
      <c r="AN51" s="358"/>
      <c r="AO51" s="359"/>
      <c r="AP51" s="359"/>
      <c r="AQ51" s="360"/>
      <c r="AR51" s="358"/>
      <c r="AS51" s="359"/>
      <c r="AT51" s="359"/>
      <c r="AU51" s="360"/>
      <c r="AV51" s="358"/>
      <c r="AW51" s="359"/>
      <c r="AX51" s="359"/>
      <c r="AY51" s="360"/>
      <c r="AZ51" s="358"/>
      <c r="BA51" s="359"/>
      <c r="BB51" s="359"/>
      <c r="BC51" s="360"/>
      <c r="BD51" s="358"/>
      <c r="BE51" s="359"/>
      <c r="BF51" s="359"/>
      <c r="BG51" s="360"/>
      <c r="BH51" s="358"/>
      <c r="BI51" s="359"/>
      <c r="BJ51" s="359"/>
      <c r="BK51" s="360"/>
      <c r="BL51" s="358"/>
      <c r="BM51" s="359"/>
      <c r="BN51" s="359"/>
      <c r="BO51" s="360"/>
      <c r="BP51" s="358"/>
      <c r="BQ51" s="359"/>
      <c r="BR51" s="359"/>
      <c r="BS51" s="360"/>
      <c r="BT51" s="95"/>
      <c r="BU51" s="95"/>
      <c r="BV51" s="95"/>
      <c r="BW51" s="95"/>
      <c r="BX51" s="95"/>
      <c r="BY51" s="368"/>
      <c r="CE51" s="93">
        <v>15</v>
      </c>
    </row>
    <row r="52" spans="2:83" ht="30" customHeight="1">
      <c r="B52" s="93">
        <v>16</v>
      </c>
      <c r="C52" s="94"/>
      <c r="D52" s="145"/>
      <c r="E52" s="145" t="str">
        <f t="shared" si="1"/>
        <v/>
      </c>
      <c r="F52" s="361" t="str">
        <f>'S05 Req Weights'!A18</f>
        <v>Custom design</v>
      </c>
      <c r="G52" s="361"/>
      <c r="H52" s="358"/>
      <c r="I52" s="359"/>
      <c r="J52" s="359"/>
      <c r="K52" s="360"/>
      <c r="L52" s="358"/>
      <c r="M52" s="359"/>
      <c r="N52" s="359"/>
      <c r="O52" s="360"/>
      <c r="P52" s="358"/>
      <c r="Q52" s="359"/>
      <c r="R52" s="359"/>
      <c r="S52" s="360"/>
      <c r="T52" s="358"/>
      <c r="U52" s="359"/>
      <c r="V52" s="359"/>
      <c r="W52" s="360"/>
      <c r="X52" s="358"/>
      <c r="Y52" s="359"/>
      <c r="Z52" s="359"/>
      <c r="AA52" s="360"/>
      <c r="AB52" s="358"/>
      <c r="AC52" s="359"/>
      <c r="AD52" s="359"/>
      <c r="AE52" s="360"/>
      <c r="AF52" s="358"/>
      <c r="AG52" s="359"/>
      <c r="AH52" s="359"/>
      <c r="AI52" s="360"/>
      <c r="AJ52" s="358"/>
      <c r="AK52" s="359"/>
      <c r="AL52" s="359"/>
      <c r="AM52" s="360"/>
      <c r="AN52" s="358"/>
      <c r="AO52" s="359"/>
      <c r="AP52" s="359"/>
      <c r="AQ52" s="360"/>
      <c r="AR52" s="358"/>
      <c r="AS52" s="359"/>
      <c r="AT52" s="359"/>
      <c r="AU52" s="360"/>
      <c r="AV52" s="358"/>
      <c r="AW52" s="359"/>
      <c r="AX52" s="359"/>
      <c r="AY52" s="360"/>
      <c r="AZ52" s="358"/>
      <c r="BA52" s="359"/>
      <c r="BB52" s="359"/>
      <c r="BC52" s="360"/>
      <c r="BD52" s="358"/>
      <c r="BE52" s="359"/>
      <c r="BF52" s="359"/>
      <c r="BG52" s="360"/>
      <c r="BH52" s="358"/>
      <c r="BI52" s="359"/>
      <c r="BJ52" s="359"/>
      <c r="BK52" s="360"/>
      <c r="BL52" s="358"/>
      <c r="BM52" s="359"/>
      <c r="BN52" s="359"/>
      <c r="BO52" s="360"/>
      <c r="BP52" s="358"/>
      <c r="BQ52" s="359"/>
      <c r="BR52" s="359"/>
      <c r="BS52" s="360"/>
      <c r="BT52" s="95"/>
      <c r="BU52" s="95"/>
      <c r="BV52" s="95"/>
      <c r="BW52" s="95"/>
      <c r="BX52" s="95"/>
      <c r="BY52" s="368"/>
      <c r="CE52" s="93">
        <v>16</v>
      </c>
    </row>
    <row r="53" spans="2:83" ht="129.75" customHeight="1">
      <c r="F53" s="345" t="s">
        <v>687</v>
      </c>
      <c r="G53" s="345"/>
      <c r="H53" s="354" t="s">
        <v>803</v>
      </c>
      <c r="I53" s="355"/>
      <c r="J53" s="355"/>
      <c r="K53" s="356"/>
      <c r="L53" s="354" t="s">
        <v>804</v>
      </c>
      <c r="M53" s="355"/>
      <c r="N53" s="355"/>
      <c r="O53" s="356"/>
      <c r="P53" s="354" t="s">
        <v>805</v>
      </c>
      <c r="Q53" s="355"/>
      <c r="R53" s="355"/>
      <c r="S53" s="356"/>
      <c r="T53" s="354" t="s">
        <v>806</v>
      </c>
      <c r="U53" s="355"/>
      <c r="V53" s="355"/>
      <c r="W53" s="356"/>
      <c r="X53" s="354" t="s">
        <v>807</v>
      </c>
      <c r="Y53" s="355"/>
      <c r="Z53" s="355"/>
      <c r="AA53" s="356"/>
      <c r="AB53" s="357">
        <v>0.6</v>
      </c>
      <c r="AC53" s="355"/>
      <c r="AD53" s="355"/>
      <c r="AE53" s="356"/>
      <c r="AF53" s="354"/>
      <c r="AG53" s="355"/>
      <c r="AH53" s="355"/>
      <c r="AI53" s="356"/>
      <c r="AJ53" s="354"/>
      <c r="AK53" s="355"/>
      <c r="AL53" s="355"/>
      <c r="AM53" s="356"/>
      <c r="AN53" s="354"/>
      <c r="AO53" s="355"/>
      <c r="AP53" s="355"/>
      <c r="AQ53" s="356"/>
      <c r="AR53" s="354"/>
      <c r="AS53" s="355"/>
      <c r="AT53" s="355"/>
      <c r="AU53" s="356"/>
      <c r="AV53" s="354"/>
      <c r="AW53" s="355"/>
      <c r="AX53" s="355"/>
      <c r="AY53" s="356"/>
      <c r="AZ53" s="354"/>
      <c r="BA53" s="355"/>
      <c r="BB53" s="355"/>
      <c r="BC53" s="356"/>
      <c r="BD53" s="354"/>
      <c r="BE53" s="355"/>
      <c r="BF53" s="355"/>
      <c r="BG53" s="356"/>
      <c r="BH53" s="354"/>
      <c r="BI53" s="355"/>
      <c r="BJ53" s="355"/>
      <c r="BK53" s="356"/>
      <c r="BL53" s="354"/>
      <c r="BM53" s="355"/>
      <c r="BN53" s="355"/>
      <c r="BO53" s="356"/>
      <c r="BP53" s="354"/>
      <c r="BQ53" s="355"/>
      <c r="BR53" s="355"/>
      <c r="BS53" s="356"/>
    </row>
    <row r="54" spans="2:83" s="96" customFormat="1" ht="18.75" customHeight="1">
      <c r="F54" s="350" t="s">
        <v>688</v>
      </c>
      <c r="G54" s="350"/>
      <c r="H54" s="351">
        <f>IF(COUNTIF(H37:H52,"●"),9,IF(COUNTIF(H37:H52,"○"),3,IF(COUNTIF(H37:H52,"▽"),1,"")))</f>
        <v>9</v>
      </c>
      <c r="I54" s="352"/>
      <c r="J54" s="352"/>
      <c r="K54" s="353"/>
      <c r="L54" s="351">
        <f>IF(COUNTIF(L37:L52,"●"),9,IF(COUNTIF(L37:L52,"○"),3,IF(COUNTIF(L37:L52,"▽"),1,"")))</f>
        <v>9</v>
      </c>
      <c r="M54" s="352"/>
      <c r="N54" s="352"/>
      <c r="O54" s="353"/>
      <c r="P54" s="351">
        <f>IF(COUNTIF(P37:P52,"●"),9,IF(COUNTIF(P37:P52,"○"),3,IF(COUNTIF(P37:P52,"▽"),1,"")))</f>
        <v>3</v>
      </c>
      <c r="Q54" s="352"/>
      <c r="R54" s="352"/>
      <c r="S54" s="353"/>
      <c r="T54" s="351">
        <f>IF(COUNTIF(T37:T52,"●"),9,IF(COUNTIF(T37:T52,"○"),3,IF(COUNTIF(T37:T52,"▽"),1,"")))</f>
        <v>9</v>
      </c>
      <c r="U54" s="352"/>
      <c r="V54" s="352"/>
      <c r="W54" s="353"/>
      <c r="X54" s="351">
        <f>IF(COUNTIF(X37:X52,"●"),9,IF(COUNTIF(X37:X52,"○"),3,IF(COUNTIF(X37:X52,"▽"),1,"")))</f>
        <v>9</v>
      </c>
      <c r="Y54" s="352"/>
      <c r="Z54" s="352"/>
      <c r="AA54" s="353"/>
      <c r="AB54" s="351">
        <f>IF(COUNTIF(AB37:AB52,"●"),9,IF(COUNTIF(AB37:AB52,"○"),3,IF(COUNTIF(AB37:AB52,"▽"),1,"")))</f>
        <v>9</v>
      </c>
      <c r="AC54" s="352"/>
      <c r="AD54" s="352"/>
      <c r="AE54" s="353"/>
      <c r="AF54" s="351" t="str">
        <f>IF(COUNTIF(AF37:AF52,"●"),9,IF(COUNTIF(AF37:AF52,"○"),3,IF(COUNTIF(AF37:AF52,"▽"),1,"")))</f>
        <v/>
      </c>
      <c r="AG54" s="352"/>
      <c r="AH54" s="352"/>
      <c r="AI54" s="353"/>
      <c r="AJ54" s="351" t="str">
        <f>IF(COUNTIF(AJ37:AJ52,"●"),9,IF(COUNTIF(AJ37:AJ52,"○"),3,IF(COUNTIF(AJ37:AJ52,"▽"),1,"")))</f>
        <v/>
      </c>
      <c r="AK54" s="352"/>
      <c r="AL54" s="352"/>
      <c r="AM54" s="353"/>
      <c r="AN54" s="351" t="str">
        <f>IF(COUNTIF(AN37:AN52,"●"),9,IF(COUNTIF(AN37:AN52,"○"),3,IF(COUNTIF(AN37:AN52,"▽"),1,"")))</f>
        <v/>
      </c>
      <c r="AO54" s="352"/>
      <c r="AP54" s="352"/>
      <c r="AQ54" s="353"/>
      <c r="AR54" s="351" t="str">
        <f>IF(COUNTIF(AR37:AR52,"●"),9,IF(COUNTIF(AR37:AR52,"○"),3,IF(COUNTIF(AR37:AR52,"▽"),1,"")))</f>
        <v/>
      </c>
      <c r="AS54" s="352"/>
      <c r="AT54" s="352"/>
      <c r="AU54" s="353"/>
      <c r="AV54" s="351" t="str">
        <f>IF(COUNTIF(AV37:AV52,"●"),9,IF(COUNTIF(AV37:AV52,"○"),3,IF(COUNTIF(AV37:AV52,"▽"),1,"")))</f>
        <v/>
      </c>
      <c r="AW54" s="352"/>
      <c r="AX54" s="352"/>
      <c r="AY54" s="353"/>
      <c r="AZ54" s="351" t="str">
        <f>IF(COUNTIF(AZ37:AZ52,"●"),9,IF(COUNTIF(AZ37:AZ52,"○"),3,IF(COUNTIF(AZ37:AZ52,"▽"),1,"")))</f>
        <v/>
      </c>
      <c r="BA54" s="352"/>
      <c r="BB54" s="352"/>
      <c r="BC54" s="353"/>
      <c r="BD54" s="351" t="str">
        <f>IF(COUNTIF(BD37:BD52,"●"),9,IF(COUNTIF(BD37:BD52,"○"),3,IF(COUNTIF(BD37:BD52,"▽"),1,"")))</f>
        <v/>
      </c>
      <c r="BE54" s="352"/>
      <c r="BF54" s="352"/>
      <c r="BG54" s="353"/>
      <c r="BH54" s="351" t="str">
        <f>IF(COUNTIF(BH37:BH52,"●"),9,IF(COUNTIF(BH37:BH52,"○"),3,IF(COUNTIF(BH37:BH52,"▽"),1,"")))</f>
        <v/>
      </c>
      <c r="BI54" s="352"/>
      <c r="BJ54" s="352"/>
      <c r="BK54" s="353"/>
      <c r="BL54" s="351" t="str">
        <f>IF(COUNTIF(BL37:BL52,"●"),9,IF(COUNTIF(BL37:BL52,"○"),3,IF(COUNTIF(BL37:BL52,"▽"),1,"")))</f>
        <v/>
      </c>
      <c r="BM54" s="352"/>
      <c r="BN54" s="352"/>
      <c r="BO54" s="353"/>
      <c r="BP54" s="351" t="str">
        <f>IF(COUNTIF(BP37:BP52,"●"),9,IF(COUNTIF(BP37:BP52,"○"),3,IF(COUNTIF(BP37:BP52,"▽"),1,"")))</f>
        <v/>
      </c>
      <c r="BQ54" s="352"/>
      <c r="BR54" s="352"/>
      <c r="BS54" s="353"/>
    </row>
    <row r="55" spans="2:83" s="96" customFormat="1" ht="18.75" customHeight="1">
      <c r="F55" s="350" t="s">
        <v>689</v>
      </c>
      <c r="G55" s="350"/>
      <c r="H55" s="346">
        <f ca="1">SUM(SUMIF(H37:K52, $D$16, $D37:$D52)*9, SUMIF(H37:K52, $D$18, $D37:$D52)*3, SUMIF(H37:K52, $D$20, $D37:$D52)*1)*100</f>
        <v>324.99999999999994</v>
      </c>
      <c r="I55" s="347"/>
      <c r="J55" s="347"/>
      <c r="K55" s="348"/>
      <c r="L55" s="346">
        <f t="shared" ref="L55" ca="1" si="2">SUM(SUMIF(L37:O52, $D$16, $D37:$D52)*9, SUMIF(L37:O52, $D$18, $D37:$D52)*3, SUMIF(L37:O52, $D$20, $D37:$D52)*1)*100</f>
        <v>324.99999999999994</v>
      </c>
      <c r="M55" s="347"/>
      <c r="N55" s="347"/>
      <c r="O55" s="348"/>
      <c r="P55" s="346">
        <f t="shared" ref="P55" ca="1" si="3">SUM(SUMIF(P37:S52, $D$16, $D37:$D52)*9, SUMIF(P37:S52, $D$18, $D37:$D52)*3, SUMIF(P37:S52, $D$20, $D37:$D52)*1)*100</f>
        <v>109.99999999999999</v>
      </c>
      <c r="Q55" s="347"/>
      <c r="R55" s="347"/>
      <c r="S55" s="348"/>
      <c r="T55" s="346">
        <f t="shared" ref="T55" ca="1" si="4">SUM(SUMIF(T37:W52, $D$16, $D37:$D52)*9, SUMIF(T37:W52, $D$18, $D37:$D52)*3, SUMIF(T37:W52, $D$20, $D37:$D52)*1)*100</f>
        <v>101.66666666666666</v>
      </c>
      <c r="U55" s="347"/>
      <c r="V55" s="347"/>
      <c r="W55" s="348"/>
      <c r="X55" s="346">
        <f t="shared" ref="X55" ca="1" si="5">SUM(SUMIF(X37:AA52, $D$16, $D37:$D52)*9, SUMIF(X37:AA52, $D$18, $D37:$D52)*3, SUMIF(X37:AA52, $D$20, $D37:$D52)*1)*100</f>
        <v>210</v>
      </c>
      <c r="Y55" s="347"/>
      <c r="Z55" s="347"/>
      <c r="AA55" s="348"/>
      <c r="AB55" s="346">
        <f t="shared" ref="AB55" ca="1" si="6">SUM(SUMIF(AB37:AE52, $D$16, $D37:$D52)*9, SUMIF(AB37:AE52, $D$18, $D37:$D52)*3, SUMIF(AB37:AE52, $D$20, $D37:$D52)*1)*100</f>
        <v>273.33333333333331</v>
      </c>
      <c r="AC55" s="347"/>
      <c r="AD55" s="347"/>
      <c r="AE55" s="348"/>
      <c r="AF55" s="346">
        <f t="shared" ref="AF55" ca="1" si="7">SUM(SUMIF(AF37:AI52, $D$16, $D37:$D52)*9, SUMIF(AF37:AI52, $D$18, $D37:$D52)*3, SUMIF(AF37:AI52, $D$20, $D37:$D52)*1)*100</f>
        <v>0</v>
      </c>
      <c r="AG55" s="347"/>
      <c r="AH55" s="347"/>
      <c r="AI55" s="348"/>
      <c r="AJ55" s="346">
        <f t="shared" ref="AJ55" ca="1" si="8">SUM(SUMIF(AJ37:AM52, $D$16, $D37:$D52)*9, SUMIF(AJ37:AM52, $D$18, $D37:$D52)*3, SUMIF(AJ37:AM52, $D$20, $D37:$D52)*1)*100</f>
        <v>0</v>
      </c>
      <c r="AK55" s="347"/>
      <c r="AL55" s="347"/>
      <c r="AM55" s="348"/>
      <c r="AN55" s="346">
        <f t="shared" ref="AN55" ca="1" si="9">SUM(SUMIF(AN37:AQ52, $D$16, $D37:$D52)*9, SUMIF(AN37:AQ52, $D$18, $D37:$D52)*3, SUMIF(AN37:AQ52, $D$20, $D37:$D52)*1)*100</f>
        <v>0</v>
      </c>
      <c r="AO55" s="347"/>
      <c r="AP55" s="347"/>
      <c r="AQ55" s="348"/>
      <c r="AR55" s="346">
        <f t="shared" ref="AR55" ca="1" si="10">SUM(SUMIF(AR37:AU52, $D$16, $D37:$D52)*9, SUMIF(AR37:AU52, $D$18, $D37:$D52)*3, SUMIF(AR37:AU52, $D$20, $D37:$D52)*1)*100</f>
        <v>0</v>
      </c>
      <c r="AS55" s="347"/>
      <c r="AT55" s="347"/>
      <c r="AU55" s="348"/>
      <c r="AV55" s="346">
        <f t="shared" ref="AV55" ca="1" si="11">SUM(SUMIF(AV37:AY52, $D$16, $D37:$D52)*9, SUMIF(AV37:AY52, $D$18, $D37:$D52)*3, SUMIF(AV37:AY52, $D$20, $D37:$D52)*1)*100</f>
        <v>0</v>
      </c>
      <c r="AW55" s="347"/>
      <c r="AX55" s="347"/>
      <c r="AY55" s="348"/>
      <c r="AZ55" s="346">
        <f t="shared" ref="AZ55" ca="1" si="12">SUM(SUMIF(AZ37:BC52, $D$16, $D37:$D52)*9, SUMIF(AZ37:BC52, $D$18, $D37:$D52)*3, SUMIF(AZ37:BC52, $D$20, $D37:$D52)*1)*100</f>
        <v>0</v>
      </c>
      <c r="BA55" s="347"/>
      <c r="BB55" s="347"/>
      <c r="BC55" s="348"/>
      <c r="BD55" s="346">
        <f t="shared" ref="BD55" ca="1" si="13">SUM(SUMIF(BD37:BG52, $D$16, $D37:$D52)*9, SUMIF(BD37:BG52, $D$18, $D37:$D52)*3, SUMIF(BD37:BG52, $D$20, $D37:$D52)*1)*100</f>
        <v>0</v>
      </c>
      <c r="BE55" s="347"/>
      <c r="BF55" s="347"/>
      <c r="BG55" s="348"/>
      <c r="BH55" s="346">
        <f t="shared" ref="BH55" ca="1" si="14">SUM(SUMIF(BH37:BK52, $D$16, $D37:$D52)*9, SUMIF(BH37:BK52, $D$18, $D37:$D52)*3, SUMIF(BH37:BK52, $D$20, $D37:$D52)*1)*100</f>
        <v>0</v>
      </c>
      <c r="BI55" s="347"/>
      <c r="BJ55" s="347"/>
      <c r="BK55" s="348"/>
      <c r="BL55" s="346">
        <f t="shared" ref="BL55" ca="1" si="15">SUM(SUMIF(BL37:BO52, $D$16, $D37:$D52)*9, SUMIF(BL37:BO52, $D$18, $D37:$D52)*3, SUMIF(BL37:BO52, $D$20, $D37:$D52)*1)*100</f>
        <v>0</v>
      </c>
      <c r="BM55" s="347"/>
      <c r="BN55" s="347"/>
      <c r="BO55" s="348"/>
      <c r="BP55" s="346">
        <f t="shared" ref="BP55" ca="1" si="16">SUM(SUMIF(BP37:BS52, $D$16, $D37:$D52)*9, SUMIF(BP37:BS52, $D$18, $D37:$D52)*3, SUMIF(BP37:BS52, $D$20, $D37:$D52)*1)*100</f>
        <v>0</v>
      </c>
      <c r="BQ55" s="347"/>
      <c r="BR55" s="347"/>
      <c r="BS55" s="348"/>
    </row>
    <row r="56" spans="2:83" s="97" customFormat="1" ht="18.75" customHeight="1">
      <c r="F56" s="349" t="s">
        <v>690</v>
      </c>
      <c r="G56" s="349"/>
      <c r="H56" s="339">
        <f ca="1">H55/SUM($H$55:$BS$55)</f>
        <v>0.24163568773234201</v>
      </c>
      <c r="I56" s="340"/>
      <c r="J56" s="340"/>
      <c r="K56" s="341"/>
      <c r="L56" s="339">
        <f t="shared" ref="L56" ca="1" si="17">L55/SUM($H$55:$BS$55)</f>
        <v>0.24163568773234201</v>
      </c>
      <c r="M56" s="340"/>
      <c r="N56" s="340"/>
      <c r="O56" s="341"/>
      <c r="P56" s="339">
        <f t="shared" ref="P56" ca="1" si="18">P55/SUM($H$55:$BS$55)</f>
        <v>8.1784386617100371E-2</v>
      </c>
      <c r="Q56" s="340"/>
      <c r="R56" s="340"/>
      <c r="S56" s="341"/>
      <c r="T56" s="339">
        <f t="shared" ref="T56" ca="1" si="19">T55/SUM($H$55:$BS$55)</f>
        <v>7.5588599752168528E-2</v>
      </c>
      <c r="U56" s="340"/>
      <c r="V56" s="340"/>
      <c r="W56" s="341"/>
      <c r="X56" s="339">
        <f t="shared" ref="X56" ca="1" si="20">X55/SUM($H$55:$BS$55)</f>
        <v>0.15613382899628256</v>
      </c>
      <c r="Y56" s="340"/>
      <c r="Z56" s="340"/>
      <c r="AA56" s="341"/>
      <c r="AB56" s="339">
        <f t="shared" ref="AB56" ca="1" si="21">AB55/SUM($H$55:$BS$55)</f>
        <v>0.20322180916976457</v>
      </c>
      <c r="AC56" s="340"/>
      <c r="AD56" s="340"/>
      <c r="AE56" s="341"/>
      <c r="AF56" s="339">
        <f t="shared" ref="AF56" ca="1" si="22">AF55/SUM($H$55:$BS$55)</f>
        <v>0</v>
      </c>
      <c r="AG56" s="340"/>
      <c r="AH56" s="340"/>
      <c r="AI56" s="341"/>
      <c r="AJ56" s="339">
        <f t="shared" ref="AJ56" ca="1" si="23">AJ55/SUM($H$55:$BS$55)</f>
        <v>0</v>
      </c>
      <c r="AK56" s="340"/>
      <c r="AL56" s="340"/>
      <c r="AM56" s="341"/>
      <c r="AN56" s="339">
        <f t="shared" ref="AN56" ca="1" si="24">AN55/SUM($H$55:$BS$55)</f>
        <v>0</v>
      </c>
      <c r="AO56" s="340"/>
      <c r="AP56" s="340"/>
      <c r="AQ56" s="341"/>
      <c r="AR56" s="339">
        <f t="shared" ref="AR56" ca="1" si="25">AR55/SUM($H$55:$BS$55)</f>
        <v>0</v>
      </c>
      <c r="AS56" s="340"/>
      <c r="AT56" s="340"/>
      <c r="AU56" s="341"/>
      <c r="AV56" s="339">
        <f t="shared" ref="AV56" ca="1" si="26">AV55/SUM($H$55:$BS$55)</f>
        <v>0</v>
      </c>
      <c r="AW56" s="340"/>
      <c r="AX56" s="340"/>
      <c r="AY56" s="341"/>
      <c r="AZ56" s="339">
        <f t="shared" ref="AZ56" ca="1" si="27">AZ55/SUM($H$55:$BS$55)</f>
        <v>0</v>
      </c>
      <c r="BA56" s="340"/>
      <c r="BB56" s="340"/>
      <c r="BC56" s="341"/>
      <c r="BD56" s="339">
        <f t="shared" ref="BD56" ca="1" si="28">BD55/SUM($H$55:$BS$55)</f>
        <v>0</v>
      </c>
      <c r="BE56" s="340"/>
      <c r="BF56" s="340"/>
      <c r="BG56" s="341"/>
      <c r="BH56" s="339">
        <f t="shared" ref="BH56" ca="1" si="29">BH55/SUM($H$55:$BS$55)</f>
        <v>0</v>
      </c>
      <c r="BI56" s="340"/>
      <c r="BJ56" s="340"/>
      <c r="BK56" s="341"/>
      <c r="BL56" s="339">
        <f t="shared" ref="BL56" ca="1" si="30">BL55/SUM($H$55:$BS$55)</f>
        <v>0</v>
      </c>
      <c r="BM56" s="340"/>
      <c r="BN56" s="340"/>
      <c r="BO56" s="341"/>
      <c r="BP56" s="339">
        <f t="shared" ref="BP56" ca="1" si="31">BP55/SUM($H$55:$BS$55)</f>
        <v>0</v>
      </c>
      <c r="BQ56" s="340"/>
      <c r="BR56" s="340"/>
      <c r="BS56" s="341"/>
    </row>
    <row r="57" spans="2:83" ht="75" customHeight="1">
      <c r="F57" s="345" t="s">
        <v>691</v>
      </c>
      <c r="G57" s="345"/>
      <c r="H57" s="342" t="str">
        <f ca="1">REPT("|",(H56*100))</f>
        <v>||||||||||||||||||||||||</v>
      </c>
      <c r="I57" s="343"/>
      <c r="J57" s="343"/>
      <c r="K57" s="344"/>
      <c r="L57" s="342" t="str">
        <f t="shared" ref="L57" ca="1" si="32">REPT("|",(L56*100))</f>
        <v>||||||||||||||||||||||||</v>
      </c>
      <c r="M57" s="343"/>
      <c r="N57" s="343"/>
      <c r="O57" s="344"/>
      <c r="P57" s="342" t="str">
        <f t="shared" ref="P57" ca="1" si="33">REPT("|",(P56*100))</f>
        <v>||||||||</v>
      </c>
      <c r="Q57" s="343"/>
      <c r="R57" s="343"/>
      <c r="S57" s="344"/>
      <c r="T57" s="342" t="str">
        <f t="shared" ref="T57" ca="1" si="34">REPT("|",(T56*100))</f>
        <v>|||||||</v>
      </c>
      <c r="U57" s="343"/>
      <c r="V57" s="343"/>
      <c r="W57" s="344"/>
      <c r="X57" s="342" t="str">
        <f t="shared" ref="X57" ca="1" si="35">REPT("|",(X56*100))</f>
        <v>|||||||||||||||</v>
      </c>
      <c r="Y57" s="343"/>
      <c r="Z57" s="343"/>
      <c r="AA57" s="344"/>
      <c r="AB57" s="342" t="str">
        <f t="shared" ref="AB57" ca="1" si="36">REPT("|",(AB56*100))</f>
        <v>||||||||||||||||||||</v>
      </c>
      <c r="AC57" s="343"/>
      <c r="AD57" s="343"/>
      <c r="AE57" s="344"/>
      <c r="AF57" s="342" t="str">
        <f t="shared" ref="AF57" ca="1" si="37">REPT("|",(AF56*100))</f>
        <v/>
      </c>
      <c r="AG57" s="343"/>
      <c r="AH57" s="343"/>
      <c r="AI57" s="344"/>
      <c r="AJ57" s="342" t="str">
        <f t="shared" ref="AJ57" ca="1" si="38">REPT("|",(AJ56*100))</f>
        <v/>
      </c>
      <c r="AK57" s="343"/>
      <c r="AL57" s="343"/>
      <c r="AM57" s="344"/>
      <c r="AN57" s="342" t="str">
        <f t="shared" ref="AN57" ca="1" si="39">REPT("|",(AN56*100))</f>
        <v/>
      </c>
      <c r="AO57" s="343"/>
      <c r="AP57" s="343"/>
      <c r="AQ57" s="344"/>
      <c r="AR57" s="342" t="str">
        <f t="shared" ref="AR57" ca="1" si="40">REPT("|",(AR56*100))</f>
        <v/>
      </c>
      <c r="AS57" s="343"/>
      <c r="AT57" s="343"/>
      <c r="AU57" s="344"/>
      <c r="AV57" s="342" t="str">
        <f t="shared" ref="AV57" ca="1" si="41">REPT("|",(AV56*100))</f>
        <v/>
      </c>
      <c r="AW57" s="343"/>
      <c r="AX57" s="343"/>
      <c r="AY57" s="344"/>
      <c r="AZ57" s="342" t="str">
        <f t="shared" ref="AZ57" ca="1" si="42">REPT("|",(AZ56*100))</f>
        <v/>
      </c>
      <c r="BA57" s="343"/>
      <c r="BB57" s="343"/>
      <c r="BC57" s="344"/>
      <c r="BD57" s="342" t="str">
        <f t="shared" ref="BD57" ca="1" si="43">REPT("|",(BD56*100))</f>
        <v/>
      </c>
      <c r="BE57" s="343"/>
      <c r="BF57" s="343"/>
      <c r="BG57" s="344"/>
      <c r="BH57" s="342" t="str">
        <f t="shared" ref="BH57" ca="1" si="44">REPT("|",(BH56*100))</f>
        <v/>
      </c>
      <c r="BI57" s="343"/>
      <c r="BJ57" s="343"/>
      <c r="BK57" s="344"/>
      <c r="BL57" s="342" t="str">
        <f t="shared" ref="BL57" ca="1" si="45">REPT("|",(BL56*100))</f>
        <v/>
      </c>
      <c r="BM57" s="343"/>
      <c r="BN57" s="343"/>
      <c r="BO57" s="344"/>
      <c r="BP57" s="342" t="str">
        <f t="shared" ref="BP57" ca="1" si="46">REPT("|",(BP56*100))</f>
        <v/>
      </c>
      <c r="BQ57" s="343"/>
      <c r="BR57" s="343"/>
      <c r="BS57" s="344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6" priority="1" operator="equal">
      <formula>$D$9</formula>
    </cfRule>
  </conditionalFormatting>
  <conditionalFormatting sqref="H54:BS54 E37:E52">
    <cfRule type="cellIs" dxfId="5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110" zoomScaleNormal="110" workbookViewId="0">
      <selection activeCell="C2" sqref="C2"/>
    </sheetView>
  </sheetViews>
  <sheetFormatPr baseColWidth="10" defaultColWidth="8.83203125" defaultRowHeight="16"/>
  <cols>
    <col min="2" max="2" width="15.6640625" customWidth="1"/>
    <col min="3" max="3" width="24.33203125" bestFit="1" customWidth="1"/>
    <col min="4" max="7" width="12" customWidth="1"/>
    <col min="11" max="11" width="12.5" customWidth="1"/>
  </cols>
  <sheetData>
    <row r="1" spans="1:11">
      <c r="A1" s="15" t="s">
        <v>170</v>
      </c>
      <c r="B1" s="15" t="s">
        <v>171</v>
      </c>
      <c r="C1" s="15" t="s">
        <v>810</v>
      </c>
      <c r="D1" s="15">
        <v>2021</v>
      </c>
      <c r="E1" s="15">
        <v>2022</v>
      </c>
      <c r="F1" s="15">
        <v>2023</v>
      </c>
      <c r="G1" s="15">
        <v>2024</v>
      </c>
    </row>
    <row r="2" spans="1:11">
      <c r="A2" s="3" t="s">
        <v>507</v>
      </c>
      <c r="B2" s="3" t="s">
        <v>755</v>
      </c>
      <c r="C2" s="170">
        <f>D2</f>
        <v>1945</v>
      </c>
      <c r="D2" s="162">
        <v>1945</v>
      </c>
      <c r="E2" s="162">
        <v>239292</v>
      </c>
      <c r="F2" s="162">
        <v>239292</v>
      </c>
      <c r="G2" s="162">
        <v>199141</v>
      </c>
    </row>
    <row r="3" spans="1:11">
      <c r="A3" s="3" t="s">
        <v>508</v>
      </c>
      <c r="B3" s="3" t="s">
        <v>756</v>
      </c>
      <c r="C3" s="170">
        <f t="shared" ref="C3:C66" si="0">D3</f>
        <v>6134</v>
      </c>
      <c r="D3" s="162">
        <v>6134</v>
      </c>
      <c r="E3" s="162">
        <v>132745</v>
      </c>
      <c r="F3" s="162">
        <v>132745</v>
      </c>
      <c r="G3" s="162">
        <v>239295</v>
      </c>
    </row>
    <row r="4" spans="1:11">
      <c r="A4" s="3" t="s">
        <v>509</v>
      </c>
      <c r="B4" s="3" t="s">
        <v>757</v>
      </c>
      <c r="C4" s="170">
        <f t="shared" si="0"/>
        <v>1425</v>
      </c>
      <c r="D4" s="162">
        <v>1425</v>
      </c>
      <c r="E4" s="162">
        <v>187949</v>
      </c>
      <c r="F4" s="162">
        <v>187949</v>
      </c>
      <c r="G4" s="162">
        <v>288460</v>
      </c>
      <c r="K4" s="169"/>
    </row>
    <row r="5" spans="1:11">
      <c r="A5" s="3" t="s">
        <v>178</v>
      </c>
      <c r="B5" s="3" t="s">
        <v>179</v>
      </c>
      <c r="C5" s="170">
        <f t="shared" si="0"/>
        <v>215425</v>
      </c>
      <c r="D5" s="162">
        <v>215425</v>
      </c>
      <c r="E5" s="162">
        <v>201452</v>
      </c>
      <c r="F5" s="162">
        <v>201452</v>
      </c>
      <c r="G5" s="162">
        <v>283065</v>
      </c>
      <c r="K5" s="168"/>
    </row>
    <row r="6" spans="1:11">
      <c r="A6" s="3" t="s">
        <v>510</v>
      </c>
      <c r="B6" s="3" t="s">
        <v>738</v>
      </c>
      <c r="C6" s="170">
        <f t="shared" si="0"/>
        <v>1612</v>
      </c>
      <c r="D6" s="162">
        <v>1612</v>
      </c>
      <c r="E6" s="162">
        <v>213420</v>
      </c>
      <c r="F6" s="162">
        <v>213420</v>
      </c>
      <c r="G6" s="162">
        <v>164738</v>
      </c>
    </row>
    <row r="7" spans="1:11">
      <c r="A7" s="3" t="s">
        <v>198</v>
      </c>
      <c r="B7" s="3" t="s">
        <v>199</v>
      </c>
      <c r="C7" s="170">
        <f t="shared" si="0"/>
        <v>25689</v>
      </c>
      <c r="D7" s="162">
        <v>25689</v>
      </c>
      <c r="E7" s="162">
        <v>302560</v>
      </c>
      <c r="F7" s="162">
        <v>302560</v>
      </c>
      <c r="G7" s="162">
        <v>165891</v>
      </c>
      <c r="K7" s="38"/>
    </row>
    <row r="8" spans="1:11">
      <c r="A8" s="3" t="s">
        <v>203</v>
      </c>
      <c r="B8" s="3" t="s">
        <v>204</v>
      </c>
      <c r="C8" s="170">
        <f t="shared" si="0"/>
        <v>25639</v>
      </c>
      <c r="D8" s="162">
        <v>25639</v>
      </c>
      <c r="E8" s="162">
        <v>216975</v>
      </c>
      <c r="F8" s="162">
        <v>216975</v>
      </c>
      <c r="G8" s="162">
        <v>232837</v>
      </c>
    </row>
    <row r="9" spans="1:11">
      <c r="A9" s="3" t="s">
        <v>217</v>
      </c>
      <c r="B9" s="3" t="s">
        <v>218</v>
      </c>
      <c r="C9" s="170">
        <f t="shared" si="0"/>
        <v>2154</v>
      </c>
      <c r="D9" s="162">
        <v>2154</v>
      </c>
      <c r="E9" s="162">
        <v>181948</v>
      </c>
      <c r="F9" s="162">
        <v>181948</v>
      </c>
      <c r="G9" s="162">
        <v>253500</v>
      </c>
    </row>
    <row r="10" spans="1:11">
      <c r="A10" s="3" t="s">
        <v>511</v>
      </c>
      <c r="B10" s="3" t="s">
        <v>739</v>
      </c>
      <c r="C10" s="170">
        <f t="shared" si="0"/>
        <v>4765</v>
      </c>
      <c r="D10" s="162">
        <v>4765</v>
      </c>
      <c r="E10" s="162">
        <v>120606</v>
      </c>
      <c r="F10" s="162">
        <v>120606</v>
      </c>
      <c r="G10" s="162">
        <v>190771</v>
      </c>
    </row>
    <row r="11" spans="1:11">
      <c r="A11" s="3" t="s">
        <v>176</v>
      </c>
      <c r="B11" s="3" t="s">
        <v>177</v>
      </c>
      <c r="C11" s="170">
        <f t="shared" si="0"/>
        <v>250356</v>
      </c>
      <c r="D11" s="162">
        <v>250356</v>
      </c>
      <c r="E11" s="162">
        <v>213426</v>
      </c>
      <c r="F11" s="162">
        <v>213426</v>
      </c>
      <c r="G11" s="162">
        <v>195040</v>
      </c>
    </row>
    <row r="12" spans="1:11">
      <c r="A12" s="3" t="s">
        <v>512</v>
      </c>
      <c r="B12" s="3" t="s">
        <v>740</v>
      </c>
      <c r="C12" s="170">
        <f t="shared" si="0"/>
        <v>6491</v>
      </c>
      <c r="D12" s="162">
        <v>6491</v>
      </c>
      <c r="E12" s="162">
        <v>167040</v>
      </c>
      <c r="F12" s="162">
        <v>167040</v>
      </c>
      <c r="G12" s="162">
        <v>220695</v>
      </c>
    </row>
    <row r="13" spans="1:11">
      <c r="A13" s="3" t="s">
        <v>190</v>
      </c>
      <c r="B13" s="3" t="s">
        <v>191</v>
      </c>
      <c r="C13" s="170">
        <f t="shared" si="0"/>
        <v>50689</v>
      </c>
      <c r="D13" s="162">
        <v>50689</v>
      </c>
      <c r="E13" s="162">
        <v>232792</v>
      </c>
      <c r="F13" s="162">
        <v>312792</v>
      </c>
      <c r="G13" s="162">
        <v>186192</v>
      </c>
    </row>
    <row r="14" spans="1:11">
      <c r="A14" s="3" t="s">
        <v>513</v>
      </c>
      <c r="B14" s="3" t="s">
        <v>741</v>
      </c>
      <c r="C14" s="170">
        <f t="shared" si="0"/>
        <v>1987</v>
      </c>
      <c r="D14" s="162">
        <v>1987</v>
      </c>
      <c r="E14" s="162">
        <v>126137</v>
      </c>
      <c r="F14" s="162">
        <v>126137</v>
      </c>
      <c r="G14" s="162">
        <v>268863</v>
      </c>
    </row>
    <row r="15" spans="1:11">
      <c r="A15" s="3" t="s">
        <v>514</v>
      </c>
      <c r="B15" s="3" t="s">
        <v>742</v>
      </c>
      <c r="C15" s="170">
        <f t="shared" si="0"/>
        <v>1413</v>
      </c>
      <c r="D15" s="162">
        <v>1413</v>
      </c>
      <c r="E15" s="162">
        <v>200524</v>
      </c>
      <c r="F15" s="162">
        <v>200524</v>
      </c>
      <c r="G15" s="162">
        <v>264057</v>
      </c>
    </row>
    <row r="16" spans="1:11">
      <c r="A16" s="3" t="s">
        <v>515</v>
      </c>
      <c r="B16" s="3" t="s">
        <v>743</v>
      </c>
      <c r="C16" s="170">
        <f t="shared" si="0"/>
        <v>2014</v>
      </c>
      <c r="D16" s="162">
        <v>2014</v>
      </c>
      <c r="E16" s="162">
        <v>138784</v>
      </c>
      <c r="F16" s="162">
        <v>138784</v>
      </c>
      <c r="G16" s="162">
        <v>265813</v>
      </c>
    </row>
    <row r="17" spans="1:7">
      <c r="A17" s="3" t="s">
        <v>516</v>
      </c>
      <c r="B17" s="3" t="s">
        <v>745</v>
      </c>
      <c r="C17" s="170">
        <f t="shared" si="0"/>
        <v>5692</v>
      </c>
      <c r="D17" s="162">
        <v>5692</v>
      </c>
      <c r="E17" s="162">
        <v>260167</v>
      </c>
      <c r="F17" s="162">
        <v>260167</v>
      </c>
      <c r="G17" s="162">
        <v>199052</v>
      </c>
    </row>
    <row r="18" spans="1:7">
      <c r="A18" s="3" t="s">
        <v>517</v>
      </c>
      <c r="B18" s="3" t="s">
        <v>744</v>
      </c>
      <c r="C18" s="170">
        <f t="shared" si="0"/>
        <v>1498</v>
      </c>
      <c r="D18" s="162">
        <v>1498</v>
      </c>
      <c r="E18" s="162">
        <v>241365</v>
      </c>
      <c r="F18" s="162">
        <v>241365</v>
      </c>
      <c r="G18" s="162">
        <v>165090</v>
      </c>
    </row>
    <row r="19" spans="1:7">
      <c r="A19" s="3" t="s">
        <v>518</v>
      </c>
      <c r="B19" s="3" t="s">
        <v>746</v>
      </c>
      <c r="C19" s="170">
        <f t="shared" si="0"/>
        <v>1524</v>
      </c>
      <c r="D19" s="162">
        <v>1524</v>
      </c>
      <c r="E19" s="162">
        <v>209630</v>
      </c>
      <c r="F19" s="162">
        <v>209630</v>
      </c>
      <c r="G19" s="162">
        <v>205426</v>
      </c>
    </row>
    <row r="20" spans="1:7">
      <c r="A20" s="3" t="s">
        <v>519</v>
      </c>
      <c r="B20" s="3" t="s">
        <v>747</v>
      </c>
      <c r="C20" s="170">
        <f t="shared" si="0"/>
        <v>1750</v>
      </c>
      <c r="D20" s="162">
        <v>1750</v>
      </c>
      <c r="E20" s="162">
        <v>213654</v>
      </c>
      <c r="F20" s="162">
        <v>213654</v>
      </c>
      <c r="G20" s="162">
        <v>292527</v>
      </c>
    </row>
    <row r="21" spans="1:7">
      <c r="A21" s="3" t="s">
        <v>520</v>
      </c>
      <c r="B21" s="3" t="s">
        <v>748</v>
      </c>
      <c r="C21" s="170">
        <f t="shared" si="0"/>
        <v>1348</v>
      </c>
      <c r="D21" s="162">
        <v>1348</v>
      </c>
      <c r="E21" s="162">
        <v>259751</v>
      </c>
      <c r="F21" s="162">
        <v>259751</v>
      </c>
      <c r="G21" s="162">
        <v>201365</v>
      </c>
    </row>
    <row r="22" spans="1:7">
      <c r="A22" s="3" t="s">
        <v>521</v>
      </c>
      <c r="B22" s="3" t="s">
        <v>749</v>
      </c>
      <c r="C22" s="170">
        <f t="shared" si="0"/>
        <v>6903</v>
      </c>
      <c r="D22" s="162">
        <v>6903</v>
      </c>
      <c r="E22" s="162">
        <v>277450</v>
      </c>
      <c r="F22" s="162">
        <v>277450</v>
      </c>
      <c r="G22" s="162">
        <v>192177</v>
      </c>
    </row>
    <row r="23" spans="1:7">
      <c r="A23" s="3" t="s">
        <v>522</v>
      </c>
      <c r="B23" s="3" t="s">
        <v>750</v>
      </c>
      <c r="C23" s="170">
        <f t="shared" si="0"/>
        <v>1631</v>
      </c>
      <c r="D23" s="162">
        <v>1631</v>
      </c>
      <c r="E23" s="162">
        <v>180094</v>
      </c>
      <c r="F23" s="162">
        <v>180094</v>
      </c>
      <c r="G23" s="162">
        <v>281770</v>
      </c>
    </row>
    <row r="24" spans="1:7">
      <c r="A24" s="3" t="s">
        <v>523</v>
      </c>
      <c r="B24" s="3" t="s">
        <v>751</v>
      </c>
      <c r="C24" s="170">
        <f t="shared" si="0"/>
        <v>4177</v>
      </c>
      <c r="D24" s="162">
        <v>4177</v>
      </c>
      <c r="E24" s="162">
        <v>145240</v>
      </c>
      <c r="F24" s="162">
        <v>145240</v>
      </c>
      <c r="G24" s="162">
        <v>185281</v>
      </c>
    </row>
    <row r="25" spans="1:7">
      <c r="A25" s="3" t="s">
        <v>524</v>
      </c>
      <c r="B25" s="3" t="s">
        <v>752</v>
      </c>
      <c r="C25" s="170">
        <f t="shared" si="0"/>
        <v>2821</v>
      </c>
      <c r="D25" s="162">
        <v>2821</v>
      </c>
      <c r="E25" s="162">
        <v>312405</v>
      </c>
      <c r="F25" s="162">
        <v>312405</v>
      </c>
      <c r="G25" s="162">
        <v>207543</v>
      </c>
    </row>
    <row r="26" spans="1:7">
      <c r="A26" s="3" t="s">
        <v>525</v>
      </c>
      <c r="B26" s="3" t="s">
        <v>753</v>
      </c>
      <c r="C26" s="170">
        <f t="shared" si="0"/>
        <v>12224</v>
      </c>
      <c r="D26" s="162">
        <v>12224</v>
      </c>
      <c r="E26" s="162">
        <v>119920</v>
      </c>
      <c r="F26" s="162">
        <v>119920</v>
      </c>
      <c r="G26" s="162">
        <v>205706</v>
      </c>
    </row>
    <row r="27" spans="1:7">
      <c r="A27" s="3" t="s">
        <v>526</v>
      </c>
      <c r="B27" s="3" t="s">
        <v>754</v>
      </c>
      <c r="C27" s="170">
        <f t="shared" si="0"/>
        <v>1533</v>
      </c>
      <c r="D27" s="162">
        <v>1533</v>
      </c>
      <c r="E27" s="162">
        <v>272602</v>
      </c>
      <c r="F27" s="162">
        <v>272602</v>
      </c>
      <c r="G27" s="162">
        <v>298426</v>
      </c>
    </row>
    <row r="28" spans="1:7">
      <c r="A28" s="3" t="s">
        <v>527</v>
      </c>
      <c r="B28" s="3" t="s">
        <v>758</v>
      </c>
      <c r="C28" s="170">
        <f t="shared" si="0"/>
        <v>245</v>
      </c>
      <c r="D28" s="162">
        <v>245</v>
      </c>
      <c r="E28" s="162">
        <v>142650</v>
      </c>
      <c r="F28" s="162">
        <v>358650</v>
      </c>
      <c r="G28" s="162">
        <v>195093</v>
      </c>
    </row>
    <row r="29" spans="1:7">
      <c r="A29" s="3" t="s">
        <v>528</v>
      </c>
      <c r="B29" s="3" t="s">
        <v>759</v>
      </c>
      <c r="C29" s="170">
        <f t="shared" si="0"/>
        <v>2156</v>
      </c>
      <c r="D29" s="162">
        <v>2156</v>
      </c>
      <c r="E29" s="162">
        <v>159544</v>
      </c>
      <c r="F29" s="162">
        <v>159544</v>
      </c>
      <c r="G29" s="162">
        <v>256540</v>
      </c>
    </row>
    <row r="30" spans="1:7">
      <c r="A30" s="3" t="s">
        <v>529</v>
      </c>
      <c r="B30" s="3" t="s">
        <v>760</v>
      </c>
      <c r="C30" s="170">
        <f t="shared" si="0"/>
        <v>3562</v>
      </c>
      <c r="D30" s="162">
        <v>3562</v>
      </c>
      <c r="E30" s="162">
        <v>131644</v>
      </c>
      <c r="F30" s="162">
        <v>131644</v>
      </c>
      <c r="G30" s="162">
        <v>214533</v>
      </c>
    </row>
    <row r="31" spans="1:7">
      <c r="A31" s="3" t="s">
        <v>530</v>
      </c>
      <c r="B31" s="3" t="s">
        <v>761</v>
      </c>
      <c r="C31" s="170">
        <f t="shared" si="0"/>
        <v>1554</v>
      </c>
      <c r="D31" s="162">
        <v>1554</v>
      </c>
      <c r="E31" s="162">
        <v>216547</v>
      </c>
      <c r="F31" s="162">
        <v>216547</v>
      </c>
      <c r="G31" s="162">
        <v>203470</v>
      </c>
    </row>
    <row r="32" spans="1:7">
      <c r="A32" s="3" t="s">
        <v>531</v>
      </c>
      <c r="B32" s="3" t="s">
        <v>762</v>
      </c>
      <c r="C32" s="170">
        <f t="shared" si="0"/>
        <v>12036</v>
      </c>
      <c r="D32" s="162">
        <v>12036</v>
      </c>
      <c r="E32" s="162">
        <v>236541</v>
      </c>
      <c r="F32" s="162">
        <v>236541</v>
      </c>
      <c r="G32" s="162">
        <v>174168</v>
      </c>
    </row>
    <row r="33" spans="1:7">
      <c r="A33" s="3" t="s">
        <v>532</v>
      </c>
      <c r="B33" s="3" t="s">
        <v>763</v>
      </c>
      <c r="C33" s="170">
        <f t="shared" si="0"/>
        <v>3735</v>
      </c>
      <c r="D33" s="162">
        <v>3735</v>
      </c>
      <c r="E33" s="162">
        <v>105963</v>
      </c>
      <c r="F33" s="162">
        <v>105963</v>
      </c>
      <c r="G33" s="162">
        <v>248647</v>
      </c>
    </row>
    <row r="34" spans="1:7">
      <c r="A34" s="3" t="s">
        <v>533</v>
      </c>
      <c r="B34" s="3" t="s">
        <v>764</v>
      </c>
      <c r="C34" s="170">
        <f t="shared" si="0"/>
        <v>10356</v>
      </c>
      <c r="D34" s="162">
        <v>10356</v>
      </c>
      <c r="E34" s="162">
        <v>171667</v>
      </c>
      <c r="F34" s="162">
        <v>171667</v>
      </c>
      <c r="G34" s="162">
        <v>241613</v>
      </c>
    </row>
    <row r="35" spans="1:7">
      <c r="A35" s="3" t="s">
        <v>534</v>
      </c>
      <c r="B35" s="3" t="s">
        <v>765</v>
      </c>
      <c r="C35" s="170">
        <f t="shared" si="0"/>
        <v>10254</v>
      </c>
      <c r="D35" s="162">
        <v>10254</v>
      </c>
      <c r="E35" s="162">
        <v>274120</v>
      </c>
      <c r="F35" s="162">
        <v>274120</v>
      </c>
      <c r="G35" s="162">
        <v>246912</v>
      </c>
    </row>
    <row r="36" spans="1:7">
      <c r="A36" s="3" t="s">
        <v>535</v>
      </c>
      <c r="B36" s="3" t="s">
        <v>766</v>
      </c>
      <c r="C36" s="170">
        <f t="shared" si="0"/>
        <v>3076</v>
      </c>
      <c r="D36" s="162">
        <v>3076</v>
      </c>
      <c r="E36" s="162">
        <v>121557</v>
      </c>
      <c r="F36" s="162">
        <v>121557</v>
      </c>
      <c r="G36" s="162">
        <v>193932</v>
      </c>
    </row>
    <row r="37" spans="1:7">
      <c r="A37" s="3" t="s">
        <v>536</v>
      </c>
      <c r="B37" s="3" t="s">
        <v>767</v>
      </c>
      <c r="C37" s="170">
        <f t="shared" si="0"/>
        <v>1637</v>
      </c>
      <c r="D37" s="162">
        <v>1637</v>
      </c>
      <c r="E37" s="162">
        <v>268727</v>
      </c>
      <c r="F37" s="162">
        <v>268727</v>
      </c>
      <c r="G37" s="162">
        <v>293195</v>
      </c>
    </row>
    <row r="38" spans="1:7">
      <c r="A38" s="3" t="s">
        <v>180</v>
      </c>
      <c r="B38" s="3" t="s">
        <v>181</v>
      </c>
      <c r="C38" s="170">
        <f t="shared" si="0"/>
        <v>125036</v>
      </c>
      <c r="D38" s="162">
        <v>125036</v>
      </c>
      <c r="E38" s="162">
        <v>252854</v>
      </c>
      <c r="F38" s="162">
        <v>252854</v>
      </c>
      <c r="G38" s="162">
        <v>279399</v>
      </c>
    </row>
    <row r="39" spans="1:7">
      <c r="A39" s="3" t="s">
        <v>537</v>
      </c>
      <c r="B39" s="3" t="s">
        <v>735</v>
      </c>
      <c r="C39" s="170">
        <f t="shared" si="0"/>
        <v>2154</v>
      </c>
      <c r="D39" s="162">
        <v>2154</v>
      </c>
      <c r="E39" s="162">
        <v>131271</v>
      </c>
      <c r="F39" s="162">
        <v>331271</v>
      </c>
      <c r="G39" s="162">
        <v>277326</v>
      </c>
    </row>
    <row r="40" spans="1:7">
      <c r="A40" s="3" t="s">
        <v>538</v>
      </c>
      <c r="B40" s="3" t="s">
        <v>736</v>
      </c>
      <c r="C40" s="170">
        <f t="shared" si="0"/>
        <v>8070</v>
      </c>
      <c r="D40" s="162">
        <v>8070</v>
      </c>
      <c r="E40" s="162">
        <v>195411</v>
      </c>
      <c r="F40" s="162">
        <v>195411</v>
      </c>
      <c r="G40" s="162">
        <v>191709</v>
      </c>
    </row>
    <row r="41" spans="1:7">
      <c r="A41" s="3" t="s">
        <v>539</v>
      </c>
      <c r="B41" s="3" t="s">
        <v>737</v>
      </c>
      <c r="C41" s="170">
        <f t="shared" si="0"/>
        <v>2342</v>
      </c>
      <c r="D41" s="162">
        <v>2342</v>
      </c>
      <c r="E41" s="162">
        <v>290451</v>
      </c>
      <c r="F41" s="162">
        <v>290451</v>
      </c>
      <c r="G41" s="162">
        <v>187443</v>
      </c>
    </row>
    <row r="42" spans="1:7">
      <c r="A42" s="3" t="s">
        <v>215</v>
      </c>
      <c r="B42" s="3" t="s">
        <v>216</v>
      </c>
      <c r="C42" s="170">
        <f t="shared" si="0"/>
        <v>2156</v>
      </c>
      <c r="D42" s="162">
        <v>2156</v>
      </c>
      <c r="E42" s="162">
        <v>111930</v>
      </c>
      <c r="F42" s="162">
        <v>111930</v>
      </c>
      <c r="G42" s="162">
        <v>190564</v>
      </c>
    </row>
    <row r="43" spans="1:7">
      <c r="A43" s="3" t="s">
        <v>540</v>
      </c>
      <c r="B43" s="3" t="s">
        <v>710</v>
      </c>
      <c r="C43" s="170">
        <f t="shared" si="0"/>
        <v>2226</v>
      </c>
      <c r="D43" s="162">
        <v>2226</v>
      </c>
      <c r="E43" s="162">
        <v>321526</v>
      </c>
      <c r="F43" s="162">
        <v>321526</v>
      </c>
      <c r="G43" s="162">
        <v>196496</v>
      </c>
    </row>
    <row r="44" spans="1:7">
      <c r="A44" s="3" t="s">
        <v>211</v>
      </c>
      <c r="B44" s="3" t="s">
        <v>212</v>
      </c>
      <c r="C44" s="170">
        <f t="shared" si="0"/>
        <v>2454</v>
      </c>
      <c r="D44" s="162">
        <v>2454</v>
      </c>
      <c r="E44" s="162">
        <v>138527</v>
      </c>
      <c r="F44" s="162">
        <v>138527</v>
      </c>
      <c r="G44" s="162">
        <v>251547</v>
      </c>
    </row>
    <row r="45" spans="1:7">
      <c r="A45" s="3" t="s">
        <v>207</v>
      </c>
      <c r="B45" s="3" t="s">
        <v>208</v>
      </c>
      <c r="C45" s="170">
        <f t="shared" si="0"/>
        <v>2458</v>
      </c>
      <c r="D45" s="162">
        <v>2458</v>
      </c>
      <c r="E45" s="162">
        <v>368952</v>
      </c>
      <c r="F45" s="162">
        <v>368952</v>
      </c>
      <c r="G45" s="162">
        <v>240263</v>
      </c>
    </row>
    <row r="46" spans="1:7">
      <c r="A46" s="3" t="s">
        <v>541</v>
      </c>
      <c r="B46" s="3" t="s">
        <v>728</v>
      </c>
      <c r="C46" s="170">
        <f t="shared" si="0"/>
        <v>8750</v>
      </c>
      <c r="D46" s="162">
        <v>8750</v>
      </c>
      <c r="E46" s="162">
        <v>157307</v>
      </c>
      <c r="F46" s="162">
        <v>157307</v>
      </c>
      <c r="G46" s="162">
        <v>216743</v>
      </c>
    </row>
    <row r="47" spans="1:7">
      <c r="A47" s="3" t="s">
        <v>542</v>
      </c>
      <c r="B47" s="3" t="s">
        <v>729</v>
      </c>
      <c r="C47" s="170">
        <f t="shared" si="0"/>
        <v>3450</v>
      </c>
      <c r="D47" s="162">
        <v>3450</v>
      </c>
      <c r="E47" s="162">
        <v>103297</v>
      </c>
      <c r="F47" s="162">
        <v>103297</v>
      </c>
      <c r="G47" s="162">
        <v>262457</v>
      </c>
    </row>
    <row r="48" spans="1:7">
      <c r="A48" s="3" t="s">
        <v>543</v>
      </c>
      <c r="B48" s="3" t="s">
        <v>730</v>
      </c>
      <c r="C48" s="170">
        <f t="shared" si="0"/>
        <v>4730</v>
      </c>
      <c r="D48" s="162">
        <v>4730</v>
      </c>
      <c r="E48" s="162">
        <v>114514</v>
      </c>
      <c r="F48" s="162">
        <v>114514</v>
      </c>
      <c r="G48" s="162">
        <v>165399</v>
      </c>
    </row>
    <row r="49" spans="1:7">
      <c r="A49" s="3" t="s">
        <v>544</v>
      </c>
      <c r="B49" s="3" t="s">
        <v>731</v>
      </c>
      <c r="C49" s="170">
        <f t="shared" si="0"/>
        <v>8230</v>
      </c>
      <c r="D49" s="162">
        <v>8230</v>
      </c>
      <c r="E49" s="162">
        <v>157808</v>
      </c>
      <c r="F49" s="162">
        <v>157808</v>
      </c>
      <c r="G49" s="162">
        <v>195478</v>
      </c>
    </row>
    <row r="50" spans="1:7">
      <c r="A50" s="3" t="s">
        <v>545</v>
      </c>
      <c r="B50" s="3" t="s">
        <v>732</v>
      </c>
      <c r="C50" s="170">
        <f t="shared" si="0"/>
        <v>7065</v>
      </c>
      <c r="D50" s="162">
        <v>7065</v>
      </c>
      <c r="E50" s="162">
        <v>197813</v>
      </c>
      <c r="F50" s="162">
        <v>197813</v>
      </c>
      <c r="G50" s="162">
        <v>243044</v>
      </c>
    </row>
    <row r="51" spans="1:7">
      <c r="A51" s="3" t="s">
        <v>546</v>
      </c>
      <c r="B51" s="3" t="s">
        <v>733</v>
      </c>
      <c r="C51" s="170">
        <f t="shared" si="0"/>
        <v>2456</v>
      </c>
      <c r="D51" s="162">
        <v>2456</v>
      </c>
      <c r="E51" s="162">
        <v>186953</v>
      </c>
      <c r="F51" s="162">
        <v>305695</v>
      </c>
      <c r="G51" s="162">
        <v>209624</v>
      </c>
    </row>
    <row r="52" spans="1:7">
      <c r="A52" s="3" t="s">
        <v>547</v>
      </c>
      <c r="B52" s="3" t="s">
        <v>734</v>
      </c>
      <c r="C52" s="170">
        <f t="shared" si="0"/>
        <v>9246</v>
      </c>
      <c r="D52" s="162">
        <v>9246</v>
      </c>
      <c r="E52" s="162">
        <v>162701</v>
      </c>
      <c r="F52" s="162">
        <v>162701</v>
      </c>
      <c r="G52" s="162">
        <v>230503</v>
      </c>
    </row>
    <row r="53" spans="1:7">
      <c r="A53" s="3" t="s">
        <v>184</v>
      </c>
      <c r="B53" s="3" t="s">
        <v>185</v>
      </c>
      <c r="C53" s="170">
        <f t="shared" si="0"/>
        <v>85612</v>
      </c>
      <c r="D53" s="162">
        <v>85612</v>
      </c>
      <c r="E53" s="162">
        <v>260729</v>
      </c>
      <c r="F53" s="162">
        <v>260729</v>
      </c>
      <c r="G53" s="162">
        <v>181818</v>
      </c>
    </row>
    <row r="54" spans="1:7">
      <c r="A54" s="3" t="s">
        <v>188</v>
      </c>
      <c r="B54" s="3" t="s">
        <v>189</v>
      </c>
      <c r="C54" s="170">
        <f t="shared" si="0"/>
        <v>54682</v>
      </c>
      <c r="D54" s="162">
        <v>54682</v>
      </c>
      <c r="E54" s="162">
        <v>302641</v>
      </c>
      <c r="F54" s="162">
        <v>302641</v>
      </c>
      <c r="G54" s="162">
        <v>230231</v>
      </c>
    </row>
    <row r="55" spans="1:7">
      <c r="A55" s="3" t="s">
        <v>209</v>
      </c>
      <c r="B55" s="3" t="s">
        <v>210</v>
      </c>
      <c r="C55" s="170">
        <f t="shared" si="0"/>
        <v>2456</v>
      </c>
      <c r="D55" s="162">
        <v>2456</v>
      </c>
      <c r="E55" s="162">
        <v>172838</v>
      </c>
      <c r="F55" s="162">
        <v>172838</v>
      </c>
      <c r="G55" s="162">
        <v>220662</v>
      </c>
    </row>
    <row r="56" spans="1:7">
      <c r="A56" s="3" t="s">
        <v>548</v>
      </c>
      <c r="B56" s="3" t="s">
        <v>711</v>
      </c>
      <c r="C56" s="170">
        <f t="shared" si="0"/>
        <v>2559</v>
      </c>
      <c r="D56" s="162">
        <v>2559</v>
      </c>
      <c r="E56" s="162">
        <v>356780</v>
      </c>
      <c r="F56" s="162">
        <v>356780</v>
      </c>
      <c r="G56" s="162">
        <v>246682</v>
      </c>
    </row>
    <row r="57" spans="1:7">
      <c r="A57" s="3" t="s">
        <v>549</v>
      </c>
      <c r="B57" s="3" t="s">
        <v>712</v>
      </c>
      <c r="C57" s="170">
        <f t="shared" si="0"/>
        <v>2547</v>
      </c>
      <c r="D57" s="162">
        <v>2547</v>
      </c>
      <c r="E57" s="162">
        <v>288403</v>
      </c>
      <c r="F57" s="162">
        <v>288403</v>
      </c>
      <c r="G57" s="162">
        <v>232888</v>
      </c>
    </row>
    <row r="58" spans="1:7">
      <c r="A58" s="3" t="s">
        <v>550</v>
      </c>
      <c r="B58" s="3" t="s">
        <v>713</v>
      </c>
      <c r="C58" s="170">
        <f t="shared" si="0"/>
        <v>7654</v>
      </c>
      <c r="D58" s="162">
        <v>7654</v>
      </c>
      <c r="E58" s="162">
        <v>154928</v>
      </c>
      <c r="F58" s="162">
        <v>154928</v>
      </c>
      <c r="G58" s="162">
        <v>211584</v>
      </c>
    </row>
    <row r="59" spans="1:7">
      <c r="A59" s="3" t="s">
        <v>551</v>
      </c>
      <c r="B59" s="3" t="s">
        <v>722</v>
      </c>
      <c r="C59" s="170">
        <f t="shared" si="0"/>
        <v>2549</v>
      </c>
      <c r="D59" s="162">
        <v>2549</v>
      </c>
      <c r="E59" s="162">
        <v>289410</v>
      </c>
      <c r="F59" s="162">
        <v>299410</v>
      </c>
      <c r="G59" s="162">
        <v>161350</v>
      </c>
    </row>
    <row r="60" spans="1:7">
      <c r="A60" s="3" t="s">
        <v>552</v>
      </c>
      <c r="B60" s="3" t="s">
        <v>723</v>
      </c>
      <c r="C60" s="170">
        <f t="shared" si="0"/>
        <v>4084</v>
      </c>
      <c r="D60" s="162">
        <v>4084</v>
      </c>
      <c r="E60" s="162">
        <v>196199</v>
      </c>
      <c r="F60" s="162">
        <v>196199</v>
      </c>
      <c r="G60" s="162">
        <v>162618</v>
      </c>
    </row>
    <row r="61" spans="1:7">
      <c r="A61" s="3" t="s">
        <v>553</v>
      </c>
      <c r="B61" s="3" t="s">
        <v>724</v>
      </c>
      <c r="C61" s="170">
        <f t="shared" si="0"/>
        <v>10038</v>
      </c>
      <c r="D61" s="162">
        <v>10038</v>
      </c>
      <c r="E61" s="162">
        <v>192060</v>
      </c>
      <c r="F61" s="162">
        <v>192060</v>
      </c>
      <c r="G61" s="162">
        <v>212844</v>
      </c>
    </row>
    <row r="62" spans="1:7">
      <c r="A62" s="3" t="s">
        <v>554</v>
      </c>
      <c r="B62" s="3" t="s">
        <v>725</v>
      </c>
      <c r="C62" s="170">
        <f t="shared" si="0"/>
        <v>2525</v>
      </c>
      <c r="D62" s="162">
        <v>2525</v>
      </c>
      <c r="E62" s="162">
        <v>309153</v>
      </c>
      <c r="F62" s="162">
        <v>309153</v>
      </c>
      <c r="G62" s="162">
        <v>242956</v>
      </c>
    </row>
    <row r="63" spans="1:7">
      <c r="A63" s="3" t="s">
        <v>555</v>
      </c>
      <c r="B63" s="3" t="s">
        <v>726</v>
      </c>
      <c r="C63" s="170">
        <f t="shared" si="0"/>
        <v>6003</v>
      </c>
      <c r="D63" s="162">
        <v>6003</v>
      </c>
      <c r="E63" s="162">
        <v>149604</v>
      </c>
      <c r="F63" s="162">
        <v>149604</v>
      </c>
      <c r="G63" s="162">
        <v>163362</v>
      </c>
    </row>
    <row r="64" spans="1:7">
      <c r="A64" s="3" t="s">
        <v>556</v>
      </c>
      <c r="B64" s="3" t="s">
        <v>727</v>
      </c>
      <c r="C64" s="170">
        <f t="shared" si="0"/>
        <v>2189</v>
      </c>
      <c r="D64" s="162">
        <v>2189</v>
      </c>
      <c r="E64" s="162">
        <v>279461</v>
      </c>
      <c r="F64" s="162">
        <v>279461</v>
      </c>
      <c r="G64" s="162">
        <v>184220</v>
      </c>
    </row>
    <row r="65" spans="1:7">
      <c r="A65" s="3" t="s">
        <v>182</v>
      </c>
      <c r="B65" s="3" t="s">
        <v>183</v>
      </c>
      <c r="C65" s="170">
        <f t="shared" si="0"/>
        <v>86542</v>
      </c>
      <c r="D65" s="162">
        <v>86542</v>
      </c>
      <c r="E65" s="162">
        <v>356914</v>
      </c>
      <c r="F65" s="162">
        <v>356914</v>
      </c>
      <c r="G65" s="162">
        <v>215086</v>
      </c>
    </row>
    <row r="66" spans="1:7">
      <c r="A66" s="3" t="s">
        <v>557</v>
      </c>
      <c r="B66" s="3" t="s">
        <v>714</v>
      </c>
      <c r="C66" s="170">
        <f t="shared" si="0"/>
        <v>2458</v>
      </c>
      <c r="D66" s="162">
        <v>2458</v>
      </c>
      <c r="E66" s="162">
        <v>145250</v>
      </c>
      <c r="F66" s="162">
        <v>145250</v>
      </c>
      <c r="G66" s="162">
        <v>221007</v>
      </c>
    </row>
    <row r="67" spans="1:7">
      <c r="A67" s="3" t="s">
        <v>192</v>
      </c>
      <c r="B67" s="3" t="s">
        <v>193</v>
      </c>
      <c r="C67" s="170">
        <f t="shared" ref="C67:C130" si="1">D67</f>
        <v>45896</v>
      </c>
      <c r="D67" s="162">
        <v>45896</v>
      </c>
      <c r="E67" s="162">
        <v>171592</v>
      </c>
      <c r="F67" s="162">
        <v>171592</v>
      </c>
      <c r="G67" s="162">
        <v>226908</v>
      </c>
    </row>
    <row r="68" spans="1:7">
      <c r="A68" s="3" t="s">
        <v>558</v>
      </c>
      <c r="B68" s="3" t="s">
        <v>715</v>
      </c>
      <c r="C68" s="170">
        <f t="shared" si="1"/>
        <v>9748</v>
      </c>
      <c r="D68" s="162">
        <v>9748</v>
      </c>
      <c r="E68" s="162">
        <v>162464</v>
      </c>
      <c r="F68" s="162">
        <v>162464</v>
      </c>
      <c r="G68" s="162">
        <v>182556</v>
      </c>
    </row>
    <row r="69" spans="1:7">
      <c r="A69" s="3" t="s">
        <v>186</v>
      </c>
      <c r="B69" s="3" t="s">
        <v>187</v>
      </c>
      <c r="C69" s="170">
        <f t="shared" si="1"/>
        <v>65248</v>
      </c>
      <c r="D69" s="162">
        <v>65248</v>
      </c>
      <c r="E69" s="162">
        <v>279425</v>
      </c>
      <c r="F69" s="162">
        <v>279425</v>
      </c>
      <c r="G69" s="162">
        <v>251522</v>
      </c>
    </row>
    <row r="70" spans="1:7">
      <c r="A70" s="3" t="s">
        <v>194</v>
      </c>
      <c r="B70" s="3" t="s">
        <v>195</v>
      </c>
      <c r="C70" s="170">
        <f t="shared" si="1"/>
        <v>36524</v>
      </c>
      <c r="D70" s="162">
        <v>36524</v>
      </c>
      <c r="E70" s="162">
        <v>319524</v>
      </c>
      <c r="F70" s="162">
        <v>319524</v>
      </c>
      <c r="G70" s="162">
        <v>210746</v>
      </c>
    </row>
    <row r="71" spans="1:7">
      <c r="A71" s="3" t="s">
        <v>196</v>
      </c>
      <c r="B71" s="3" t="s">
        <v>197</v>
      </c>
      <c r="C71" s="170">
        <f t="shared" si="1"/>
        <v>36502</v>
      </c>
      <c r="D71" s="162">
        <v>36502</v>
      </c>
      <c r="E71" s="162">
        <v>199585</v>
      </c>
      <c r="F71" s="162">
        <v>199585</v>
      </c>
      <c r="G71" s="162">
        <v>166763</v>
      </c>
    </row>
    <row r="72" spans="1:7">
      <c r="A72" s="3" t="s">
        <v>202</v>
      </c>
      <c r="B72" s="3" t="s">
        <v>716</v>
      </c>
      <c r="C72" s="170">
        <f t="shared" si="1"/>
        <v>25649</v>
      </c>
      <c r="D72" s="162">
        <v>25649</v>
      </c>
      <c r="E72" s="162">
        <v>221376</v>
      </c>
      <c r="F72" s="162">
        <v>221376</v>
      </c>
      <c r="G72" s="162">
        <v>169263</v>
      </c>
    </row>
    <row r="73" spans="1:7">
      <c r="A73" s="3" t="s">
        <v>221</v>
      </c>
      <c r="B73" s="3" t="s">
        <v>222</v>
      </c>
      <c r="C73" s="170">
        <f t="shared" si="1"/>
        <v>2154</v>
      </c>
      <c r="D73" s="162">
        <v>2154</v>
      </c>
      <c r="E73" s="162">
        <v>88923</v>
      </c>
      <c r="F73" s="162">
        <v>88923</v>
      </c>
      <c r="G73" s="162">
        <v>88923</v>
      </c>
    </row>
    <row r="74" spans="1:7">
      <c r="A74" s="3" t="s">
        <v>200</v>
      </c>
      <c r="B74" s="3" t="s">
        <v>201</v>
      </c>
      <c r="C74" s="170">
        <f t="shared" si="1"/>
        <v>25689</v>
      </c>
      <c r="D74" s="162">
        <v>25689</v>
      </c>
      <c r="E74" s="162">
        <v>153537</v>
      </c>
      <c r="F74" s="162">
        <v>153537</v>
      </c>
      <c r="G74" s="162">
        <v>289464</v>
      </c>
    </row>
    <row r="75" spans="1:7">
      <c r="A75" s="3" t="s">
        <v>205</v>
      </c>
      <c r="B75" s="3" t="s">
        <v>206</v>
      </c>
      <c r="C75" s="170">
        <f t="shared" si="1"/>
        <v>25468</v>
      </c>
      <c r="D75" s="162">
        <v>25468</v>
      </c>
      <c r="E75" s="162">
        <v>256854</v>
      </c>
      <c r="F75" s="162">
        <v>256854</v>
      </c>
      <c r="G75" s="162">
        <v>220983</v>
      </c>
    </row>
    <row r="76" spans="1:7">
      <c r="A76" s="3" t="s">
        <v>559</v>
      </c>
      <c r="B76" s="3" t="s">
        <v>717</v>
      </c>
      <c r="C76" s="170">
        <f t="shared" si="1"/>
        <v>235</v>
      </c>
      <c r="D76" s="162">
        <v>235</v>
      </c>
      <c r="E76" s="162">
        <v>326984</v>
      </c>
      <c r="F76" s="162">
        <v>326984</v>
      </c>
      <c r="G76" s="162">
        <v>205188</v>
      </c>
    </row>
    <row r="77" spans="1:7">
      <c r="A77" s="3" t="s">
        <v>560</v>
      </c>
      <c r="B77" s="3" t="s">
        <v>718</v>
      </c>
      <c r="C77" s="170">
        <f t="shared" si="1"/>
        <v>941</v>
      </c>
      <c r="D77" s="162">
        <v>941</v>
      </c>
      <c r="E77" s="162">
        <v>156130</v>
      </c>
      <c r="F77" s="162">
        <v>156130</v>
      </c>
      <c r="G77" s="162">
        <v>208976</v>
      </c>
    </row>
    <row r="78" spans="1:7">
      <c r="A78" s="3" t="s">
        <v>561</v>
      </c>
      <c r="B78" s="3" t="s">
        <v>719</v>
      </c>
      <c r="C78" s="170">
        <f t="shared" si="1"/>
        <v>220</v>
      </c>
      <c r="D78" s="162">
        <v>220</v>
      </c>
      <c r="E78" s="162">
        <v>299450</v>
      </c>
      <c r="F78" s="162">
        <v>299450</v>
      </c>
      <c r="G78" s="162">
        <v>165526</v>
      </c>
    </row>
    <row r="79" spans="1:7">
      <c r="A79" s="3" t="s">
        <v>562</v>
      </c>
      <c r="B79" s="3" t="s">
        <v>720</v>
      </c>
      <c r="C79" s="170">
        <f t="shared" si="1"/>
        <v>407</v>
      </c>
      <c r="D79" s="162">
        <v>407</v>
      </c>
      <c r="E79" s="162">
        <v>141964</v>
      </c>
      <c r="F79" s="162">
        <v>141964</v>
      </c>
      <c r="G79" s="162">
        <v>289422</v>
      </c>
    </row>
    <row r="80" spans="1:7">
      <c r="A80" s="3" t="s">
        <v>563</v>
      </c>
      <c r="B80" s="3" t="s">
        <v>721</v>
      </c>
      <c r="C80" s="170">
        <f t="shared" si="1"/>
        <v>771</v>
      </c>
      <c r="D80" s="162">
        <v>771</v>
      </c>
      <c r="E80" s="162">
        <v>128520</v>
      </c>
      <c r="F80" s="162">
        <v>128520</v>
      </c>
      <c r="G80" s="162">
        <v>293326</v>
      </c>
    </row>
    <row r="81" spans="1:7">
      <c r="A81" s="3" t="s">
        <v>213</v>
      </c>
      <c r="B81" s="3" t="s">
        <v>214</v>
      </c>
      <c r="C81" s="170">
        <f t="shared" si="1"/>
        <v>258</v>
      </c>
      <c r="D81" s="162">
        <v>258</v>
      </c>
      <c r="E81" s="162">
        <v>183974</v>
      </c>
      <c r="F81" s="162">
        <v>183974</v>
      </c>
      <c r="G81" s="162">
        <v>208163</v>
      </c>
    </row>
    <row r="82" spans="1:7">
      <c r="A82" s="3" t="s">
        <v>219</v>
      </c>
      <c r="B82" s="3" t="s">
        <v>220</v>
      </c>
      <c r="C82" s="170">
        <f t="shared" si="1"/>
        <v>215</v>
      </c>
      <c r="D82" s="162">
        <v>215</v>
      </c>
      <c r="E82" s="162">
        <v>152674</v>
      </c>
      <c r="F82" s="162">
        <v>152674</v>
      </c>
      <c r="G82" s="162">
        <v>152674</v>
      </c>
    </row>
    <row r="83" spans="1:7">
      <c r="A83" s="3" t="s">
        <v>564</v>
      </c>
      <c r="B83" s="3" t="s">
        <v>709</v>
      </c>
      <c r="C83" s="170">
        <f t="shared" si="1"/>
        <v>69</v>
      </c>
      <c r="D83" s="162">
        <v>69</v>
      </c>
      <c r="E83" s="162">
        <v>131352</v>
      </c>
      <c r="F83" s="162">
        <v>131352</v>
      </c>
      <c r="G83" s="162">
        <v>263302</v>
      </c>
    </row>
    <row r="84" spans="1:7">
      <c r="A84" s="3" t="s">
        <v>223</v>
      </c>
      <c r="B84" s="3" t="s">
        <v>224</v>
      </c>
      <c r="C84" s="170">
        <f t="shared" si="1"/>
        <v>213</v>
      </c>
      <c r="D84" s="162">
        <v>213</v>
      </c>
      <c r="E84" s="162">
        <v>72257</v>
      </c>
      <c r="F84" s="162">
        <v>72257</v>
      </c>
      <c r="G84" s="162">
        <v>72257</v>
      </c>
    </row>
    <row r="85" spans="1:7">
      <c r="A85" s="3" t="s">
        <v>225</v>
      </c>
      <c r="B85" s="3" t="s">
        <v>226</v>
      </c>
      <c r="C85" s="170">
        <f t="shared" si="1"/>
        <v>104</v>
      </c>
      <c r="D85" s="162">
        <v>104</v>
      </c>
      <c r="E85" s="162">
        <v>73439</v>
      </c>
      <c r="F85" s="162">
        <v>73439</v>
      </c>
      <c r="G85" s="162">
        <v>73439</v>
      </c>
    </row>
    <row r="86" spans="1:7">
      <c r="A86" s="3" t="s">
        <v>227</v>
      </c>
      <c r="B86" s="3" t="s">
        <v>228</v>
      </c>
      <c r="C86" s="170">
        <f t="shared" si="1"/>
        <v>668</v>
      </c>
      <c r="D86" s="162">
        <v>668</v>
      </c>
      <c r="E86" s="162">
        <v>40939</v>
      </c>
      <c r="F86" s="162">
        <v>40939</v>
      </c>
      <c r="G86" s="162">
        <v>40939</v>
      </c>
    </row>
    <row r="87" spans="1:7">
      <c r="A87" s="3" t="s">
        <v>229</v>
      </c>
      <c r="B87" s="3" t="s">
        <v>230</v>
      </c>
      <c r="C87" s="170">
        <f t="shared" si="1"/>
        <v>233</v>
      </c>
      <c r="D87" s="162">
        <v>233</v>
      </c>
      <c r="E87" s="162">
        <v>57723</v>
      </c>
      <c r="F87" s="162">
        <v>57723</v>
      </c>
      <c r="G87" s="162">
        <v>57723</v>
      </c>
    </row>
    <row r="88" spans="1:7">
      <c r="A88" s="3" t="s">
        <v>231</v>
      </c>
      <c r="B88" s="3" t="s">
        <v>232</v>
      </c>
      <c r="C88" s="170">
        <f t="shared" si="1"/>
        <v>224</v>
      </c>
      <c r="D88" s="162">
        <v>224</v>
      </c>
      <c r="E88" s="162">
        <v>94108</v>
      </c>
      <c r="F88" s="162">
        <v>94108</v>
      </c>
      <c r="G88" s="162">
        <v>94108</v>
      </c>
    </row>
    <row r="89" spans="1:7">
      <c r="A89" s="3" t="s">
        <v>233</v>
      </c>
      <c r="B89" s="3" t="s">
        <v>234</v>
      </c>
      <c r="C89" s="170">
        <f t="shared" si="1"/>
        <v>213</v>
      </c>
      <c r="D89" s="162">
        <v>213</v>
      </c>
      <c r="E89" s="162">
        <v>76668</v>
      </c>
      <c r="F89" s="162">
        <v>76668</v>
      </c>
      <c r="G89" s="162">
        <v>76668</v>
      </c>
    </row>
    <row r="90" spans="1:7">
      <c r="A90" s="3" t="s">
        <v>235</v>
      </c>
      <c r="B90" s="3" t="s">
        <v>236</v>
      </c>
      <c r="C90" s="170">
        <f t="shared" si="1"/>
        <v>202</v>
      </c>
      <c r="D90" s="162">
        <v>202</v>
      </c>
      <c r="E90" s="162">
        <v>74097</v>
      </c>
      <c r="F90" s="162">
        <v>74097</v>
      </c>
      <c r="G90" s="162">
        <v>74097</v>
      </c>
    </row>
    <row r="91" spans="1:7">
      <c r="A91" s="3" t="s">
        <v>237</v>
      </c>
      <c r="B91" s="3" t="s">
        <v>238</v>
      </c>
      <c r="C91" s="170">
        <f t="shared" si="1"/>
        <v>191</v>
      </c>
      <c r="D91" s="162">
        <v>191</v>
      </c>
      <c r="E91" s="162">
        <v>64765</v>
      </c>
      <c r="F91" s="162">
        <v>64765</v>
      </c>
      <c r="G91" s="162">
        <v>64765</v>
      </c>
    </row>
    <row r="92" spans="1:7">
      <c r="A92" s="3" t="s">
        <v>239</v>
      </c>
      <c r="B92" s="3" t="s">
        <v>240</v>
      </c>
      <c r="C92" s="170">
        <f t="shared" si="1"/>
        <v>180</v>
      </c>
      <c r="D92" s="162">
        <v>180</v>
      </c>
      <c r="E92" s="162">
        <v>35588</v>
      </c>
      <c r="F92" s="162">
        <v>35588</v>
      </c>
      <c r="G92" s="162">
        <v>35588</v>
      </c>
    </row>
    <row r="93" spans="1:7">
      <c r="A93" s="3" t="s">
        <v>241</v>
      </c>
      <c r="B93" s="3" t="s">
        <v>242</v>
      </c>
      <c r="C93" s="170">
        <f t="shared" si="1"/>
        <v>169</v>
      </c>
      <c r="D93" s="162">
        <v>169</v>
      </c>
      <c r="E93" s="162">
        <v>68357</v>
      </c>
      <c r="F93" s="162">
        <v>68357</v>
      </c>
      <c r="G93" s="162">
        <v>68357</v>
      </c>
    </row>
    <row r="94" spans="1:7">
      <c r="A94" s="3" t="s">
        <v>243</v>
      </c>
      <c r="B94" s="3" t="s">
        <v>244</v>
      </c>
      <c r="C94" s="170">
        <f t="shared" si="1"/>
        <v>159</v>
      </c>
      <c r="D94" s="162">
        <v>159</v>
      </c>
      <c r="E94" s="162">
        <v>14214</v>
      </c>
      <c r="F94" s="162">
        <v>14214</v>
      </c>
      <c r="G94" s="162">
        <v>14214</v>
      </c>
    </row>
    <row r="95" spans="1:7">
      <c r="A95" s="3" t="s">
        <v>245</v>
      </c>
      <c r="B95" s="3" t="s">
        <v>246</v>
      </c>
      <c r="C95" s="170">
        <f t="shared" si="1"/>
        <v>148</v>
      </c>
      <c r="D95" s="162">
        <v>148</v>
      </c>
      <c r="E95" s="162">
        <v>7906</v>
      </c>
      <c r="F95" s="162">
        <v>7906</v>
      </c>
      <c r="G95" s="162">
        <v>7906</v>
      </c>
    </row>
    <row r="96" spans="1:7">
      <c r="A96" s="3" t="s">
        <v>247</v>
      </c>
      <c r="B96" s="3" t="s">
        <v>248</v>
      </c>
      <c r="C96" s="170">
        <f t="shared" si="1"/>
        <v>137</v>
      </c>
      <c r="D96" s="162">
        <v>137</v>
      </c>
      <c r="E96" s="162">
        <v>64385</v>
      </c>
      <c r="F96" s="162">
        <v>64385</v>
      </c>
      <c r="G96" s="162">
        <v>64385</v>
      </c>
    </row>
    <row r="97" spans="1:7">
      <c r="A97" s="3" t="s">
        <v>249</v>
      </c>
      <c r="B97" s="3" t="s">
        <v>250</v>
      </c>
      <c r="C97" s="170">
        <f t="shared" si="1"/>
        <v>126</v>
      </c>
      <c r="D97" s="162">
        <v>126</v>
      </c>
      <c r="E97" s="162">
        <v>41845</v>
      </c>
      <c r="F97" s="162">
        <v>41845</v>
      </c>
      <c r="G97" s="162">
        <v>41845</v>
      </c>
    </row>
    <row r="98" spans="1:7">
      <c r="A98" s="3" t="s">
        <v>251</v>
      </c>
      <c r="B98" s="3" t="s">
        <v>252</v>
      </c>
      <c r="C98" s="170">
        <f t="shared" si="1"/>
        <v>115</v>
      </c>
      <c r="D98" s="162">
        <v>115</v>
      </c>
      <c r="E98" s="162">
        <v>62767</v>
      </c>
      <c r="F98" s="162">
        <v>62767</v>
      </c>
      <c r="G98" s="162">
        <v>62767</v>
      </c>
    </row>
    <row r="99" spans="1:7">
      <c r="A99" s="3" t="s">
        <v>253</v>
      </c>
      <c r="B99" s="3" t="s">
        <v>254</v>
      </c>
      <c r="C99" s="170">
        <f t="shared" si="1"/>
        <v>104</v>
      </c>
      <c r="D99" s="162">
        <v>104</v>
      </c>
      <c r="E99" s="162">
        <v>86611</v>
      </c>
      <c r="F99" s="162">
        <v>86611</v>
      </c>
      <c r="G99" s="162">
        <v>86611</v>
      </c>
    </row>
    <row r="100" spans="1:7">
      <c r="A100" s="3" t="s">
        <v>255</v>
      </c>
      <c r="B100" s="3" t="s">
        <v>256</v>
      </c>
      <c r="C100" s="170">
        <f t="shared" si="1"/>
        <v>103</v>
      </c>
      <c r="D100" s="162">
        <v>103</v>
      </c>
      <c r="E100" s="162">
        <v>18888</v>
      </c>
      <c r="F100" s="162">
        <v>18888</v>
      </c>
      <c r="G100" s="162">
        <v>18888</v>
      </c>
    </row>
    <row r="101" spans="1:7">
      <c r="A101" s="3" t="s">
        <v>257</v>
      </c>
      <c r="B101" s="3" t="s">
        <v>258</v>
      </c>
      <c r="C101" s="170">
        <f t="shared" si="1"/>
        <v>102</v>
      </c>
      <c r="D101" s="162">
        <v>102</v>
      </c>
      <c r="E101" s="162">
        <v>874</v>
      </c>
      <c r="F101" s="162">
        <v>874</v>
      </c>
      <c r="G101" s="162">
        <v>874</v>
      </c>
    </row>
    <row r="102" spans="1:7">
      <c r="A102" s="3" t="s">
        <v>259</v>
      </c>
      <c r="B102" s="3" t="s">
        <v>260</v>
      </c>
      <c r="C102" s="170">
        <f t="shared" si="1"/>
        <v>102</v>
      </c>
      <c r="D102" s="162">
        <v>102</v>
      </c>
      <c r="E102" s="162">
        <v>731</v>
      </c>
      <c r="F102" s="162">
        <v>731</v>
      </c>
      <c r="G102" s="162">
        <v>731</v>
      </c>
    </row>
    <row r="103" spans="1:7">
      <c r="A103" s="3" t="s">
        <v>261</v>
      </c>
      <c r="B103" s="3" t="s">
        <v>262</v>
      </c>
      <c r="C103" s="170">
        <f t="shared" si="1"/>
        <v>101</v>
      </c>
      <c r="D103" s="162">
        <v>101</v>
      </c>
      <c r="E103" s="162">
        <v>388</v>
      </c>
      <c r="F103" s="162">
        <v>388</v>
      </c>
      <c r="G103" s="162">
        <v>388</v>
      </c>
    </row>
    <row r="104" spans="1:7">
      <c r="A104" s="3" t="s">
        <v>263</v>
      </c>
      <c r="B104" s="3" t="s">
        <v>264</v>
      </c>
      <c r="C104" s="170">
        <f t="shared" si="1"/>
        <v>100</v>
      </c>
      <c r="D104" s="162">
        <v>100</v>
      </c>
      <c r="E104" s="162">
        <v>424</v>
      </c>
      <c r="F104" s="162">
        <v>424</v>
      </c>
      <c r="G104" s="162">
        <v>424</v>
      </c>
    </row>
    <row r="105" spans="1:7">
      <c r="A105" s="3" t="s">
        <v>265</v>
      </c>
      <c r="B105" s="3" t="s">
        <v>266</v>
      </c>
      <c r="C105" s="170">
        <f t="shared" si="1"/>
        <v>997</v>
      </c>
      <c r="D105" s="162">
        <v>997</v>
      </c>
      <c r="E105" s="162">
        <v>721</v>
      </c>
      <c r="F105" s="162">
        <v>721</v>
      </c>
      <c r="G105" s="162">
        <v>721</v>
      </c>
    </row>
    <row r="106" spans="1:7">
      <c r="A106" s="3" t="s">
        <v>267</v>
      </c>
      <c r="B106" s="3" t="s">
        <v>268</v>
      </c>
      <c r="C106" s="170">
        <f t="shared" si="1"/>
        <v>989</v>
      </c>
      <c r="D106" s="162">
        <v>989</v>
      </c>
      <c r="E106" s="162">
        <v>565</v>
      </c>
      <c r="F106" s="162">
        <v>565</v>
      </c>
      <c r="G106" s="162">
        <v>565</v>
      </c>
    </row>
    <row r="107" spans="1:7">
      <c r="A107" s="3" t="s">
        <v>269</v>
      </c>
      <c r="B107" s="3" t="s">
        <v>270</v>
      </c>
      <c r="C107" s="170">
        <f t="shared" si="1"/>
        <v>981</v>
      </c>
      <c r="D107" s="162">
        <v>981</v>
      </c>
      <c r="E107" s="162">
        <v>476</v>
      </c>
      <c r="F107" s="162">
        <v>476</v>
      </c>
      <c r="G107" s="162">
        <v>476</v>
      </c>
    </row>
    <row r="108" spans="1:7">
      <c r="A108" s="3" t="s">
        <v>271</v>
      </c>
      <c r="B108" s="3" t="s">
        <v>272</v>
      </c>
      <c r="C108" s="170">
        <f t="shared" si="1"/>
        <v>973</v>
      </c>
      <c r="D108" s="162">
        <v>973</v>
      </c>
      <c r="E108" s="162">
        <v>162</v>
      </c>
      <c r="F108" s="162">
        <v>162</v>
      </c>
      <c r="G108" s="162">
        <v>162</v>
      </c>
    </row>
    <row r="109" spans="1:7">
      <c r="A109" s="3" t="s">
        <v>273</v>
      </c>
      <c r="B109" s="3" t="s">
        <v>274</v>
      </c>
      <c r="C109" s="170">
        <f t="shared" si="1"/>
        <v>965</v>
      </c>
      <c r="D109" s="162">
        <v>965</v>
      </c>
      <c r="E109" s="162">
        <v>563</v>
      </c>
      <c r="F109" s="162">
        <v>563</v>
      </c>
      <c r="G109" s="162">
        <v>563</v>
      </c>
    </row>
    <row r="110" spans="1:7">
      <c r="A110" s="3" t="s">
        <v>275</v>
      </c>
      <c r="B110" s="3" t="s">
        <v>276</v>
      </c>
      <c r="C110" s="170">
        <f t="shared" si="1"/>
        <v>957</v>
      </c>
      <c r="D110" s="162">
        <v>957</v>
      </c>
      <c r="E110" s="162">
        <v>344</v>
      </c>
      <c r="F110" s="162">
        <v>344</v>
      </c>
      <c r="G110" s="162">
        <v>344</v>
      </c>
    </row>
    <row r="111" spans="1:7">
      <c r="A111" s="3" t="s">
        <v>277</v>
      </c>
      <c r="B111" s="3" t="s">
        <v>278</v>
      </c>
      <c r="C111" s="170">
        <f t="shared" si="1"/>
        <v>949</v>
      </c>
      <c r="D111" s="162">
        <v>949</v>
      </c>
      <c r="E111" s="162">
        <v>349</v>
      </c>
      <c r="F111" s="162">
        <v>349</v>
      </c>
      <c r="G111" s="162">
        <v>349</v>
      </c>
    </row>
    <row r="112" spans="1:7">
      <c r="A112" s="3" t="s">
        <v>279</v>
      </c>
      <c r="B112" s="3" t="s">
        <v>280</v>
      </c>
      <c r="C112" s="170">
        <f t="shared" si="1"/>
        <v>941</v>
      </c>
      <c r="D112" s="162">
        <v>941</v>
      </c>
      <c r="E112" s="162">
        <v>321</v>
      </c>
      <c r="F112" s="162">
        <v>321</v>
      </c>
      <c r="G112" s="162">
        <v>321</v>
      </c>
    </row>
    <row r="113" spans="1:7">
      <c r="A113" s="3" t="s">
        <v>281</v>
      </c>
      <c r="B113" s="3" t="s">
        <v>282</v>
      </c>
      <c r="C113" s="170">
        <f t="shared" si="1"/>
        <v>933</v>
      </c>
      <c r="D113" s="162">
        <v>933</v>
      </c>
      <c r="E113" s="162">
        <v>259</v>
      </c>
      <c r="F113" s="162">
        <v>259</v>
      </c>
      <c r="G113" s="162">
        <v>259</v>
      </c>
    </row>
    <row r="114" spans="1:7">
      <c r="A114" s="3" t="s">
        <v>283</v>
      </c>
      <c r="B114" s="3" t="s">
        <v>284</v>
      </c>
      <c r="C114" s="170">
        <f t="shared" si="1"/>
        <v>925</v>
      </c>
      <c r="D114" s="162">
        <v>925</v>
      </c>
      <c r="E114" s="162">
        <v>166</v>
      </c>
      <c r="F114" s="162">
        <v>166</v>
      </c>
      <c r="G114" s="162">
        <v>166</v>
      </c>
    </row>
    <row r="115" spans="1:7">
      <c r="A115" s="3" t="s">
        <v>285</v>
      </c>
      <c r="B115" s="3" t="s">
        <v>286</v>
      </c>
      <c r="C115" s="170">
        <f t="shared" si="1"/>
        <v>917</v>
      </c>
      <c r="D115" s="162">
        <v>917</v>
      </c>
      <c r="E115" s="162">
        <v>505</v>
      </c>
      <c r="F115" s="162">
        <v>505</v>
      </c>
      <c r="G115" s="162">
        <v>505</v>
      </c>
    </row>
    <row r="116" spans="1:7">
      <c r="A116" s="3" t="s">
        <v>287</v>
      </c>
      <c r="B116" s="3" t="s">
        <v>288</v>
      </c>
      <c r="C116" s="170">
        <f t="shared" si="1"/>
        <v>909</v>
      </c>
      <c r="D116" s="162">
        <v>909</v>
      </c>
      <c r="E116" s="162">
        <v>791</v>
      </c>
      <c r="F116" s="162">
        <v>791</v>
      </c>
      <c r="G116" s="162">
        <v>791</v>
      </c>
    </row>
    <row r="117" spans="1:7">
      <c r="A117" s="3" t="s">
        <v>289</v>
      </c>
      <c r="B117" s="3" t="s">
        <v>290</v>
      </c>
      <c r="C117" s="170">
        <f t="shared" si="1"/>
        <v>901</v>
      </c>
      <c r="D117" s="162">
        <v>901</v>
      </c>
      <c r="E117" s="162">
        <v>334</v>
      </c>
      <c r="F117" s="162">
        <v>334</v>
      </c>
      <c r="G117" s="162">
        <v>334</v>
      </c>
    </row>
    <row r="118" spans="1:7">
      <c r="A118" s="3" t="s">
        <v>291</v>
      </c>
      <c r="B118" s="3" t="s">
        <v>292</v>
      </c>
      <c r="C118" s="170">
        <f t="shared" si="1"/>
        <v>893</v>
      </c>
      <c r="D118" s="162">
        <v>893</v>
      </c>
      <c r="E118" s="162">
        <v>441</v>
      </c>
      <c r="F118" s="162">
        <v>441</v>
      </c>
      <c r="G118" s="162">
        <v>441</v>
      </c>
    </row>
    <row r="119" spans="1:7">
      <c r="A119" s="3" t="s">
        <v>293</v>
      </c>
      <c r="B119" s="3" t="s">
        <v>294</v>
      </c>
      <c r="C119" s="170">
        <f t="shared" si="1"/>
        <v>885</v>
      </c>
      <c r="D119" s="162">
        <v>885</v>
      </c>
      <c r="E119" s="162">
        <v>489</v>
      </c>
      <c r="F119" s="162">
        <v>489</v>
      </c>
      <c r="G119" s="162">
        <v>489</v>
      </c>
    </row>
    <row r="120" spans="1:7">
      <c r="A120" s="3" t="s">
        <v>295</v>
      </c>
      <c r="B120" s="3" t="s">
        <v>296</v>
      </c>
      <c r="C120" s="170">
        <f t="shared" si="1"/>
        <v>877</v>
      </c>
      <c r="D120" s="162">
        <v>877</v>
      </c>
      <c r="E120" s="162">
        <v>984</v>
      </c>
      <c r="F120" s="162">
        <v>984</v>
      </c>
      <c r="G120" s="162">
        <v>984</v>
      </c>
    </row>
    <row r="121" spans="1:7">
      <c r="A121" s="3" t="s">
        <v>297</v>
      </c>
      <c r="B121" s="3" t="s">
        <v>298</v>
      </c>
      <c r="C121" s="170">
        <f t="shared" si="1"/>
        <v>869</v>
      </c>
      <c r="D121" s="162">
        <v>869</v>
      </c>
      <c r="E121" s="162">
        <v>935</v>
      </c>
      <c r="F121" s="162">
        <v>935</v>
      </c>
      <c r="G121" s="162">
        <v>935</v>
      </c>
    </row>
    <row r="122" spans="1:7">
      <c r="A122" s="3" t="s">
        <v>299</v>
      </c>
      <c r="B122" s="3" t="s">
        <v>300</v>
      </c>
      <c r="C122" s="170">
        <f t="shared" si="1"/>
        <v>861</v>
      </c>
      <c r="D122" s="162">
        <v>861</v>
      </c>
      <c r="E122" s="162">
        <v>753</v>
      </c>
      <c r="F122" s="162">
        <v>753</v>
      </c>
      <c r="G122" s="162">
        <v>753</v>
      </c>
    </row>
    <row r="123" spans="1:7">
      <c r="A123" s="3" t="s">
        <v>301</v>
      </c>
      <c r="B123" s="3" t="s">
        <v>302</v>
      </c>
      <c r="C123" s="170">
        <f t="shared" si="1"/>
        <v>853</v>
      </c>
      <c r="D123" s="162">
        <v>853</v>
      </c>
      <c r="E123" s="162">
        <v>977</v>
      </c>
      <c r="F123" s="162">
        <v>977</v>
      </c>
      <c r="G123" s="162">
        <v>977</v>
      </c>
    </row>
    <row r="124" spans="1:7">
      <c r="A124" s="3" t="s">
        <v>303</v>
      </c>
      <c r="B124" s="3" t="s">
        <v>304</v>
      </c>
      <c r="C124" s="170">
        <f t="shared" si="1"/>
        <v>845</v>
      </c>
      <c r="D124" s="162">
        <v>845</v>
      </c>
      <c r="E124" s="162">
        <v>855</v>
      </c>
      <c r="F124" s="162">
        <v>855</v>
      </c>
      <c r="G124" s="162">
        <v>855</v>
      </c>
    </row>
    <row r="125" spans="1:7">
      <c r="A125" s="3" t="s">
        <v>305</v>
      </c>
      <c r="B125" s="3" t="s">
        <v>306</v>
      </c>
      <c r="C125" s="170">
        <f t="shared" si="1"/>
        <v>837</v>
      </c>
      <c r="D125" s="162">
        <v>837</v>
      </c>
      <c r="E125" s="162">
        <v>627</v>
      </c>
      <c r="F125" s="162">
        <v>627</v>
      </c>
      <c r="G125" s="162">
        <v>627</v>
      </c>
    </row>
    <row r="126" spans="1:7">
      <c r="A126" s="3" t="s">
        <v>307</v>
      </c>
      <c r="B126" s="3" t="s">
        <v>308</v>
      </c>
      <c r="C126" s="170">
        <f t="shared" si="1"/>
        <v>829</v>
      </c>
      <c r="D126" s="162">
        <v>829</v>
      </c>
      <c r="E126" s="162">
        <v>767</v>
      </c>
      <c r="F126" s="162">
        <v>767</v>
      </c>
      <c r="G126" s="162">
        <v>767</v>
      </c>
    </row>
    <row r="127" spans="1:7">
      <c r="A127" s="3" t="s">
        <v>309</v>
      </c>
      <c r="B127" s="3" t="s">
        <v>310</v>
      </c>
      <c r="C127" s="170">
        <f t="shared" si="1"/>
        <v>732</v>
      </c>
      <c r="D127" s="162">
        <v>732</v>
      </c>
      <c r="E127" s="162">
        <v>977</v>
      </c>
      <c r="F127" s="162">
        <v>977</v>
      </c>
      <c r="G127" s="162">
        <v>977</v>
      </c>
    </row>
    <row r="128" spans="1:7">
      <c r="A128" s="3" t="s">
        <v>311</v>
      </c>
      <c r="B128" s="3" t="s">
        <v>312</v>
      </c>
      <c r="C128" s="170">
        <f t="shared" si="1"/>
        <v>666</v>
      </c>
      <c r="D128" s="162">
        <v>666</v>
      </c>
      <c r="E128" s="162">
        <v>772</v>
      </c>
      <c r="F128" s="162">
        <v>772</v>
      </c>
      <c r="G128" s="162">
        <v>772</v>
      </c>
    </row>
    <row r="129" spans="1:7">
      <c r="A129" s="3" t="s">
        <v>313</v>
      </c>
      <c r="B129" s="3" t="s">
        <v>314</v>
      </c>
      <c r="C129" s="170">
        <f t="shared" si="1"/>
        <v>600</v>
      </c>
      <c r="D129" s="162">
        <v>600</v>
      </c>
      <c r="E129" s="162">
        <v>199</v>
      </c>
      <c r="F129" s="162">
        <v>199</v>
      </c>
      <c r="G129" s="162">
        <v>199</v>
      </c>
    </row>
    <row r="130" spans="1:7">
      <c r="A130" s="3" t="s">
        <v>315</v>
      </c>
      <c r="B130" s="3" t="s">
        <v>316</v>
      </c>
      <c r="C130" s="170">
        <f t="shared" si="1"/>
        <v>534</v>
      </c>
      <c r="D130" s="162">
        <v>534</v>
      </c>
      <c r="E130" s="162">
        <v>132</v>
      </c>
      <c r="F130" s="162">
        <v>132</v>
      </c>
      <c r="G130" s="162">
        <v>132</v>
      </c>
    </row>
    <row r="131" spans="1:7">
      <c r="A131" s="3" t="s">
        <v>317</v>
      </c>
      <c r="B131" s="3" t="s">
        <v>318</v>
      </c>
      <c r="C131" s="170">
        <f t="shared" ref="C131:C194" si="2">D131</f>
        <v>468</v>
      </c>
      <c r="D131" s="162">
        <v>468</v>
      </c>
      <c r="E131" s="162">
        <v>294</v>
      </c>
      <c r="F131" s="162">
        <v>294</v>
      </c>
      <c r="G131" s="162">
        <v>294</v>
      </c>
    </row>
    <row r="132" spans="1:7">
      <c r="A132" s="3" t="s">
        <v>319</v>
      </c>
      <c r="B132" s="3" t="s">
        <v>320</v>
      </c>
      <c r="C132" s="170">
        <f t="shared" si="2"/>
        <v>402</v>
      </c>
      <c r="D132" s="162">
        <v>402</v>
      </c>
      <c r="E132" s="162">
        <v>490</v>
      </c>
      <c r="F132" s="162">
        <v>490</v>
      </c>
      <c r="G132" s="162">
        <v>490</v>
      </c>
    </row>
    <row r="133" spans="1:7">
      <c r="A133" s="3" t="s">
        <v>321</v>
      </c>
      <c r="B133" s="3" t="s">
        <v>322</v>
      </c>
      <c r="C133" s="170">
        <f t="shared" si="2"/>
        <v>336</v>
      </c>
      <c r="D133" s="162">
        <v>336</v>
      </c>
      <c r="E133" s="162">
        <v>585</v>
      </c>
      <c r="F133" s="162">
        <v>585</v>
      </c>
      <c r="G133" s="162">
        <v>585</v>
      </c>
    </row>
    <row r="134" spans="1:7">
      <c r="A134" s="3" t="s">
        <v>323</v>
      </c>
      <c r="B134" s="3" t="s">
        <v>324</v>
      </c>
      <c r="C134" s="170">
        <f t="shared" si="2"/>
        <v>270</v>
      </c>
      <c r="D134" s="162">
        <v>270</v>
      </c>
      <c r="E134" s="162">
        <v>104</v>
      </c>
      <c r="F134" s="162">
        <v>104</v>
      </c>
      <c r="G134" s="162">
        <v>104</v>
      </c>
    </row>
    <row r="135" spans="1:7">
      <c r="A135" s="3" t="s">
        <v>325</v>
      </c>
      <c r="B135" s="3" t="s">
        <v>326</v>
      </c>
      <c r="C135" s="170">
        <f t="shared" si="2"/>
        <v>204</v>
      </c>
      <c r="D135" s="162">
        <v>204</v>
      </c>
      <c r="E135" s="162">
        <v>319</v>
      </c>
      <c r="F135" s="162">
        <v>319</v>
      </c>
      <c r="G135" s="162">
        <v>319</v>
      </c>
    </row>
    <row r="136" spans="1:7">
      <c r="A136" s="3" t="s">
        <v>327</v>
      </c>
      <c r="B136" s="3" t="s">
        <v>328</v>
      </c>
      <c r="C136" s="170">
        <f t="shared" si="2"/>
        <v>203</v>
      </c>
      <c r="D136" s="162">
        <v>203</v>
      </c>
      <c r="E136" s="162">
        <v>224</v>
      </c>
      <c r="F136" s="162">
        <v>224</v>
      </c>
      <c r="G136" s="162">
        <v>224</v>
      </c>
    </row>
    <row r="137" spans="1:7">
      <c r="A137" s="3" t="s">
        <v>329</v>
      </c>
      <c r="B137" s="3" t="s">
        <v>330</v>
      </c>
      <c r="C137" s="170">
        <f t="shared" si="2"/>
        <v>202</v>
      </c>
      <c r="D137" s="162">
        <v>202</v>
      </c>
      <c r="E137" s="162">
        <v>964</v>
      </c>
      <c r="F137" s="162">
        <v>964</v>
      </c>
      <c r="G137" s="162">
        <v>964</v>
      </c>
    </row>
    <row r="138" spans="1:7">
      <c r="A138" s="3" t="s">
        <v>331</v>
      </c>
      <c r="B138" s="3" t="s">
        <v>332</v>
      </c>
      <c r="C138" s="170">
        <f t="shared" si="2"/>
        <v>201</v>
      </c>
      <c r="D138" s="162">
        <v>201</v>
      </c>
      <c r="E138" s="162">
        <v>781</v>
      </c>
      <c r="F138" s="162">
        <v>781</v>
      </c>
      <c r="G138" s="162">
        <v>781</v>
      </c>
    </row>
    <row r="139" spans="1:7">
      <c r="A139" s="3" t="s">
        <v>333</v>
      </c>
      <c r="B139" s="3" t="s">
        <v>334</v>
      </c>
      <c r="C139" s="170">
        <f t="shared" si="2"/>
        <v>200</v>
      </c>
      <c r="D139" s="162">
        <v>200</v>
      </c>
      <c r="E139" s="162">
        <v>534</v>
      </c>
      <c r="F139" s="162">
        <v>534</v>
      </c>
      <c r="G139" s="162">
        <v>534</v>
      </c>
    </row>
    <row r="140" spans="1:7">
      <c r="A140" s="3" t="s">
        <v>335</v>
      </c>
      <c r="B140" s="3" t="s">
        <v>336</v>
      </c>
      <c r="C140" s="170">
        <f t="shared" si="2"/>
        <v>199</v>
      </c>
      <c r="D140" s="162">
        <v>199</v>
      </c>
      <c r="E140" s="162">
        <v>1000</v>
      </c>
      <c r="F140" s="162">
        <v>1000</v>
      </c>
      <c r="G140" s="162">
        <v>1000</v>
      </c>
    </row>
    <row r="141" spans="1:7">
      <c r="A141" s="3" t="s">
        <v>337</v>
      </c>
      <c r="B141" s="3" t="s">
        <v>338</v>
      </c>
      <c r="C141" s="170">
        <f t="shared" si="2"/>
        <v>198</v>
      </c>
      <c r="D141" s="162">
        <v>198</v>
      </c>
      <c r="E141" s="162">
        <v>929</v>
      </c>
      <c r="F141" s="162">
        <v>929</v>
      </c>
      <c r="G141" s="162">
        <v>929</v>
      </c>
    </row>
    <row r="142" spans="1:7">
      <c r="A142" s="3" t="s">
        <v>339</v>
      </c>
      <c r="B142" s="3" t="s">
        <v>340</v>
      </c>
      <c r="C142" s="170">
        <f t="shared" si="2"/>
        <v>197</v>
      </c>
      <c r="D142" s="162">
        <v>197</v>
      </c>
      <c r="E142" s="162">
        <v>554</v>
      </c>
      <c r="F142" s="162">
        <v>554</v>
      </c>
      <c r="G142" s="162">
        <v>554</v>
      </c>
    </row>
    <row r="143" spans="1:7">
      <c r="A143" s="3" t="s">
        <v>341</v>
      </c>
      <c r="B143" s="3" t="s">
        <v>342</v>
      </c>
      <c r="C143" s="170">
        <f t="shared" si="2"/>
        <v>196</v>
      </c>
      <c r="D143" s="162">
        <v>196</v>
      </c>
      <c r="E143" s="162">
        <v>242</v>
      </c>
      <c r="F143" s="162">
        <v>242</v>
      </c>
      <c r="G143" s="162">
        <v>242</v>
      </c>
    </row>
    <row r="144" spans="1:7">
      <c r="A144" s="3" t="s">
        <v>343</v>
      </c>
      <c r="B144" s="3" t="s">
        <v>344</v>
      </c>
      <c r="C144" s="170">
        <f t="shared" si="2"/>
        <v>195</v>
      </c>
      <c r="D144" s="162">
        <v>195</v>
      </c>
      <c r="E144" s="162">
        <v>607</v>
      </c>
      <c r="F144" s="162">
        <v>607</v>
      </c>
      <c r="G144" s="162">
        <v>607</v>
      </c>
    </row>
    <row r="145" spans="1:7">
      <c r="A145" s="3" t="s">
        <v>345</v>
      </c>
      <c r="B145" s="3" t="s">
        <v>346</v>
      </c>
      <c r="C145" s="170">
        <f t="shared" si="2"/>
        <v>194</v>
      </c>
      <c r="D145" s="162">
        <v>194</v>
      </c>
      <c r="E145" s="162">
        <v>341</v>
      </c>
      <c r="F145" s="162">
        <v>341</v>
      </c>
      <c r="G145" s="162">
        <v>341</v>
      </c>
    </row>
    <row r="146" spans="1:7">
      <c r="A146" s="3" t="s">
        <v>347</v>
      </c>
      <c r="B146" s="3" t="s">
        <v>348</v>
      </c>
      <c r="C146" s="170">
        <f t="shared" si="2"/>
        <v>193</v>
      </c>
      <c r="D146" s="162">
        <v>193</v>
      </c>
      <c r="E146" s="162">
        <v>453</v>
      </c>
      <c r="F146" s="162">
        <v>453</v>
      </c>
      <c r="G146" s="162">
        <v>453</v>
      </c>
    </row>
    <row r="147" spans="1:7">
      <c r="A147" s="3" t="s">
        <v>349</v>
      </c>
      <c r="B147" s="3" t="s">
        <v>350</v>
      </c>
      <c r="C147" s="170">
        <f t="shared" si="2"/>
        <v>192</v>
      </c>
      <c r="D147" s="162">
        <v>192</v>
      </c>
      <c r="E147" s="162">
        <v>992</v>
      </c>
      <c r="F147" s="162">
        <v>992</v>
      </c>
      <c r="G147" s="162">
        <v>992</v>
      </c>
    </row>
    <row r="148" spans="1:7">
      <c r="A148" s="3" t="s">
        <v>351</v>
      </c>
      <c r="B148" s="3" t="s">
        <v>352</v>
      </c>
      <c r="C148" s="170">
        <f t="shared" si="2"/>
        <v>191</v>
      </c>
      <c r="D148" s="162">
        <v>191</v>
      </c>
      <c r="E148" s="162">
        <v>895</v>
      </c>
      <c r="F148" s="162">
        <v>895</v>
      </c>
      <c r="G148" s="162">
        <v>895</v>
      </c>
    </row>
    <row r="149" spans="1:7">
      <c r="A149" s="3" t="s">
        <v>353</v>
      </c>
      <c r="B149" s="3" t="s">
        <v>354</v>
      </c>
      <c r="C149" s="170">
        <f t="shared" si="2"/>
        <v>190</v>
      </c>
      <c r="D149" s="162">
        <v>190</v>
      </c>
      <c r="E149" s="162">
        <v>395</v>
      </c>
      <c r="F149" s="162">
        <v>395</v>
      </c>
      <c r="G149" s="162">
        <v>395</v>
      </c>
    </row>
    <row r="150" spans="1:7">
      <c r="A150" s="3" t="s">
        <v>355</v>
      </c>
      <c r="B150" s="3" t="s">
        <v>356</v>
      </c>
      <c r="C150" s="170">
        <f t="shared" si="2"/>
        <v>189</v>
      </c>
      <c r="D150" s="162">
        <v>189</v>
      </c>
      <c r="E150" s="162">
        <v>367</v>
      </c>
      <c r="F150" s="162">
        <v>367</v>
      </c>
      <c r="G150" s="162">
        <v>367</v>
      </c>
    </row>
    <row r="151" spans="1:7">
      <c r="A151" s="3" t="s">
        <v>357</v>
      </c>
      <c r="B151" s="3" t="s">
        <v>358</v>
      </c>
      <c r="C151" s="170">
        <f t="shared" si="2"/>
        <v>188</v>
      </c>
      <c r="D151" s="162">
        <v>188</v>
      </c>
      <c r="E151" s="162">
        <v>445</v>
      </c>
      <c r="F151" s="162">
        <v>445</v>
      </c>
      <c r="G151" s="162">
        <v>445</v>
      </c>
    </row>
    <row r="152" spans="1:7">
      <c r="A152" s="3" t="s">
        <v>359</v>
      </c>
      <c r="B152" s="3" t="s">
        <v>360</v>
      </c>
      <c r="C152" s="170">
        <f t="shared" si="2"/>
        <v>187</v>
      </c>
      <c r="D152" s="162">
        <v>187</v>
      </c>
      <c r="E152" s="162">
        <v>253</v>
      </c>
      <c r="F152" s="162">
        <v>253</v>
      </c>
      <c r="G152" s="162">
        <v>253</v>
      </c>
    </row>
    <row r="153" spans="1:7">
      <c r="A153" s="3" t="s">
        <v>361</v>
      </c>
      <c r="B153" s="3" t="s">
        <v>362</v>
      </c>
      <c r="C153" s="170">
        <f t="shared" si="2"/>
        <v>186</v>
      </c>
      <c r="D153" s="162">
        <v>186</v>
      </c>
      <c r="E153" s="162">
        <v>278</v>
      </c>
      <c r="F153" s="162">
        <v>278</v>
      </c>
      <c r="G153" s="162">
        <v>278</v>
      </c>
    </row>
    <row r="154" spans="1:7">
      <c r="A154" s="3" t="s">
        <v>363</v>
      </c>
      <c r="B154" s="3" t="s">
        <v>364</v>
      </c>
      <c r="C154" s="170">
        <f t="shared" si="2"/>
        <v>185</v>
      </c>
      <c r="D154" s="162">
        <v>185</v>
      </c>
      <c r="E154" s="162">
        <v>802</v>
      </c>
      <c r="F154" s="162">
        <v>802</v>
      </c>
      <c r="G154" s="162">
        <v>802</v>
      </c>
    </row>
    <row r="155" spans="1:7">
      <c r="A155" s="3" t="s">
        <v>365</v>
      </c>
      <c r="B155" s="3" t="s">
        <v>366</v>
      </c>
      <c r="C155" s="170">
        <f t="shared" si="2"/>
        <v>184</v>
      </c>
      <c r="D155" s="162">
        <v>184</v>
      </c>
      <c r="E155" s="162">
        <v>723</v>
      </c>
      <c r="F155" s="162">
        <v>723</v>
      </c>
      <c r="G155" s="162">
        <v>723</v>
      </c>
    </row>
    <row r="156" spans="1:7">
      <c r="A156" s="3" t="s">
        <v>367</v>
      </c>
      <c r="B156" s="3" t="s">
        <v>368</v>
      </c>
      <c r="C156" s="170">
        <f t="shared" si="2"/>
        <v>183</v>
      </c>
      <c r="D156" s="162">
        <v>183</v>
      </c>
      <c r="E156" s="162">
        <v>426</v>
      </c>
      <c r="F156" s="162">
        <v>426</v>
      </c>
      <c r="G156" s="162">
        <v>426</v>
      </c>
    </row>
    <row r="157" spans="1:7">
      <c r="A157" s="3" t="s">
        <v>369</v>
      </c>
      <c r="B157" s="3" t="s">
        <v>370</v>
      </c>
      <c r="C157" s="170">
        <f t="shared" si="2"/>
        <v>182</v>
      </c>
      <c r="D157" s="162">
        <v>182</v>
      </c>
      <c r="E157" s="162">
        <v>243</v>
      </c>
      <c r="F157" s="162">
        <v>243</v>
      </c>
      <c r="G157" s="162">
        <v>243</v>
      </c>
    </row>
    <row r="158" spans="1:7">
      <c r="A158" s="3" t="s">
        <v>371</v>
      </c>
      <c r="B158" s="3" t="s">
        <v>372</v>
      </c>
      <c r="C158" s="170">
        <f t="shared" si="2"/>
        <v>181</v>
      </c>
      <c r="D158" s="162">
        <v>181</v>
      </c>
      <c r="E158" s="162">
        <v>303</v>
      </c>
      <c r="F158" s="162">
        <v>303</v>
      </c>
      <c r="G158" s="162">
        <v>303</v>
      </c>
    </row>
    <row r="159" spans="1:7">
      <c r="A159" s="3" t="s">
        <v>373</v>
      </c>
      <c r="B159" s="3" t="s">
        <v>374</v>
      </c>
      <c r="C159" s="170">
        <f t="shared" si="2"/>
        <v>180</v>
      </c>
      <c r="D159" s="162">
        <v>180</v>
      </c>
      <c r="E159" s="162">
        <v>184</v>
      </c>
      <c r="F159" s="162">
        <v>184</v>
      </c>
      <c r="G159" s="162">
        <v>184</v>
      </c>
    </row>
    <row r="160" spans="1:7">
      <c r="A160" s="3" t="s">
        <v>375</v>
      </c>
      <c r="B160" s="3" t="s">
        <v>376</v>
      </c>
      <c r="C160" s="170">
        <f t="shared" si="2"/>
        <v>179</v>
      </c>
      <c r="D160" s="162">
        <v>179</v>
      </c>
      <c r="E160" s="162">
        <v>840</v>
      </c>
      <c r="F160" s="162">
        <v>840</v>
      </c>
      <c r="G160" s="162">
        <v>840</v>
      </c>
    </row>
    <row r="161" spans="1:7">
      <c r="A161" s="3" t="s">
        <v>377</v>
      </c>
      <c r="B161" s="3" t="s">
        <v>378</v>
      </c>
      <c r="C161" s="170">
        <f t="shared" si="2"/>
        <v>178</v>
      </c>
      <c r="D161" s="162">
        <v>178</v>
      </c>
      <c r="E161" s="162">
        <v>822</v>
      </c>
      <c r="F161" s="162">
        <v>822</v>
      </c>
      <c r="G161" s="162">
        <v>822</v>
      </c>
    </row>
    <row r="162" spans="1:7">
      <c r="A162" s="3" t="s">
        <v>379</v>
      </c>
      <c r="B162" s="3" t="s">
        <v>380</v>
      </c>
      <c r="C162" s="170">
        <f t="shared" si="2"/>
        <v>177</v>
      </c>
      <c r="D162" s="162">
        <v>177</v>
      </c>
      <c r="E162" s="162">
        <v>233</v>
      </c>
      <c r="F162" s="162">
        <v>233</v>
      </c>
      <c r="G162" s="162">
        <v>233</v>
      </c>
    </row>
    <row r="163" spans="1:7">
      <c r="A163" s="3" t="s">
        <v>381</v>
      </c>
      <c r="B163" s="3" t="s">
        <v>382</v>
      </c>
      <c r="C163" s="170">
        <f t="shared" si="2"/>
        <v>176</v>
      </c>
      <c r="D163" s="162">
        <v>176</v>
      </c>
      <c r="E163" s="162">
        <v>813</v>
      </c>
      <c r="F163" s="162">
        <v>813</v>
      </c>
      <c r="G163" s="162">
        <v>813</v>
      </c>
    </row>
    <row r="164" spans="1:7">
      <c r="A164" s="3" t="s">
        <v>383</v>
      </c>
      <c r="B164" s="3" t="s">
        <v>384</v>
      </c>
      <c r="C164" s="170">
        <f t="shared" si="2"/>
        <v>175</v>
      </c>
      <c r="D164" s="162">
        <v>175</v>
      </c>
      <c r="E164" s="162">
        <v>730</v>
      </c>
      <c r="F164" s="162">
        <v>730</v>
      </c>
      <c r="G164" s="162">
        <v>730</v>
      </c>
    </row>
    <row r="165" spans="1:7">
      <c r="A165" s="3" t="s">
        <v>385</v>
      </c>
      <c r="B165" s="3" t="s">
        <v>386</v>
      </c>
      <c r="C165" s="170">
        <f t="shared" si="2"/>
        <v>174</v>
      </c>
      <c r="D165" s="162">
        <v>174</v>
      </c>
      <c r="E165" s="162">
        <v>970</v>
      </c>
      <c r="F165" s="162">
        <v>970</v>
      </c>
      <c r="G165" s="162">
        <v>970</v>
      </c>
    </row>
    <row r="166" spans="1:7">
      <c r="A166" s="3" t="s">
        <v>387</v>
      </c>
      <c r="B166" s="3" t="s">
        <v>388</v>
      </c>
      <c r="C166" s="170">
        <f t="shared" si="2"/>
        <v>173</v>
      </c>
      <c r="D166" s="162">
        <v>173</v>
      </c>
      <c r="E166" s="162">
        <v>356</v>
      </c>
      <c r="F166" s="162">
        <v>356</v>
      </c>
      <c r="G166" s="162">
        <v>356</v>
      </c>
    </row>
    <row r="167" spans="1:7">
      <c r="A167" s="3" t="s">
        <v>389</v>
      </c>
      <c r="B167" s="3" t="s">
        <v>390</v>
      </c>
      <c r="C167" s="170">
        <f t="shared" si="2"/>
        <v>172</v>
      </c>
      <c r="D167" s="162">
        <v>172</v>
      </c>
      <c r="E167" s="162">
        <v>345</v>
      </c>
      <c r="F167" s="162">
        <v>345</v>
      </c>
      <c r="G167" s="162">
        <v>345</v>
      </c>
    </row>
    <row r="168" spans="1:7">
      <c r="A168" s="3" t="s">
        <v>391</v>
      </c>
      <c r="B168" s="3" t="s">
        <v>392</v>
      </c>
      <c r="C168" s="170">
        <f t="shared" si="2"/>
        <v>171</v>
      </c>
      <c r="D168" s="162">
        <v>171</v>
      </c>
      <c r="E168" s="162">
        <v>570</v>
      </c>
      <c r="F168" s="162">
        <v>570</v>
      </c>
      <c r="G168" s="162">
        <v>570</v>
      </c>
    </row>
    <row r="169" spans="1:7">
      <c r="A169" s="3" t="s">
        <v>393</v>
      </c>
      <c r="B169" s="3" t="s">
        <v>394</v>
      </c>
      <c r="C169" s="170">
        <f t="shared" si="2"/>
        <v>170</v>
      </c>
      <c r="D169" s="162">
        <v>170</v>
      </c>
      <c r="E169" s="162">
        <v>950</v>
      </c>
      <c r="F169" s="162">
        <v>950</v>
      </c>
      <c r="G169" s="162">
        <v>950</v>
      </c>
    </row>
    <row r="170" spans="1:7">
      <c r="A170" s="3" t="s">
        <v>395</v>
      </c>
      <c r="B170" s="3" t="s">
        <v>396</v>
      </c>
      <c r="C170" s="170">
        <f t="shared" si="2"/>
        <v>169</v>
      </c>
      <c r="D170" s="162">
        <v>169</v>
      </c>
      <c r="E170" s="162">
        <v>210</v>
      </c>
      <c r="F170" s="162">
        <v>210</v>
      </c>
      <c r="G170" s="162">
        <v>210</v>
      </c>
    </row>
    <row r="171" spans="1:7">
      <c r="A171" s="3" t="s">
        <v>397</v>
      </c>
      <c r="B171" s="3" t="s">
        <v>398</v>
      </c>
      <c r="C171" s="170">
        <f t="shared" si="2"/>
        <v>168</v>
      </c>
      <c r="D171" s="162">
        <v>168</v>
      </c>
      <c r="E171" s="162">
        <v>253</v>
      </c>
      <c r="F171" s="162">
        <v>253</v>
      </c>
      <c r="G171" s="162">
        <v>253</v>
      </c>
    </row>
    <row r="172" spans="1:7">
      <c r="A172" s="3" t="s">
        <v>399</v>
      </c>
      <c r="B172" s="3" t="s">
        <v>400</v>
      </c>
      <c r="C172" s="170">
        <f t="shared" si="2"/>
        <v>167</v>
      </c>
      <c r="D172" s="162">
        <v>167</v>
      </c>
      <c r="E172" s="162">
        <v>232</v>
      </c>
      <c r="F172" s="162">
        <v>232</v>
      </c>
      <c r="G172" s="162">
        <v>232</v>
      </c>
    </row>
    <row r="173" spans="1:7">
      <c r="A173" s="3" t="s">
        <v>401</v>
      </c>
      <c r="B173" s="3" t="s">
        <v>402</v>
      </c>
      <c r="C173" s="170">
        <f t="shared" si="2"/>
        <v>166</v>
      </c>
      <c r="D173" s="162">
        <v>166</v>
      </c>
      <c r="E173" s="162">
        <v>866</v>
      </c>
      <c r="F173" s="162">
        <v>866</v>
      </c>
      <c r="G173" s="162">
        <v>866</v>
      </c>
    </row>
    <row r="174" spans="1:7">
      <c r="A174" s="3" t="s">
        <v>403</v>
      </c>
      <c r="B174" s="3" t="s">
        <v>404</v>
      </c>
      <c r="C174" s="170">
        <f t="shared" si="2"/>
        <v>165</v>
      </c>
      <c r="D174" s="162">
        <v>165</v>
      </c>
      <c r="E174" s="162">
        <v>681</v>
      </c>
      <c r="F174" s="162">
        <v>681</v>
      </c>
      <c r="G174" s="162">
        <v>681</v>
      </c>
    </row>
    <row r="175" spans="1:7">
      <c r="A175" s="3" t="s">
        <v>405</v>
      </c>
      <c r="B175" s="3" t="s">
        <v>406</v>
      </c>
      <c r="C175" s="170">
        <f t="shared" si="2"/>
        <v>164</v>
      </c>
      <c r="D175" s="162">
        <v>164</v>
      </c>
      <c r="E175" s="162">
        <v>420</v>
      </c>
      <c r="F175" s="162">
        <v>420</v>
      </c>
      <c r="G175" s="162">
        <v>420</v>
      </c>
    </row>
    <row r="176" spans="1:7">
      <c r="A176" s="3" t="s">
        <v>407</v>
      </c>
      <c r="B176" s="3" t="s">
        <v>408</v>
      </c>
      <c r="C176" s="170">
        <f t="shared" si="2"/>
        <v>163</v>
      </c>
      <c r="D176" s="162">
        <v>163</v>
      </c>
      <c r="E176" s="162">
        <v>707</v>
      </c>
      <c r="F176" s="162">
        <v>707</v>
      </c>
      <c r="G176" s="162">
        <v>707</v>
      </c>
    </row>
    <row r="177" spans="1:7">
      <c r="A177" s="3" t="s">
        <v>409</v>
      </c>
      <c r="B177" s="3" t="s">
        <v>410</v>
      </c>
      <c r="C177" s="170">
        <f t="shared" si="2"/>
        <v>162</v>
      </c>
      <c r="D177" s="162">
        <v>162</v>
      </c>
      <c r="E177" s="162">
        <v>286</v>
      </c>
      <c r="F177" s="162">
        <v>286</v>
      </c>
      <c r="G177" s="162">
        <v>286</v>
      </c>
    </row>
    <row r="178" spans="1:7">
      <c r="A178" s="3" t="s">
        <v>411</v>
      </c>
      <c r="B178" s="3" t="s">
        <v>412</v>
      </c>
      <c r="C178" s="170">
        <f t="shared" si="2"/>
        <v>161</v>
      </c>
      <c r="D178" s="162">
        <v>161</v>
      </c>
      <c r="E178" s="162">
        <v>388</v>
      </c>
      <c r="F178" s="162">
        <v>388</v>
      </c>
      <c r="G178" s="162">
        <v>388</v>
      </c>
    </row>
    <row r="179" spans="1:7">
      <c r="A179" s="3" t="s">
        <v>413</v>
      </c>
      <c r="B179" s="3" t="s">
        <v>414</v>
      </c>
      <c r="C179" s="170">
        <f t="shared" si="2"/>
        <v>160</v>
      </c>
      <c r="D179" s="162">
        <v>160</v>
      </c>
      <c r="E179" s="162">
        <v>759</v>
      </c>
      <c r="F179" s="162">
        <v>759</v>
      </c>
      <c r="G179" s="162">
        <v>759</v>
      </c>
    </row>
    <row r="180" spans="1:7">
      <c r="A180" s="3" t="s">
        <v>415</v>
      </c>
      <c r="B180" s="3" t="s">
        <v>416</v>
      </c>
      <c r="C180" s="170">
        <f t="shared" si="2"/>
        <v>159</v>
      </c>
      <c r="D180" s="162">
        <v>159</v>
      </c>
      <c r="E180" s="162">
        <v>464</v>
      </c>
      <c r="F180" s="162">
        <v>464</v>
      </c>
      <c r="G180" s="162">
        <v>464</v>
      </c>
    </row>
    <row r="181" spans="1:7">
      <c r="A181" s="3" t="s">
        <v>417</v>
      </c>
      <c r="B181" s="3" t="s">
        <v>418</v>
      </c>
      <c r="C181" s="170">
        <f t="shared" si="2"/>
        <v>158</v>
      </c>
      <c r="D181" s="162">
        <v>158</v>
      </c>
      <c r="E181" s="162">
        <v>445</v>
      </c>
      <c r="F181" s="162">
        <v>445</v>
      </c>
      <c r="G181" s="162">
        <v>445</v>
      </c>
    </row>
    <row r="182" spans="1:7">
      <c r="A182" s="3" t="s">
        <v>419</v>
      </c>
      <c r="B182" s="3" t="s">
        <v>420</v>
      </c>
      <c r="C182" s="170">
        <f t="shared" si="2"/>
        <v>157</v>
      </c>
      <c r="D182" s="162">
        <v>157</v>
      </c>
      <c r="E182" s="162">
        <v>253</v>
      </c>
      <c r="F182" s="162">
        <v>253</v>
      </c>
      <c r="G182" s="162">
        <v>253</v>
      </c>
    </row>
    <row r="183" spans="1:7">
      <c r="A183" s="3" t="s">
        <v>421</v>
      </c>
      <c r="B183" s="3" t="s">
        <v>422</v>
      </c>
      <c r="C183" s="170">
        <f t="shared" si="2"/>
        <v>156</v>
      </c>
      <c r="D183" s="162">
        <v>156</v>
      </c>
      <c r="E183" s="162">
        <v>198</v>
      </c>
      <c r="F183" s="162">
        <v>198</v>
      </c>
      <c r="G183" s="162">
        <v>198</v>
      </c>
    </row>
    <row r="184" spans="1:7">
      <c r="A184" s="3" t="s">
        <v>423</v>
      </c>
      <c r="B184" s="3" t="s">
        <v>424</v>
      </c>
      <c r="C184" s="170">
        <f t="shared" si="2"/>
        <v>155</v>
      </c>
      <c r="D184" s="162">
        <v>155</v>
      </c>
      <c r="E184" s="162">
        <v>472</v>
      </c>
      <c r="F184" s="162">
        <v>472</v>
      </c>
      <c r="G184" s="162">
        <v>472</v>
      </c>
    </row>
    <row r="185" spans="1:7">
      <c r="A185" s="3" t="s">
        <v>425</v>
      </c>
      <c r="B185" s="3" t="s">
        <v>426</v>
      </c>
      <c r="C185" s="170">
        <f t="shared" si="2"/>
        <v>154</v>
      </c>
      <c r="D185" s="162">
        <v>154</v>
      </c>
      <c r="E185" s="162">
        <v>889</v>
      </c>
      <c r="F185" s="162">
        <v>889</v>
      </c>
      <c r="G185" s="162">
        <v>889</v>
      </c>
    </row>
    <row r="186" spans="1:7">
      <c r="A186" s="3" t="s">
        <v>427</v>
      </c>
      <c r="B186" s="3" t="s">
        <v>428</v>
      </c>
      <c r="C186" s="170">
        <f t="shared" si="2"/>
        <v>153</v>
      </c>
      <c r="D186" s="162">
        <v>153</v>
      </c>
      <c r="E186" s="162">
        <v>773</v>
      </c>
      <c r="F186" s="162">
        <v>773</v>
      </c>
      <c r="G186" s="162">
        <v>773</v>
      </c>
    </row>
    <row r="187" spans="1:7">
      <c r="A187" s="3" t="s">
        <v>429</v>
      </c>
      <c r="B187" s="3" t="s">
        <v>430</v>
      </c>
      <c r="C187" s="170">
        <f t="shared" si="2"/>
        <v>152</v>
      </c>
      <c r="D187" s="162">
        <v>152</v>
      </c>
      <c r="E187" s="162">
        <v>748</v>
      </c>
      <c r="F187" s="162">
        <v>748</v>
      </c>
      <c r="G187" s="162">
        <v>748</v>
      </c>
    </row>
    <row r="188" spans="1:7">
      <c r="A188" s="3" t="s">
        <v>431</v>
      </c>
      <c r="B188" s="3" t="s">
        <v>432</v>
      </c>
      <c r="C188" s="170">
        <f t="shared" si="2"/>
        <v>151</v>
      </c>
      <c r="D188" s="162">
        <v>151</v>
      </c>
      <c r="E188" s="162">
        <v>309</v>
      </c>
      <c r="F188" s="162">
        <v>309</v>
      </c>
      <c r="G188" s="162">
        <v>309</v>
      </c>
    </row>
    <row r="189" spans="1:7">
      <c r="A189" s="3" t="s">
        <v>433</v>
      </c>
      <c r="B189" s="3" t="s">
        <v>434</v>
      </c>
      <c r="C189" s="170">
        <f t="shared" si="2"/>
        <v>150</v>
      </c>
      <c r="D189" s="162">
        <v>150</v>
      </c>
      <c r="E189" s="162">
        <v>110</v>
      </c>
      <c r="F189" s="162">
        <v>110</v>
      </c>
      <c r="G189" s="162">
        <v>110</v>
      </c>
    </row>
    <row r="190" spans="1:7">
      <c r="A190" s="3" t="s">
        <v>435</v>
      </c>
      <c r="B190" s="3" t="s">
        <v>436</v>
      </c>
      <c r="C190" s="170">
        <f t="shared" si="2"/>
        <v>149</v>
      </c>
      <c r="D190" s="162">
        <v>149</v>
      </c>
      <c r="E190" s="162">
        <v>568</v>
      </c>
      <c r="F190" s="162">
        <v>568</v>
      </c>
      <c r="G190" s="162">
        <v>568</v>
      </c>
    </row>
    <row r="191" spans="1:7">
      <c r="A191" s="3" t="s">
        <v>437</v>
      </c>
      <c r="B191" s="3" t="s">
        <v>438</v>
      </c>
      <c r="C191" s="170">
        <f t="shared" si="2"/>
        <v>148</v>
      </c>
      <c r="D191" s="162">
        <v>148</v>
      </c>
      <c r="E191" s="162">
        <v>556</v>
      </c>
      <c r="F191" s="162">
        <v>556</v>
      </c>
      <c r="G191" s="162">
        <v>556</v>
      </c>
    </row>
    <row r="192" spans="1:7">
      <c r="A192" s="3" t="s">
        <v>439</v>
      </c>
      <c r="B192" s="3" t="s">
        <v>440</v>
      </c>
      <c r="C192" s="170">
        <f t="shared" si="2"/>
        <v>147</v>
      </c>
      <c r="D192" s="162">
        <v>147</v>
      </c>
      <c r="E192" s="162">
        <v>438</v>
      </c>
      <c r="F192" s="162">
        <v>438</v>
      </c>
      <c r="G192" s="162">
        <v>438</v>
      </c>
    </row>
    <row r="193" spans="1:7">
      <c r="A193" s="3" t="s">
        <v>441</v>
      </c>
      <c r="B193" s="3" t="s">
        <v>442</v>
      </c>
      <c r="C193" s="170">
        <f t="shared" si="2"/>
        <v>146</v>
      </c>
      <c r="D193" s="162">
        <v>146</v>
      </c>
      <c r="E193" s="162">
        <v>998</v>
      </c>
      <c r="F193" s="162">
        <v>998</v>
      </c>
      <c r="G193" s="162">
        <v>998</v>
      </c>
    </row>
    <row r="194" spans="1:7">
      <c r="A194" s="3" t="s">
        <v>443</v>
      </c>
      <c r="B194" s="3" t="s">
        <v>444</v>
      </c>
      <c r="C194" s="170">
        <f t="shared" si="2"/>
        <v>145</v>
      </c>
      <c r="D194" s="162">
        <v>145</v>
      </c>
      <c r="E194" s="162">
        <v>182</v>
      </c>
      <c r="F194" s="162">
        <v>182</v>
      </c>
      <c r="G194" s="162">
        <v>182</v>
      </c>
    </row>
    <row r="195" spans="1:7">
      <c r="A195" s="3" t="s">
        <v>445</v>
      </c>
      <c r="B195" s="3" t="s">
        <v>446</v>
      </c>
      <c r="C195" s="170">
        <f t="shared" ref="C195:C201" si="3">D195</f>
        <v>144</v>
      </c>
      <c r="D195" s="162">
        <v>144</v>
      </c>
      <c r="E195" s="162">
        <v>782</v>
      </c>
      <c r="F195" s="162">
        <v>782</v>
      </c>
      <c r="G195" s="162">
        <v>782</v>
      </c>
    </row>
    <row r="196" spans="1:7">
      <c r="A196" s="3" t="s">
        <v>447</v>
      </c>
      <c r="B196" s="3" t="s">
        <v>448</v>
      </c>
      <c r="C196" s="170">
        <f t="shared" si="3"/>
        <v>143</v>
      </c>
      <c r="D196" s="162">
        <v>143</v>
      </c>
      <c r="E196" s="162">
        <v>741</v>
      </c>
      <c r="F196" s="162">
        <v>741</v>
      </c>
      <c r="G196" s="162">
        <v>741</v>
      </c>
    </row>
    <row r="197" spans="1:7">
      <c r="A197" s="3" t="s">
        <v>449</v>
      </c>
      <c r="B197" s="3" t="s">
        <v>450</v>
      </c>
      <c r="C197" s="170">
        <f t="shared" si="3"/>
        <v>142</v>
      </c>
      <c r="D197" s="162">
        <v>142</v>
      </c>
      <c r="E197" s="162">
        <v>586</v>
      </c>
      <c r="F197" s="162">
        <v>586</v>
      </c>
      <c r="G197" s="162">
        <v>586</v>
      </c>
    </row>
    <row r="198" spans="1:7">
      <c r="A198" s="3" t="s">
        <v>451</v>
      </c>
      <c r="B198" s="3" t="s">
        <v>452</v>
      </c>
      <c r="C198" s="170">
        <f t="shared" si="3"/>
        <v>141</v>
      </c>
      <c r="D198" s="162">
        <v>141</v>
      </c>
      <c r="E198" s="162">
        <v>181</v>
      </c>
      <c r="F198" s="162">
        <v>181</v>
      </c>
      <c r="G198" s="162">
        <v>181</v>
      </c>
    </row>
    <row r="199" spans="1:7">
      <c r="A199" s="3" t="s">
        <v>453</v>
      </c>
      <c r="B199" s="3" t="s">
        <v>454</v>
      </c>
      <c r="C199" s="170">
        <f t="shared" si="3"/>
        <v>140</v>
      </c>
      <c r="D199" s="162">
        <v>140</v>
      </c>
      <c r="E199" s="162">
        <v>413</v>
      </c>
      <c r="F199" s="162">
        <v>413</v>
      </c>
      <c r="G199" s="162">
        <v>413</v>
      </c>
    </row>
    <row r="200" spans="1:7">
      <c r="A200" s="3" t="s">
        <v>455</v>
      </c>
      <c r="B200" s="3" t="s">
        <v>456</v>
      </c>
      <c r="C200" s="170">
        <f t="shared" si="3"/>
        <v>139</v>
      </c>
      <c r="D200" s="162">
        <v>139</v>
      </c>
      <c r="E200" s="162">
        <v>858</v>
      </c>
      <c r="F200" s="162">
        <v>858</v>
      </c>
      <c r="G200" s="162">
        <v>858</v>
      </c>
    </row>
    <row r="201" spans="1:7">
      <c r="A201" s="3" t="s">
        <v>457</v>
      </c>
      <c r="B201" s="3" t="s">
        <v>458</v>
      </c>
      <c r="C201" s="170">
        <f t="shared" si="3"/>
        <v>138</v>
      </c>
      <c r="D201" s="162">
        <v>138</v>
      </c>
      <c r="E201" s="162">
        <v>152</v>
      </c>
      <c r="F201" s="162">
        <v>152</v>
      </c>
      <c r="G201" s="162">
        <v>152</v>
      </c>
    </row>
    <row r="202" spans="1:7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50" zoomScaleNormal="90" workbookViewId="0">
      <selection activeCell="C4" sqref="C4"/>
    </sheetView>
  </sheetViews>
  <sheetFormatPr baseColWidth="10" defaultColWidth="11" defaultRowHeight="16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>
      <c r="A2" s="1"/>
      <c r="B2" s="1"/>
      <c r="C2" s="1"/>
      <c r="D2" s="32">
        <v>0</v>
      </c>
      <c r="E2" s="32"/>
      <c r="F2" s="1">
        <v>0</v>
      </c>
    </row>
    <row r="3" spans="1:6">
      <c r="A3" s="181" t="s">
        <v>176</v>
      </c>
      <c r="B3" s="181" t="s">
        <v>177</v>
      </c>
      <c r="C3" s="182">
        <f>VLOOKUP(A3, 'S07 Initial Parameters'!$A$2:$C$201, 3, 0)</f>
        <v>250356</v>
      </c>
      <c r="D3" s="183">
        <f t="shared" ref="D3:D34" si="0">C3+D2</f>
        <v>250356</v>
      </c>
      <c r="E3" s="184">
        <f>C3/SUM($C$3:$C$202)</f>
        <v>0.17084365467684812</v>
      </c>
      <c r="F3" s="185">
        <f>E3+F2</f>
        <v>0.17084365467684812</v>
      </c>
    </row>
    <row r="4" spans="1:6">
      <c r="A4" s="181" t="s">
        <v>178</v>
      </c>
      <c r="B4" s="181" t="s">
        <v>179</v>
      </c>
      <c r="C4" s="182">
        <f>VLOOKUP(A4, 'S07 Initial Parameters'!$A$2:$C$201, 3, 0)</f>
        <v>215425</v>
      </c>
      <c r="D4" s="183">
        <f t="shared" si="0"/>
        <v>465781</v>
      </c>
      <c r="E4" s="184">
        <f t="shared" ref="E4:E67" si="1">C4/SUM($C$3:$C$202)</f>
        <v>0.14700663977999331</v>
      </c>
      <c r="F4" s="185">
        <f t="shared" ref="F4:F67" si="2">E4+F3</f>
        <v>0.31785029445684143</v>
      </c>
    </row>
    <row r="5" spans="1:6">
      <c r="A5" s="181" t="s">
        <v>180</v>
      </c>
      <c r="B5" s="181" t="s">
        <v>181</v>
      </c>
      <c r="C5" s="182">
        <f>VLOOKUP(A5, 'S07 Initial Parameters'!$A$2:$C$201, 3, 0)</f>
        <v>125036</v>
      </c>
      <c r="D5" s="183">
        <f t="shared" si="0"/>
        <v>590817</v>
      </c>
      <c r="E5" s="184">
        <f t="shared" si="1"/>
        <v>8.5324926129888568E-2</v>
      </c>
      <c r="F5" s="185">
        <f t="shared" si="2"/>
        <v>0.40317522058673</v>
      </c>
    </row>
    <row r="6" spans="1:6">
      <c r="A6" s="181" t="s">
        <v>182</v>
      </c>
      <c r="B6" s="181" t="s">
        <v>183</v>
      </c>
      <c r="C6" s="182">
        <f>VLOOKUP(A6, 'S07 Initial Parameters'!$A$2:$C$201, 3, 0)</f>
        <v>86542</v>
      </c>
      <c r="D6" s="183">
        <f t="shared" si="0"/>
        <v>677359</v>
      </c>
      <c r="E6" s="184">
        <f t="shared" si="1"/>
        <v>5.9056509782245241E-2</v>
      </c>
      <c r="F6" s="185">
        <f t="shared" si="2"/>
        <v>0.46223173036897525</v>
      </c>
    </row>
    <row r="7" spans="1:6">
      <c r="A7" s="181" t="s">
        <v>184</v>
      </c>
      <c r="B7" s="181" t="s">
        <v>185</v>
      </c>
      <c r="C7" s="182">
        <f>VLOOKUP(A7, 'S07 Initial Parameters'!$A$2:$C$201, 3, 0)</f>
        <v>85612</v>
      </c>
      <c r="D7" s="183">
        <f t="shared" si="0"/>
        <v>762971</v>
      </c>
      <c r="E7" s="184">
        <f t="shared" si="1"/>
        <v>5.842187510662545E-2</v>
      </c>
      <c r="F7" s="185">
        <f t="shared" si="2"/>
        <v>0.52065360547560069</v>
      </c>
    </row>
    <row r="8" spans="1:6">
      <c r="A8" s="181" t="s">
        <v>186</v>
      </c>
      <c r="B8" s="181" t="s">
        <v>187</v>
      </c>
      <c r="C8" s="182">
        <f>VLOOKUP(A8, 'S07 Initial Parameters'!$A$2:$C$201, 3, 0)</f>
        <v>65248</v>
      </c>
      <c r="D8" s="183">
        <f t="shared" si="0"/>
        <v>828219</v>
      </c>
      <c r="E8" s="184">
        <f t="shared" si="1"/>
        <v>4.452542291918303E-2</v>
      </c>
      <c r="F8" s="185">
        <f t="shared" si="2"/>
        <v>0.56517902839478373</v>
      </c>
    </row>
    <row r="9" spans="1:6">
      <c r="A9" s="181" t="s">
        <v>188</v>
      </c>
      <c r="B9" s="181" t="s">
        <v>189</v>
      </c>
      <c r="C9" s="182">
        <f>VLOOKUP(A9, 'S07 Initial Parameters'!$A$2:$C$201, 3, 0)</f>
        <v>54682</v>
      </c>
      <c r="D9" s="183">
        <f t="shared" si="0"/>
        <v>882901</v>
      </c>
      <c r="E9" s="184">
        <f t="shared" si="1"/>
        <v>3.7315154120689774E-2</v>
      </c>
      <c r="F9" s="185">
        <f t="shared" si="2"/>
        <v>0.60249418251547349</v>
      </c>
    </row>
    <row r="10" spans="1:6">
      <c r="A10" s="181" t="s">
        <v>190</v>
      </c>
      <c r="B10" s="181" t="s">
        <v>191</v>
      </c>
      <c r="C10" s="182">
        <f>VLOOKUP(A10, 'S07 Initial Parameters'!$A$2:$C$201, 3, 0)</f>
        <v>50689</v>
      </c>
      <c r="D10" s="183">
        <f t="shared" si="0"/>
        <v>933590</v>
      </c>
      <c r="E10" s="184">
        <f t="shared" si="1"/>
        <v>3.4590319432786731E-2</v>
      </c>
      <c r="F10" s="185">
        <f t="shared" si="2"/>
        <v>0.63708450194826027</v>
      </c>
    </row>
    <row r="11" spans="1:6">
      <c r="A11" s="181" t="s">
        <v>192</v>
      </c>
      <c r="B11" s="181" t="s">
        <v>193</v>
      </c>
      <c r="C11" s="182">
        <f>VLOOKUP(A11, 'S07 Initial Parameters'!$A$2:$C$201, 3, 0)</f>
        <v>45896</v>
      </c>
      <c r="D11" s="183">
        <f t="shared" si="0"/>
        <v>979486</v>
      </c>
      <c r="E11" s="184">
        <f t="shared" si="1"/>
        <v>3.1319562443275259E-2</v>
      </c>
      <c r="F11" s="185">
        <f t="shared" si="2"/>
        <v>0.66840406439153555</v>
      </c>
    </row>
    <row r="12" spans="1:6">
      <c r="A12" s="181" t="s">
        <v>194</v>
      </c>
      <c r="B12" s="181" t="s">
        <v>195</v>
      </c>
      <c r="C12" s="182">
        <f>VLOOKUP(A12, 'S07 Initial Parameters'!$A$2:$C$201, 3, 0)</f>
        <v>36524</v>
      </c>
      <c r="D12" s="183">
        <f t="shared" si="0"/>
        <v>1016010</v>
      </c>
      <c r="E12" s="184">
        <f t="shared" si="1"/>
        <v>2.4924082679932579E-2</v>
      </c>
      <c r="F12" s="185">
        <f t="shared" si="2"/>
        <v>0.69332814707146817</v>
      </c>
    </row>
    <row r="13" spans="1:6">
      <c r="A13" s="181" t="s">
        <v>196</v>
      </c>
      <c r="B13" s="181" t="s">
        <v>197</v>
      </c>
      <c r="C13" s="182">
        <f>VLOOKUP(A13, 'S07 Initial Parameters'!$A$2:$C$201, 3, 0)</f>
        <v>36502</v>
      </c>
      <c r="D13" s="183">
        <f t="shared" si="0"/>
        <v>1052512</v>
      </c>
      <c r="E13" s="184">
        <f t="shared" si="1"/>
        <v>2.4909069816638346E-2</v>
      </c>
      <c r="F13" s="185">
        <f t="shared" si="2"/>
        <v>0.71823721688810649</v>
      </c>
    </row>
    <row r="14" spans="1:6">
      <c r="A14" s="181" t="s">
        <v>198</v>
      </c>
      <c r="B14" s="181" t="s">
        <v>199</v>
      </c>
      <c r="C14" s="182">
        <f>VLOOKUP(A14, 'S07 Initial Parameters'!$A$2:$C$201, 3, 0)</f>
        <v>25689</v>
      </c>
      <c r="D14" s="183">
        <f t="shared" si="0"/>
        <v>1078201</v>
      </c>
      <c r="E14" s="184">
        <f t="shared" si="1"/>
        <v>1.7530247507523491E-2</v>
      </c>
      <c r="F14" s="185">
        <f t="shared" si="2"/>
        <v>0.73576746439563001</v>
      </c>
    </row>
    <row r="15" spans="1:6">
      <c r="A15" s="181" t="s">
        <v>200</v>
      </c>
      <c r="B15" s="181" t="s">
        <v>201</v>
      </c>
      <c r="C15" s="182">
        <f>VLOOKUP(A15, 'S07 Initial Parameters'!$A$2:$C$201, 3, 0)</f>
        <v>25689</v>
      </c>
      <c r="D15" s="183">
        <f t="shared" si="0"/>
        <v>1103890</v>
      </c>
      <c r="E15" s="184">
        <f t="shared" si="1"/>
        <v>1.7530247507523491E-2</v>
      </c>
      <c r="F15" s="185">
        <f t="shared" si="2"/>
        <v>0.75329771190315353</v>
      </c>
    </row>
    <row r="16" spans="1:6">
      <c r="A16" s="181" t="s">
        <v>202</v>
      </c>
      <c r="B16" s="181" t="s">
        <v>716</v>
      </c>
      <c r="C16" s="182">
        <f>VLOOKUP(A16, 'S07 Initial Parameters'!$A$2:$C$201, 3, 0)</f>
        <v>25649</v>
      </c>
      <c r="D16" s="183">
        <f t="shared" si="0"/>
        <v>1129539</v>
      </c>
      <c r="E16" s="184">
        <f t="shared" si="1"/>
        <v>1.750295139244307E-2</v>
      </c>
      <c r="F16" s="185">
        <f t="shared" si="2"/>
        <v>0.7708006632955966</v>
      </c>
    </row>
    <row r="17" spans="1:6">
      <c r="A17" s="181" t="s">
        <v>203</v>
      </c>
      <c r="B17" s="181" t="s">
        <v>204</v>
      </c>
      <c r="C17" s="182">
        <f>VLOOKUP(A17, 'S07 Initial Parameters'!$A$2:$C$201, 3, 0)</f>
        <v>25639</v>
      </c>
      <c r="D17" s="183">
        <f t="shared" si="0"/>
        <v>1155178</v>
      </c>
      <c r="E17" s="184">
        <f t="shared" si="1"/>
        <v>1.7496127363672967E-2</v>
      </c>
      <c r="F17" s="185">
        <f t="shared" si="2"/>
        <v>0.78829679065926961</v>
      </c>
    </row>
    <row r="18" spans="1:6">
      <c r="A18" s="181" t="s">
        <v>205</v>
      </c>
      <c r="B18" s="181" t="s">
        <v>206</v>
      </c>
      <c r="C18" s="182">
        <f>VLOOKUP(A18, 'S07 Initial Parameters'!$A$2:$C$201, 3, 0)</f>
        <v>25468</v>
      </c>
      <c r="D18" s="183">
        <f t="shared" si="0"/>
        <v>1180646</v>
      </c>
      <c r="E18" s="184">
        <f t="shared" si="1"/>
        <v>1.7379436471704163E-2</v>
      </c>
      <c r="F18" s="185">
        <f t="shared" si="2"/>
        <v>0.80567622713097375</v>
      </c>
    </row>
    <row r="19" spans="1:6">
      <c r="A19" s="164" t="s">
        <v>525</v>
      </c>
      <c r="B19" s="164" t="s">
        <v>753</v>
      </c>
      <c r="C19" s="163">
        <f>VLOOKUP(A19, 'S07 Initial Parameters'!$A$2:$C$201, 3, 0)</f>
        <v>12224</v>
      </c>
      <c r="D19" s="165">
        <f t="shared" si="0"/>
        <v>1192870</v>
      </c>
      <c r="E19" s="166">
        <f t="shared" si="1"/>
        <v>8.3416927685767122E-3</v>
      </c>
      <c r="F19" s="167">
        <f t="shared" si="2"/>
        <v>0.81401791989955041</v>
      </c>
    </row>
    <row r="20" spans="1:6">
      <c r="A20" s="164" t="s">
        <v>531</v>
      </c>
      <c r="B20" s="164" t="s">
        <v>762</v>
      </c>
      <c r="C20" s="163">
        <f>VLOOKUP(A20, 'S07 Initial Parameters'!$A$2:$C$201, 3, 0)</f>
        <v>12036</v>
      </c>
      <c r="D20" s="165">
        <f t="shared" si="0"/>
        <v>1204906</v>
      </c>
      <c r="E20" s="166">
        <f t="shared" si="1"/>
        <v>8.2134010276987326E-3</v>
      </c>
      <c r="F20" s="167">
        <f t="shared" si="2"/>
        <v>0.82223132092724915</v>
      </c>
    </row>
    <row r="21" spans="1:6">
      <c r="A21" s="164" t="s">
        <v>533</v>
      </c>
      <c r="B21" s="164" t="s">
        <v>764</v>
      </c>
      <c r="C21" s="163">
        <f>VLOOKUP(A21, 'S07 Initial Parameters'!$A$2:$C$201, 3, 0)</f>
        <v>10356</v>
      </c>
      <c r="D21" s="165">
        <f t="shared" si="0"/>
        <v>1215262</v>
      </c>
      <c r="E21" s="166">
        <f t="shared" si="1"/>
        <v>7.066964194321043E-3</v>
      </c>
      <c r="F21" s="167">
        <f t="shared" si="2"/>
        <v>0.82929828512157022</v>
      </c>
    </row>
    <row r="22" spans="1:6">
      <c r="A22" s="164" t="s">
        <v>534</v>
      </c>
      <c r="B22" s="164" t="s">
        <v>765</v>
      </c>
      <c r="C22" s="163">
        <f>VLOOKUP(A22, 'S07 Initial Parameters'!$A$2:$C$201, 3, 0)</f>
        <v>10254</v>
      </c>
      <c r="D22" s="165">
        <f t="shared" si="0"/>
        <v>1225516</v>
      </c>
      <c r="E22" s="166">
        <f t="shared" si="1"/>
        <v>6.9973591008659691E-3</v>
      </c>
      <c r="F22" s="167">
        <f t="shared" si="2"/>
        <v>0.83629564422243619</v>
      </c>
    </row>
    <row r="23" spans="1:6">
      <c r="A23" s="164" t="s">
        <v>553</v>
      </c>
      <c r="B23" s="164" t="s">
        <v>724</v>
      </c>
      <c r="C23" s="163">
        <f>VLOOKUP(A23, 'S07 Initial Parameters'!$A$2:$C$201, 3, 0)</f>
        <v>10038</v>
      </c>
      <c r="D23" s="165">
        <f t="shared" si="0"/>
        <v>1235554</v>
      </c>
      <c r="E23" s="166">
        <f t="shared" si="1"/>
        <v>6.8499600794316952E-3</v>
      </c>
      <c r="F23" s="167">
        <f t="shared" si="2"/>
        <v>0.84314560430186791</v>
      </c>
    </row>
    <row r="24" spans="1:6">
      <c r="A24" s="164" t="s">
        <v>558</v>
      </c>
      <c r="B24" s="164" t="s">
        <v>715</v>
      </c>
      <c r="C24" s="163">
        <f>VLOOKUP(A24, 'S07 Initial Parameters'!$A$2:$C$201, 3, 0)</f>
        <v>9748</v>
      </c>
      <c r="D24" s="165">
        <f t="shared" si="0"/>
        <v>1245302</v>
      </c>
      <c r="E24" s="166">
        <f t="shared" si="1"/>
        <v>6.6520632450986416E-3</v>
      </c>
      <c r="F24" s="167">
        <f t="shared" si="2"/>
        <v>0.84979766754696651</v>
      </c>
    </row>
    <row r="25" spans="1:6">
      <c r="A25" s="164" t="s">
        <v>547</v>
      </c>
      <c r="B25" s="164" t="s">
        <v>734</v>
      </c>
      <c r="C25" s="163">
        <f>VLOOKUP(A25, 'S07 Initial Parameters'!$A$2:$C$201, 3, 0)</f>
        <v>9246</v>
      </c>
      <c r="D25" s="165">
        <f t="shared" si="0"/>
        <v>1254548</v>
      </c>
      <c r="E25" s="166">
        <f t="shared" si="1"/>
        <v>6.3094970008393553E-3</v>
      </c>
      <c r="F25" s="167">
        <f t="shared" si="2"/>
        <v>0.85610716454780589</v>
      </c>
    </row>
    <row r="26" spans="1:6">
      <c r="A26" s="164" t="s">
        <v>541</v>
      </c>
      <c r="B26" s="164" t="s">
        <v>728</v>
      </c>
      <c r="C26" s="163">
        <f>VLOOKUP(A26, 'S07 Initial Parameters'!$A$2:$C$201, 3, 0)</f>
        <v>8750</v>
      </c>
      <c r="D26" s="165">
        <f t="shared" si="0"/>
        <v>1263298</v>
      </c>
      <c r="E26" s="166">
        <f t="shared" si="1"/>
        <v>5.971025173842133E-3</v>
      </c>
      <c r="F26" s="167">
        <f t="shared" si="2"/>
        <v>0.86207818972164807</v>
      </c>
    </row>
    <row r="27" spans="1:6">
      <c r="A27" s="164" t="s">
        <v>544</v>
      </c>
      <c r="B27" s="164" t="s">
        <v>731</v>
      </c>
      <c r="C27" s="163">
        <f>VLOOKUP(A27, 'S07 Initial Parameters'!$A$2:$C$201, 3, 0)</f>
        <v>8230</v>
      </c>
      <c r="D27" s="165">
        <f t="shared" si="0"/>
        <v>1271528</v>
      </c>
      <c r="E27" s="166">
        <f t="shared" si="1"/>
        <v>5.6161756777966575E-3</v>
      </c>
      <c r="F27" s="167">
        <f t="shared" si="2"/>
        <v>0.86769436539944478</v>
      </c>
    </row>
    <row r="28" spans="1:6">
      <c r="A28" s="164" t="s">
        <v>538</v>
      </c>
      <c r="B28" s="164" t="s">
        <v>736</v>
      </c>
      <c r="C28" s="163">
        <f>VLOOKUP(A28, 'S07 Initial Parameters'!$A$2:$C$201, 3, 0)</f>
        <v>8070</v>
      </c>
      <c r="D28" s="165">
        <f t="shared" si="0"/>
        <v>1279598</v>
      </c>
      <c r="E28" s="166">
        <f t="shared" si="1"/>
        <v>5.5069912174749731E-3</v>
      </c>
      <c r="F28" s="167">
        <f t="shared" si="2"/>
        <v>0.87320135661691978</v>
      </c>
    </row>
    <row r="29" spans="1:6">
      <c r="A29" s="164" t="s">
        <v>550</v>
      </c>
      <c r="B29" s="164" t="s">
        <v>713</v>
      </c>
      <c r="C29" s="163">
        <f>VLOOKUP(A29, 'S07 Initial Parameters'!$A$2:$C$201, 3, 0)</f>
        <v>7654</v>
      </c>
      <c r="D29" s="165">
        <f t="shared" si="0"/>
        <v>1287252</v>
      </c>
      <c r="E29" s="166">
        <f t="shared" si="1"/>
        <v>5.2231116206385925E-3</v>
      </c>
      <c r="F29" s="167">
        <f t="shared" si="2"/>
        <v>0.87842446823755838</v>
      </c>
    </row>
    <row r="30" spans="1:6">
      <c r="A30" s="164" t="s">
        <v>545</v>
      </c>
      <c r="B30" s="164" t="s">
        <v>732</v>
      </c>
      <c r="C30" s="163">
        <f>VLOOKUP(A30, 'S07 Initial Parameters'!$A$2:$C$201, 3, 0)</f>
        <v>7065</v>
      </c>
      <c r="D30" s="165">
        <f t="shared" si="0"/>
        <v>1294317</v>
      </c>
      <c r="E30" s="166">
        <f t="shared" si="1"/>
        <v>4.8211763260793909E-3</v>
      </c>
      <c r="F30" s="167">
        <f t="shared" si="2"/>
        <v>0.88324564456363774</v>
      </c>
    </row>
    <row r="31" spans="1:6">
      <c r="A31" s="164" t="s">
        <v>521</v>
      </c>
      <c r="B31" s="164" t="s">
        <v>749</v>
      </c>
      <c r="C31" s="163">
        <f>VLOOKUP(A31, 'S07 Initial Parameters'!$A$2:$C$201, 3, 0)</f>
        <v>6903</v>
      </c>
      <c r="D31" s="165">
        <f t="shared" si="0"/>
        <v>1301220</v>
      </c>
      <c r="E31" s="166">
        <f t="shared" si="1"/>
        <v>4.7106270600036854E-3</v>
      </c>
      <c r="F31" s="167">
        <f t="shared" si="2"/>
        <v>0.88795627162364144</v>
      </c>
    </row>
    <row r="32" spans="1:6">
      <c r="A32" s="164" t="s">
        <v>512</v>
      </c>
      <c r="B32" s="164" t="s">
        <v>740</v>
      </c>
      <c r="C32" s="163">
        <f>VLOOKUP(A32, 'S07 Initial Parameters'!$A$2:$C$201, 3, 0)</f>
        <v>6491</v>
      </c>
      <c r="D32" s="165">
        <f t="shared" si="0"/>
        <v>1307711</v>
      </c>
      <c r="E32" s="166">
        <f t="shared" si="1"/>
        <v>4.4294770746753469E-3</v>
      </c>
      <c r="F32" s="167">
        <f t="shared" si="2"/>
        <v>0.89238574869831677</v>
      </c>
    </row>
    <row r="33" spans="1:6">
      <c r="A33" s="164" t="s">
        <v>508</v>
      </c>
      <c r="B33" s="164" t="s">
        <v>756</v>
      </c>
      <c r="C33" s="163">
        <f>VLOOKUP(A33, 'S07 Initial Parameters'!$A$2:$C$201, 3, 0)</f>
        <v>6134</v>
      </c>
      <c r="D33" s="165">
        <f t="shared" si="0"/>
        <v>1313845</v>
      </c>
      <c r="E33" s="166">
        <f t="shared" si="1"/>
        <v>4.1858592475825882E-3</v>
      </c>
      <c r="F33" s="167">
        <f t="shared" si="2"/>
        <v>0.89657160794589941</v>
      </c>
    </row>
    <row r="34" spans="1:6">
      <c r="A34" s="164" t="s">
        <v>555</v>
      </c>
      <c r="B34" s="164" t="s">
        <v>726</v>
      </c>
      <c r="C34" s="163">
        <f>VLOOKUP(A34, 'S07 Initial Parameters'!$A$2:$C$201, 3, 0)</f>
        <v>6003</v>
      </c>
      <c r="D34" s="165">
        <f t="shared" si="0"/>
        <v>1319848</v>
      </c>
      <c r="E34" s="166">
        <f t="shared" si="1"/>
        <v>4.0964644706942086E-3</v>
      </c>
      <c r="F34" s="167">
        <f t="shared" si="2"/>
        <v>0.90066807241659363</v>
      </c>
    </row>
    <row r="35" spans="1:6">
      <c r="A35" s="164" t="s">
        <v>516</v>
      </c>
      <c r="B35" s="164" t="s">
        <v>745</v>
      </c>
      <c r="C35" s="163">
        <f>VLOOKUP(A35, 'S07 Initial Parameters'!$A$2:$C$201, 3, 0)</f>
        <v>5692</v>
      </c>
      <c r="D35" s="165">
        <f t="shared" ref="D35:D66" si="3">C35+D34</f>
        <v>1325540</v>
      </c>
      <c r="E35" s="166">
        <f t="shared" si="1"/>
        <v>3.8842371759439339E-3</v>
      </c>
      <c r="F35" s="167">
        <f t="shared" si="2"/>
        <v>0.90455230959253752</v>
      </c>
    </row>
    <row r="36" spans="1:6">
      <c r="A36" s="164" t="s">
        <v>511</v>
      </c>
      <c r="B36" s="164" t="s">
        <v>739</v>
      </c>
      <c r="C36" s="163">
        <f>VLOOKUP(A36, 'S07 Initial Parameters'!$A$2:$C$201, 3, 0)</f>
        <v>4765</v>
      </c>
      <c r="D36" s="165">
        <f t="shared" si="3"/>
        <v>1330305</v>
      </c>
      <c r="E36" s="166">
        <f t="shared" si="1"/>
        <v>3.2516497089551729E-3</v>
      </c>
      <c r="F36" s="167">
        <f t="shared" si="2"/>
        <v>0.90780395930149271</v>
      </c>
    </row>
    <row r="37" spans="1:6">
      <c r="A37" s="164" t="s">
        <v>543</v>
      </c>
      <c r="B37" s="164" t="s">
        <v>730</v>
      </c>
      <c r="C37" s="163">
        <f>VLOOKUP(A37, 'S07 Initial Parameters'!$A$2:$C$201, 3, 0)</f>
        <v>4730</v>
      </c>
      <c r="D37" s="165">
        <f t="shared" si="3"/>
        <v>1335035</v>
      </c>
      <c r="E37" s="166">
        <f t="shared" si="1"/>
        <v>3.2277656082598046E-3</v>
      </c>
      <c r="F37" s="167">
        <f t="shared" si="2"/>
        <v>0.91103172490975248</v>
      </c>
    </row>
    <row r="38" spans="1:6">
      <c r="A38" s="164" t="s">
        <v>523</v>
      </c>
      <c r="B38" s="164" t="s">
        <v>751</v>
      </c>
      <c r="C38" s="163">
        <f>VLOOKUP(A38, 'S07 Initial Parameters'!$A$2:$C$201, 3, 0)</f>
        <v>4177</v>
      </c>
      <c r="D38" s="165">
        <f t="shared" si="3"/>
        <v>1339212</v>
      </c>
      <c r="E38" s="166">
        <f t="shared" si="1"/>
        <v>2.8503968172729818E-3</v>
      </c>
      <c r="F38" s="167">
        <f t="shared" si="2"/>
        <v>0.91388212172702543</v>
      </c>
    </row>
    <row r="39" spans="1:6">
      <c r="A39" s="164" t="s">
        <v>552</v>
      </c>
      <c r="B39" s="164" t="s">
        <v>723</v>
      </c>
      <c r="C39" s="163">
        <f>VLOOKUP(A39, 'S07 Initial Parameters'!$A$2:$C$201, 3, 0)</f>
        <v>4084</v>
      </c>
      <c r="D39" s="165">
        <f t="shared" si="3"/>
        <v>1343296</v>
      </c>
      <c r="E39" s="166">
        <f t="shared" si="1"/>
        <v>2.7869333497110025E-3</v>
      </c>
      <c r="F39" s="167">
        <f t="shared" si="2"/>
        <v>0.91666905507673646</v>
      </c>
    </row>
    <row r="40" spans="1:6">
      <c r="A40" s="164" t="s">
        <v>532</v>
      </c>
      <c r="B40" s="164" t="s">
        <v>763</v>
      </c>
      <c r="C40" s="163">
        <f>VLOOKUP(A40, 'S07 Initial Parameters'!$A$2:$C$201, 3, 0)</f>
        <v>3735</v>
      </c>
      <c r="D40" s="165">
        <f t="shared" si="3"/>
        <v>1347031</v>
      </c>
      <c r="E40" s="166">
        <f t="shared" si="1"/>
        <v>2.5487747456343275E-3</v>
      </c>
      <c r="F40" s="167">
        <f t="shared" si="2"/>
        <v>0.91921782982237077</v>
      </c>
    </row>
    <row r="41" spans="1:6">
      <c r="A41" s="164" t="s">
        <v>529</v>
      </c>
      <c r="B41" s="164" t="s">
        <v>760</v>
      </c>
      <c r="C41" s="163">
        <f>VLOOKUP(A41, 'S07 Initial Parameters'!$A$2:$C$201, 3, 0)</f>
        <v>3562</v>
      </c>
      <c r="D41" s="165">
        <f t="shared" si="3"/>
        <v>1350593</v>
      </c>
      <c r="E41" s="166">
        <f t="shared" si="1"/>
        <v>2.4307190479115059E-3</v>
      </c>
      <c r="F41" s="167">
        <f t="shared" si="2"/>
        <v>0.92164854887028225</v>
      </c>
    </row>
    <row r="42" spans="1:6">
      <c r="A42" s="164" t="s">
        <v>542</v>
      </c>
      <c r="B42" s="164" t="s">
        <v>729</v>
      </c>
      <c r="C42" s="163">
        <f>VLOOKUP(A42, 'S07 Initial Parameters'!$A$2:$C$201, 3, 0)</f>
        <v>3450</v>
      </c>
      <c r="D42" s="165">
        <f t="shared" si="3"/>
        <v>1354043</v>
      </c>
      <c r="E42" s="166">
        <f t="shared" si="1"/>
        <v>2.3542899256863265E-3</v>
      </c>
      <c r="F42" s="167">
        <f t="shared" si="2"/>
        <v>0.92400283879596856</v>
      </c>
    </row>
    <row r="43" spans="1:6">
      <c r="A43" s="164" t="s">
        <v>535</v>
      </c>
      <c r="B43" s="164" t="s">
        <v>766</v>
      </c>
      <c r="C43" s="163">
        <f>VLOOKUP(A43, 'S07 Initial Parameters'!$A$2:$C$201, 3, 0)</f>
        <v>3076</v>
      </c>
      <c r="D43" s="165">
        <f t="shared" si="3"/>
        <v>1357119</v>
      </c>
      <c r="E43" s="166">
        <f t="shared" si="1"/>
        <v>2.0990712496843887E-3</v>
      </c>
      <c r="F43" s="167">
        <f t="shared" si="2"/>
        <v>0.9261019100456529</v>
      </c>
    </row>
    <row r="44" spans="1:6">
      <c r="A44" s="164" t="s">
        <v>524</v>
      </c>
      <c r="B44" s="164" t="s">
        <v>752</v>
      </c>
      <c r="C44" s="163">
        <f>VLOOKUP(A44, 'S07 Initial Parameters'!$A$2:$C$201, 3, 0)</f>
        <v>2821</v>
      </c>
      <c r="D44" s="165">
        <f t="shared" si="3"/>
        <v>1359940</v>
      </c>
      <c r="E44" s="166">
        <f t="shared" si="1"/>
        <v>1.9250585160467037E-3</v>
      </c>
      <c r="F44" s="167">
        <f t="shared" si="2"/>
        <v>0.92802696856169964</v>
      </c>
    </row>
    <row r="45" spans="1:6">
      <c r="A45" s="164" t="s">
        <v>548</v>
      </c>
      <c r="B45" s="164" t="s">
        <v>711</v>
      </c>
      <c r="C45" s="163">
        <f>VLOOKUP(A45, 'S07 Initial Parameters'!$A$2:$C$201, 3, 0)</f>
        <v>2559</v>
      </c>
      <c r="D45" s="165">
        <f t="shared" si="3"/>
        <v>1362499</v>
      </c>
      <c r="E45" s="166">
        <f t="shared" si="1"/>
        <v>1.746268962269945E-3</v>
      </c>
      <c r="F45" s="167">
        <f t="shared" si="2"/>
        <v>0.92977323752396956</v>
      </c>
    </row>
    <row r="46" spans="1:6">
      <c r="A46" s="164" t="s">
        <v>551</v>
      </c>
      <c r="B46" s="164" t="s">
        <v>722</v>
      </c>
      <c r="C46" s="163">
        <f>VLOOKUP(A46, 'S07 Initial Parameters'!$A$2:$C$201, 3, 0)</f>
        <v>2549</v>
      </c>
      <c r="D46" s="165">
        <f t="shared" si="3"/>
        <v>1365048</v>
      </c>
      <c r="E46" s="166">
        <f t="shared" si="1"/>
        <v>1.7394449334998396E-3</v>
      </c>
      <c r="F46" s="167">
        <f t="shared" si="2"/>
        <v>0.93151268245746943</v>
      </c>
    </row>
    <row r="47" spans="1:6">
      <c r="A47" s="164" t="s">
        <v>549</v>
      </c>
      <c r="B47" s="164" t="s">
        <v>712</v>
      </c>
      <c r="C47" s="163">
        <f>VLOOKUP(A47, 'S07 Initial Parameters'!$A$2:$C$201, 3, 0)</f>
        <v>2547</v>
      </c>
      <c r="D47" s="165">
        <f t="shared" si="3"/>
        <v>1367595</v>
      </c>
      <c r="E47" s="166">
        <f t="shared" si="1"/>
        <v>1.7380801277458186E-3</v>
      </c>
      <c r="F47" s="167">
        <f t="shared" si="2"/>
        <v>0.93325076258521522</v>
      </c>
    </row>
    <row r="48" spans="1:6">
      <c r="A48" s="164" t="s">
        <v>554</v>
      </c>
      <c r="B48" s="164" t="s">
        <v>725</v>
      </c>
      <c r="C48" s="163">
        <f>VLOOKUP(A48, 'S07 Initial Parameters'!$A$2:$C$201, 3, 0)</f>
        <v>2525</v>
      </c>
      <c r="D48" s="165">
        <f t="shared" si="3"/>
        <v>1370120</v>
      </c>
      <c r="E48" s="166">
        <f t="shared" si="1"/>
        <v>1.7230672644515869E-3</v>
      </c>
      <c r="F48" s="167">
        <f t="shared" si="2"/>
        <v>0.93497382984966682</v>
      </c>
    </row>
    <row r="49" spans="1:6">
      <c r="A49" s="164" t="s">
        <v>207</v>
      </c>
      <c r="B49" s="164" t="s">
        <v>208</v>
      </c>
      <c r="C49" s="163">
        <f>VLOOKUP(A49, 'S07 Initial Parameters'!$A$2:$C$201, 3, 0)</f>
        <v>2458</v>
      </c>
      <c r="D49" s="165">
        <f t="shared" si="3"/>
        <v>1372578</v>
      </c>
      <c r="E49" s="166">
        <f t="shared" si="1"/>
        <v>1.6773462716918814E-3</v>
      </c>
      <c r="F49" s="167">
        <f t="shared" si="2"/>
        <v>0.93665117612135873</v>
      </c>
    </row>
    <row r="50" spans="1:6">
      <c r="A50" s="164" t="s">
        <v>557</v>
      </c>
      <c r="B50" s="164" t="s">
        <v>714</v>
      </c>
      <c r="C50" s="163">
        <f>VLOOKUP(A50, 'S07 Initial Parameters'!$A$2:$C$201, 3, 0)</f>
        <v>2458</v>
      </c>
      <c r="D50" s="165">
        <f t="shared" si="3"/>
        <v>1375036</v>
      </c>
      <c r="E50" s="166">
        <f t="shared" si="1"/>
        <v>1.6773462716918814E-3</v>
      </c>
      <c r="F50" s="167">
        <f t="shared" si="2"/>
        <v>0.93832852239305065</v>
      </c>
    </row>
    <row r="51" spans="1:6">
      <c r="A51" s="164" t="s">
        <v>546</v>
      </c>
      <c r="B51" s="164" t="s">
        <v>733</v>
      </c>
      <c r="C51" s="163">
        <f>VLOOKUP(A51, 'S07 Initial Parameters'!$A$2:$C$201, 3, 0)</f>
        <v>2456</v>
      </c>
      <c r="D51" s="165">
        <f t="shared" si="3"/>
        <v>1377492</v>
      </c>
      <c r="E51" s="166">
        <f t="shared" si="1"/>
        <v>1.6759814659378603E-3</v>
      </c>
      <c r="F51" s="167">
        <f t="shared" si="2"/>
        <v>0.94000450385898848</v>
      </c>
    </row>
    <row r="52" spans="1:6">
      <c r="A52" s="164" t="s">
        <v>209</v>
      </c>
      <c r="B52" s="164" t="s">
        <v>210</v>
      </c>
      <c r="C52" s="163">
        <f>VLOOKUP(A52, 'S07 Initial Parameters'!$A$2:$C$201, 3, 0)</f>
        <v>2456</v>
      </c>
      <c r="D52" s="165">
        <f t="shared" si="3"/>
        <v>1379948</v>
      </c>
      <c r="E52" s="166">
        <f t="shared" si="1"/>
        <v>1.6759814659378603E-3</v>
      </c>
      <c r="F52" s="167">
        <f t="shared" si="2"/>
        <v>0.94168048532492632</v>
      </c>
    </row>
    <row r="53" spans="1:6">
      <c r="A53" s="164" t="s">
        <v>211</v>
      </c>
      <c r="B53" s="164" t="s">
        <v>212</v>
      </c>
      <c r="C53" s="163">
        <f>VLOOKUP(A53, 'S07 Initial Parameters'!$A$2:$C$201, 3, 0)</f>
        <v>2454</v>
      </c>
      <c r="D53" s="165">
        <f t="shared" si="3"/>
        <v>1382402</v>
      </c>
      <c r="E53" s="166">
        <f t="shared" si="1"/>
        <v>1.6746166601838393E-3</v>
      </c>
      <c r="F53" s="167">
        <f t="shared" si="2"/>
        <v>0.94335510198511019</v>
      </c>
    </row>
    <row r="54" spans="1:6">
      <c r="A54" s="164" t="s">
        <v>539</v>
      </c>
      <c r="B54" s="164" t="s">
        <v>737</v>
      </c>
      <c r="C54" s="163">
        <f>VLOOKUP(A54, 'S07 Initial Parameters'!$A$2:$C$201, 3, 0)</f>
        <v>2342</v>
      </c>
      <c r="D54" s="165">
        <f t="shared" si="3"/>
        <v>1384744</v>
      </c>
      <c r="E54" s="166">
        <f t="shared" si="1"/>
        <v>1.5981875379586601E-3</v>
      </c>
      <c r="F54" s="167">
        <f t="shared" si="2"/>
        <v>0.9449532895230689</v>
      </c>
    </row>
    <row r="55" spans="1:6">
      <c r="A55" s="164" t="s">
        <v>540</v>
      </c>
      <c r="B55" s="164" t="s">
        <v>710</v>
      </c>
      <c r="C55" s="163">
        <f>VLOOKUP(A55, 'S07 Initial Parameters'!$A$2:$C$201, 3, 0)</f>
        <v>2226</v>
      </c>
      <c r="D55" s="165">
        <f t="shared" si="3"/>
        <v>1386970</v>
      </c>
      <c r="E55" s="166">
        <f t="shared" si="1"/>
        <v>1.5190288042254386E-3</v>
      </c>
      <c r="F55" s="167">
        <f t="shared" si="2"/>
        <v>0.94647231832729428</v>
      </c>
    </row>
    <row r="56" spans="1:6">
      <c r="A56" s="164" t="s">
        <v>556</v>
      </c>
      <c r="B56" s="164" t="s">
        <v>727</v>
      </c>
      <c r="C56" s="163">
        <f>VLOOKUP(A56, 'S07 Initial Parameters'!$A$2:$C$201, 3, 0)</f>
        <v>2189</v>
      </c>
      <c r="D56" s="165">
        <f t="shared" si="3"/>
        <v>1389159</v>
      </c>
      <c r="E56" s="166">
        <f t="shared" si="1"/>
        <v>1.493779897776049E-3</v>
      </c>
      <c r="F56" s="167">
        <f t="shared" si="2"/>
        <v>0.94796609822507039</v>
      </c>
    </row>
    <row r="57" spans="1:6">
      <c r="A57" s="164" t="s">
        <v>528</v>
      </c>
      <c r="B57" s="164" t="s">
        <v>759</v>
      </c>
      <c r="C57" s="163">
        <f>VLOOKUP(A57, 'S07 Initial Parameters'!$A$2:$C$201, 3, 0)</f>
        <v>2156</v>
      </c>
      <c r="D57" s="165">
        <f t="shared" si="3"/>
        <v>1391315</v>
      </c>
      <c r="E57" s="166">
        <f t="shared" si="1"/>
        <v>1.4712606028347015E-3</v>
      </c>
      <c r="F57" s="167">
        <f t="shared" si="2"/>
        <v>0.94943735882790514</v>
      </c>
    </row>
    <row r="58" spans="1:6">
      <c r="A58" s="164" t="s">
        <v>215</v>
      </c>
      <c r="B58" s="164" t="s">
        <v>216</v>
      </c>
      <c r="C58" s="163">
        <f>VLOOKUP(A58, 'S07 Initial Parameters'!$A$2:$C$201, 3, 0)</f>
        <v>2156</v>
      </c>
      <c r="D58" s="165">
        <f t="shared" si="3"/>
        <v>1393471</v>
      </c>
      <c r="E58" s="166">
        <f t="shared" si="1"/>
        <v>1.4712606028347015E-3</v>
      </c>
      <c r="F58" s="167">
        <f t="shared" si="2"/>
        <v>0.9509086194307399</v>
      </c>
    </row>
    <row r="59" spans="1:6">
      <c r="A59" s="164" t="s">
        <v>217</v>
      </c>
      <c r="B59" s="164" t="s">
        <v>218</v>
      </c>
      <c r="C59" s="163">
        <f>VLOOKUP(A59, 'S07 Initial Parameters'!$A$2:$C$201, 3, 0)</f>
        <v>2154</v>
      </c>
      <c r="D59" s="165">
        <f t="shared" si="3"/>
        <v>1395625</v>
      </c>
      <c r="E59" s="166">
        <f t="shared" si="1"/>
        <v>1.4698957970806805E-3</v>
      </c>
      <c r="F59" s="167">
        <f t="shared" si="2"/>
        <v>0.95237851522782058</v>
      </c>
    </row>
    <row r="60" spans="1:6">
      <c r="A60" s="164" t="s">
        <v>537</v>
      </c>
      <c r="B60" s="164" t="s">
        <v>735</v>
      </c>
      <c r="C60" s="163">
        <f>VLOOKUP(A60, 'S07 Initial Parameters'!$A$2:$C$201, 3, 0)</f>
        <v>2154</v>
      </c>
      <c r="D60" s="165">
        <f t="shared" si="3"/>
        <v>1397779</v>
      </c>
      <c r="E60" s="166">
        <f t="shared" si="1"/>
        <v>1.4698957970806805E-3</v>
      </c>
      <c r="F60" s="167">
        <f t="shared" si="2"/>
        <v>0.95384841102490125</v>
      </c>
    </row>
    <row r="61" spans="1:6">
      <c r="A61" s="164" t="s">
        <v>221</v>
      </c>
      <c r="B61" s="164" t="s">
        <v>222</v>
      </c>
      <c r="C61" s="163">
        <f>VLOOKUP(A61, 'S07 Initial Parameters'!$A$2:$C$201, 3, 0)</f>
        <v>2154</v>
      </c>
      <c r="D61" s="165">
        <f t="shared" si="3"/>
        <v>1399933</v>
      </c>
      <c r="E61" s="166">
        <f t="shared" si="1"/>
        <v>1.4698957970806805E-3</v>
      </c>
      <c r="F61" s="167">
        <f t="shared" si="2"/>
        <v>0.95531830682198193</v>
      </c>
    </row>
    <row r="62" spans="1:6">
      <c r="A62" s="164" t="s">
        <v>515</v>
      </c>
      <c r="B62" s="164" t="s">
        <v>743</v>
      </c>
      <c r="C62" s="163">
        <f>VLOOKUP(A62, 'S07 Initial Parameters'!$A$2:$C$201, 3, 0)</f>
        <v>2014</v>
      </c>
      <c r="D62" s="165">
        <f t="shared" si="3"/>
        <v>1401947</v>
      </c>
      <c r="E62" s="166">
        <f t="shared" si="1"/>
        <v>1.3743593942992063E-3</v>
      </c>
      <c r="F62" s="167">
        <f t="shared" si="2"/>
        <v>0.95669266621628113</v>
      </c>
    </row>
    <row r="63" spans="1:6">
      <c r="A63" s="164" t="s">
        <v>513</v>
      </c>
      <c r="B63" s="164" t="s">
        <v>741</v>
      </c>
      <c r="C63" s="163">
        <f>VLOOKUP(A63, 'S07 Initial Parameters'!$A$2:$C$201, 3, 0)</f>
        <v>1987</v>
      </c>
      <c r="D63" s="165">
        <f t="shared" si="3"/>
        <v>1403934</v>
      </c>
      <c r="E63" s="166">
        <f t="shared" si="1"/>
        <v>1.355934516619922E-3</v>
      </c>
      <c r="F63" s="167">
        <f t="shared" si="2"/>
        <v>0.9580486007329011</v>
      </c>
    </row>
    <row r="64" spans="1:6">
      <c r="A64" s="164" t="s">
        <v>507</v>
      </c>
      <c r="B64" s="164" t="s">
        <v>755</v>
      </c>
      <c r="C64" s="163">
        <f>VLOOKUP(A64, 'S07 Initial Parameters'!$A$2:$C$201, 3, 0)</f>
        <v>1945</v>
      </c>
      <c r="D64" s="165">
        <f t="shared" si="3"/>
        <v>1405879</v>
      </c>
      <c r="E64" s="166">
        <f t="shared" si="1"/>
        <v>1.3272735957854799E-3</v>
      </c>
      <c r="F64" s="167">
        <f t="shared" si="2"/>
        <v>0.95937587432868654</v>
      </c>
    </row>
    <row r="65" spans="1:6">
      <c r="A65" s="164" t="s">
        <v>519</v>
      </c>
      <c r="B65" s="164" t="s">
        <v>747</v>
      </c>
      <c r="C65" s="163">
        <f>VLOOKUP(A65, 'S07 Initial Parameters'!$A$2:$C$201, 3, 0)</f>
        <v>1750</v>
      </c>
      <c r="D65" s="165">
        <f t="shared" si="3"/>
        <v>1407629</v>
      </c>
      <c r="E65" s="166">
        <f t="shared" si="1"/>
        <v>1.1942050347684267E-3</v>
      </c>
      <c r="F65" s="167">
        <f t="shared" si="2"/>
        <v>0.96057007936345495</v>
      </c>
    </row>
    <row r="66" spans="1:6">
      <c r="A66" s="164" t="s">
        <v>536</v>
      </c>
      <c r="B66" s="164" t="s">
        <v>767</v>
      </c>
      <c r="C66" s="163">
        <f>VLOOKUP(A66, 'S07 Initial Parameters'!$A$2:$C$201, 3, 0)</f>
        <v>1637</v>
      </c>
      <c r="D66" s="165">
        <f t="shared" si="3"/>
        <v>1409266</v>
      </c>
      <c r="E66" s="166">
        <f t="shared" si="1"/>
        <v>1.1170935096662367E-3</v>
      </c>
      <c r="F66" s="167">
        <f t="shared" si="2"/>
        <v>0.96168717287312122</v>
      </c>
    </row>
    <row r="67" spans="1:6">
      <c r="A67" s="164" t="s">
        <v>522</v>
      </c>
      <c r="B67" s="164" t="s">
        <v>750</v>
      </c>
      <c r="C67" s="163">
        <f>VLOOKUP(A67, 'S07 Initial Parameters'!$A$2:$C$201, 3, 0)</f>
        <v>1631</v>
      </c>
      <c r="D67" s="165">
        <f t="shared" ref="D67:D98" si="4">C67+D66</f>
        <v>1410897</v>
      </c>
      <c r="E67" s="166">
        <f t="shared" si="1"/>
        <v>1.1129990924041737E-3</v>
      </c>
      <c r="F67" s="167">
        <f t="shared" si="2"/>
        <v>0.96280017196552536</v>
      </c>
    </row>
    <row r="68" spans="1:6">
      <c r="A68" s="164" t="s">
        <v>510</v>
      </c>
      <c r="B68" s="164" t="s">
        <v>738</v>
      </c>
      <c r="C68" s="163">
        <f>VLOOKUP(A68, 'S07 Initial Parameters'!$A$2:$C$201, 3, 0)</f>
        <v>1612</v>
      </c>
      <c r="D68" s="165">
        <f t="shared" si="4"/>
        <v>1412509</v>
      </c>
      <c r="E68" s="166">
        <f t="shared" ref="E68:E131" si="5">C68/SUM($C$3:$C$202)</f>
        <v>1.1000334377409735E-3</v>
      </c>
      <c r="F68" s="167">
        <f t="shared" ref="F68:F131" si="6">E68+F67</f>
        <v>0.96390020540326637</v>
      </c>
    </row>
    <row r="69" spans="1:6">
      <c r="A69" s="164" t="s">
        <v>530</v>
      </c>
      <c r="B69" s="164" t="s">
        <v>761</v>
      </c>
      <c r="C69" s="163">
        <f>VLOOKUP(A69, 'S07 Initial Parameters'!$A$2:$C$201, 3, 0)</f>
        <v>1554</v>
      </c>
      <c r="D69" s="165">
        <f t="shared" si="4"/>
        <v>1414063</v>
      </c>
      <c r="E69" s="166">
        <f t="shared" si="5"/>
        <v>1.0604540708743628E-3</v>
      </c>
      <c r="F69" s="167">
        <f t="shared" si="6"/>
        <v>0.96496065947414078</v>
      </c>
    </row>
    <row r="70" spans="1:6">
      <c r="A70" s="164" t="s">
        <v>526</v>
      </c>
      <c r="B70" s="164" t="s">
        <v>754</v>
      </c>
      <c r="C70" s="163">
        <f>VLOOKUP(A70, 'S07 Initial Parameters'!$A$2:$C$201, 3, 0)</f>
        <v>1533</v>
      </c>
      <c r="D70" s="165">
        <f t="shared" si="4"/>
        <v>1415596</v>
      </c>
      <c r="E70" s="166">
        <f t="shared" si="5"/>
        <v>1.0461236104571416E-3</v>
      </c>
      <c r="F70" s="167">
        <f t="shared" si="6"/>
        <v>0.96600678308459798</v>
      </c>
    </row>
    <row r="71" spans="1:6">
      <c r="A71" s="164" t="s">
        <v>518</v>
      </c>
      <c r="B71" s="164" t="s">
        <v>746</v>
      </c>
      <c r="C71" s="163">
        <f>VLOOKUP(A71, 'S07 Initial Parameters'!$A$2:$C$201, 3, 0)</f>
        <v>1524</v>
      </c>
      <c r="D71" s="165">
        <f t="shared" si="4"/>
        <v>1417120</v>
      </c>
      <c r="E71" s="166">
        <f t="shared" si="5"/>
        <v>1.039981984564047E-3</v>
      </c>
      <c r="F71" s="167">
        <f t="shared" si="6"/>
        <v>0.96704676506916198</v>
      </c>
    </row>
    <row r="72" spans="1:6">
      <c r="A72" s="164" t="s">
        <v>517</v>
      </c>
      <c r="B72" s="164" t="s">
        <v>744</v>
      </c>
      <c r="C72" s="163">
        <f>VLOOKUP(A72, 'S07 Initial Parameters'!$A$2:$C$201, 3, 0)</f>
        <v>1498</v>
      </c>
      <c r="D72" s="165">
        <f t="shared" si="4"/>
        <v>1418618</v>
      </c>
      <c r="E72" s="166">
        <f t="shared" si="5"/>
        <v>1.0222395097617732E-3</v>
      </c>
      <c r="F72" s="167">
        <f t="shared" si="6"/>
        <v>0.96806900457892375</v>
      </c>
    </row>
    <row r="73" spans="1:6">
      <c r="A73" s="164" t="s">
        <v>509</v>
      </c>
      <c r="B73" s="164" t="s">
        <v>757</v>
      </c>
      <c r="C73" s="163">
        <f>VLOOKUP(A73, 'S07 Initial Parameters'!$A$2:$C$201, 3, 0)</f>
        <v>1425</v>
      </c>
      <c r="D73" s="165">
        <f t="shared" si="4"/>
        <v>1420043</v>
      </c>
      <c r="E73" s="166">
        <f t="shared" si="5"/>
        <v>9.724240997400045E-4</v>
      </c>
      <c r="F73" s="167">
        <f t="shared" si="6"/>
        <v>0.96904142867866372</v>
      </c>
    </row>
    <row r="74" spans="1:6">
      <c r="A74" s="164" t="s">
        <v>514</v>
      </c>
      <c r="B74" s="164" t="s">
        <v>742</v>
      </c>
      <c r="C74" s="163">
        <f>VLOOKUP(A74, 'S07 Initial Parameters'!$A$2:$C$201, 3, 0)</f>
        <v>1413</v>
      </c>
      <c r="D74" s="165">
        <f t="shared" si="4"/>
        <v>1421456</v>
      </c>
      <c r="E74" s="166">
        <f t="shared" si="5"/>
        <v>9.6423526521587815E-4</v>
      </c>
      <c r="F74" s="167">
        <f t="shared" si="6"/>
        <v>0.97000566394387955</v>
      </c>
    </row>
    <row r="75" spans="1:6">
      <c r="A75" s="164" t="s">
        <v>520</v>
      </c>
      <c r="B75" s="164" t="s">
        <v>748</v>
      </c>
      <c r="C75" s="163">
        <f>VLOOKUP(A75, 'S07 Initial Parameters'!$A$2:$C$201, 3, 0)</f>
        <v>1348</v>
      </c>
      <c r="D75" s="165">
        <f t="shared" si="4"/>
        <v>1422804</v>
      </c>
      <c r="E75" s="166">
        <f t="shared" si="5"/>
        <v>9.1987907821019371E-4</v>
      </c>
      <c r="F75" s="167">
        <f t="shared" si="6"/>
        <v>0.97092554302208978</v>
      </c>
    </row>
    <row r="76" spans="1:6">
      <c r="A76" s="164" t="s">
        <v>265</v>
      </c>
      <c r="B76" s="164" t="s">
        <v>266</v>
      </c>
      <c r="C76" s="163">
        <f>VLOOKUP(A76, 'S07 Initial Parameters'!$A$2:$C$201, 3, 0)</f>
        <v>997</v>
      </c>
      <c r="D76" s="165">
        <f t="shared" si="4"/>
        <v>1423801</v>
      </c>
      <c r="E76" s="166">
        <f t="shared" si="5"/>
        <v>6.8035566837949791E-4</v>
      </c>
      <c r="F76" s="167">
        <f t="shared" si="6"/>
        <v>0.97160589869046932</v>
      </c>
    </row>
    <row r="77" spans="1:6">
      <c r="A77" s="164" t="s">
        <v>267</v>
      </c>
      <c r="B77" s="164" t="s">
        <v>268</v>
      </c>
      <c r="C77" s="163">
        <f>VLOOKUP(A77, 'S07 Initial Parameters'!$A$2:$C$201, 3, 0)</f>
        <v>989</v>
      </c>
      <c r="D77" s="165">
        <f t="shared" si="4"/>
        <v>1424790</v>
      </c>
      <c r="E77" s="166">
        <f t="shared" si="5"/>
        <v>6.748964453634136E-4</v>
      </c>
      <c r="F77" s="167">
        <f t="shared" si="6"/>
        <v>0.97228079513583276</v>
      </c>
    </row>
    <row r="78" spans="1:6">
      <c r="A78" s="164" t="s">
        <v>269</v>
      </c>
      <c r="B78" s="164" t="s">
        <v>270</v>
      </c>
      <c r="C78" s="163">
        <f>VLOOKUP(A78, 'S07 Initial Parameters'!$A$2:$C$201, 3, 0)</f>
        <v>981</v>
      </c>
      <c r="D78" s="165">
        <f t="shared" si="4"/>
        <v>1425771</v>
      </c>
      <c r="E78" s="166">
        <f t="shared" si="5"/>
        <v>6.694372223473294E-4</v>
      </c>
      <c r="F78" s="167">
        <f t="shared" si="6"/>
        <v>0.97295023235818012</v>
      </c>
    </row>
    <row r="79" spans="1:6">
      <c r="A79" s="164" t="s">
        <v>271</v>
      </c>
      <c r="B79" s="164" t="s">
        <v>272</v>
      </c>
      <c r="C79" s="163">
        <f>VLOOKUP(A79, 'S07 Initial Parameters'!$A$2:$C$201, 3, 0)</f>
        <v>973</v>
      </c>
      <c r="D79" s="165">
        <f t="shared" si="4"/>
        <v>1426744</v>
      </c>
      <c r="E79" s="166">
        <f t="shared" si="5"/>
        <v>6.639779993312452E-4</v>
      </c>
      <c r="F79" s="167">
        <f t="shared" si="6"/>
        <v>0.97361421035751139</v>
      </c>
    </row>
    <row r="80" spans="1:6">
      <c r="A80" s="164" t="s">
        <v>273</v>
      </c>
      <c r="B80" s="164" t="s">
        <v>274</v>
      </c>
      <c r="C80" s="163">
        <f>VLOOKUP(A80, 'S07 Initial Parameters'!$A$2:$C$201, 3, 0)</f>
        <v>965</v>
      </c>
      <c r="D80" s="165">
        <f t="shared" si="4"/>
        <v>1427709</v>
      </c>
      <c r="E80" s="166">
        <f t="shared" si="5"/>
        <v>6.5851877631516089E-4</v>
      </c>
      <c r="F80" s="167">
        <f t="shared" si="6"/>
        <v>0.97427272913382656</v>
      </c>
    </row>
    <row r="81" spans="1:6">
      <c r="A81" s="164" t="s">
        <v>275</v>
      </c>
      <c r="B81" s="164" t="s">
        <v>276</v>
      </c>
      <c r="C81" s="163">
        <f>VLOOKUP(A81, 'S07 Initial Parameters'!$A$2:$C$201, 3, 0)</f>
        <v>957</v>
      </c>
      <c r="D81" s="165">
        <f t="shared" si="4"/>
        <v>1428666</v>
      </c>
      <c r="E81" s="166">
        <f t="shared" si="5"/>
        <v>6.5305955329907669E-4</v>
      </c>
      <c r="F81" s="167">
        <f t="shared" si="6"/>
        <v>0.97492578868712565</v>
      </c>
    </row>
    <row r="82" spans="1:6">
      <c r="A82" s="164" t="s">
        <v>277</v>
      </c>
      <c r="B82" s="164" t="s">
        <v>278</v>
      </c>
      <c r="C82" s="163">
        <f>VLOOKUP(A82, 'S07 Initial Parameters'!$A$2:$C$201, 3, 0)</f>
        <v>949</v>
      </c>
      <c r="D82" s="165">
        <f t="shared" si="4"/>
        <v>1429615</v>
      </c>
      <c r="E82" s="166">
        <f t="shared" si="5"/>
        <v>6.4760033028299249E-4</v>
      </c>
      <c r="F82" s="167">
        <f t="shared" si="6"/>
        <v>0.97557338901740864</v>
      </c>
    </row>
    <row r="83" spans="1:6">
      <c r="A83" s="164" t="s">
        <v>560</v>
      </c>
      <c r="B83" s="164" t="s">
        <v>718</v>
      </c>
      <c r="C83" s="163">
        <f>VLOOKUP(A83, 'S07 Initial Parameters'!$A$2:$C$201, 3, 0)</f>
        <v>941</v>
      </c>
      <c r="D83" s="165">
        <f t="shared" si="4"/>
        <v>1430556</v>
      </c>
      <c r="E83" s="166">
        <f t="shared" si="5"/>
        <v>6.4214110726690829E-4</v>
      </c>
      <c r="F83" s="167">
        <f t="shared" si="6"/>
        <v>0.97621553012467555</v>
      </c>
    </row>
    <row r="84" spans="1:6">
      <c r="A84" s="164" t="s">
        <v>279</v>
      </c>
      <c r="B84" s="164" t="s">
        <v>280</v>
      </c>
      <c r="C84" s="163">
        <f>VLOOKUP(A84, 'S07 Initial Parameters'!$A$2:$C$201, 3, 0)</f>
        <v>941</v>
      </c>
      <c r="D84" s="165">
        <f t="shared" si="4"/>
        <v>1431497</v>
      </c>
      <c r="E84" s="166">
        <f t="shared" si="5"/>
        <v>6.4214110726690829E-4</v>
      </c>
      <c r="F84" s="167">
        <f t="shared" si="6"/>
        <v>0.97685767123194245</v>
      </c>
    </row>
    <row r="85" spans="1:6">
      <c r="A85" s="164" t="s">
        <v>281</v>
      </c>
      <c r="B85" s="164" t="s">
        <v>282</v>
      </c>
      <c r="C85" s="163">
        <f>VLOOKUP(A85, 'S07 Initial Parameters'!$A$2:$C$201, 3, 0)</f>
        <v>933</v>
      </c>
      <c r="D85" s="165">
        <f t="shared" si="4"/>
        <v>1432430</v>
      </c>
      <c r="E85" s="166">
        <f t="shared" si="5"/>
        <v>6.3668188425082398E-4</v>
      </c>
      <c r="F85" s="167">
        <f t="shared" si="6"/>
        <v>0.97749435311619326</v>
      </c>
    </row>
    <row r="86" spans="1:6">
      <c r="A86" s="164" t="s">
        <v>283</v>
      </c>
      <c r="B86" s="164" t="s">
        <v>284</v>
      </c>
      <c r="C86" s="163">
        <f>VLOOKUP(A86, 'S07 Initial Parameters'!$A$2:$C$201, 3, 0)</f>
        <v>925</v>
      </c>
      <c r="D86" s="165">
        <f t="shared" si="4"/>
        <v>1433355</v>
      </c>
      <c r="E86" s="166">
        <f t="shared" si="5"/>
        <v>6.3122266123473978E-4</v>
      </c>
      <c r="F86" s="167">
        <f t="shared" si="6"/>
        <v>0.97812557577742798</v>
      </c>
    </row>
    <row r="87" spans="1:6">
      <c r="A87" s="164" t="s">
        <v>285</v>
      </c>
      <c r="B87" s="164" t="s">
        <v>286</v>
      </c>
      <c r="C87" s="163">
        <f>VLOOKUP(A87, 'S07 Initial Parameters'!$A$2:$C$201, 3, 0)</f>
        <v>917</v>
      </c>
      <c r="D87" s="165">
        <f t="shared" si="4"/>
        <v>1434272</v>
      </c>
      <c r="E87" s="166">
        <f t="shared" si="5"/>
        <v>6.2576343821865558E-4</v>
      </c>
      <c r="F87" s="167">
        <f t="shared" si="6"/>
        <v>0.97875133921564661</v>
      </c>
    </row>
    <row r="88" spans="1:6">
      <c r="A88" s="164" t="s">
        <v>287</v>
      </c>
      <c r="B88" s="164" t="s">
        <v>288</v>
      </c>
      <c r="C88" s="163">
        <f>VLOOKUP(A88, 'S07 Initial Parameters'!$A$2:$C$201, 3, 0)</f>
        <v>909</v>
      </c>
      <c r="D88" s="165">
        <f t="shared" si="4"/>
        <v>1435181</v>
      </c>
      <c r="E88" s="166">
        <f t="shared" si="5"/>
        <v>6.2030421520257127E-4</v>
      </c>
      <c r="F88" s="167">
        <f t="shared" si="6"/>
        <v>0.97937164343084915</v>
      </c>
    </row>
    <row r="89" spans="1:6">
      <c r="A89" s="164" t="s">
        <v>289</v>
      </c>
      <c r="B89" s="164" t="s">
        <v>290</v>
      </c>
      <c r="C89" s="163">
        <f>VLOOKUP(A89, 'S07 Initial Parameters'!$A$2:$C$201, 3, 0)</f>
        <v>901</v>
      </c>
      <c r="D89" s="165">
        <f t="shared" si="4"/>
        <v>1436082</v>
      </c>
      <c r="E89" s="166">
        <f t="shared" si="5"/>
        <v>6.1484499218648707E-4</v>
      </c>
      <c r="F89" s="167">
        <f t="shared" si="6"/>
        <v>0.9799864884230356</v>
      </c>
    </row>
    <row r="90" spans="1:6">
      <c r="A90" s="164" t="s">
        <v>291</v>
      </c>
      <c r="B90" s="164" t="s">
        <v>292</v>
      </c>
      <c r="C90" s="163">
        <f>VLOOKUP(A90, 'S07 Initial Parameters'!$A$2:$C$201, 3, 0)</f>
        <v>893</v>
      </c>
      <c r="D90" s="165">
        <f t="shared" si="4"/>
        <v>1436975</v>
      </c>
      <c r="E90" s="166">
        <f t="shared" si="5"/>
        <v>6.0938576917040287E-4</v>
      </c>
      <c r="F90" s="167">
        <f t="shared" si="6"/>
        <v>0.98059587419220595</v>
      </c>
    </row>
    <row r="91" spans="1:6">
      <c r="A91" s="164" t="s">
        <v>293</v>
      </c>
      <c r="B91" s="164" t="s">
        <v>294</v>
      </c>
      <c r="C91" s="163">
        <f>VLOOKUP(A91, 'S07 Initial Parameters'!$A$2:$C$201, 3, 0)</f>
        <v>885</v>
      </c>
      <c r="D91" s="165">
        <f t="shared" si="4"/>
        <v>1437860</v>
      </c>
      <c r="E91" s="166">
        <f t="shared" si="5"/>
        <v>6.0392654615431857E-4</v>
      </c>
      <c r="F91" s="167">
        <f t="shared" si="6"/>
        <v>0.98119980073836022</v>
      </c>
    </row>
    <row r="92" spans="1:6">
      <c r="A92" s="164" t="s">
        <v>295</v>
      </c>
      <c r="B92" s="164" t="s">
        <v>296</v>
      </c>
      <c r="C92" s="163">
        <f>VLOOKUP(A92, 'S07 Initial Parameters'!$A$2:$C$201, 3, 0)</f>
        <v>877</v>
      </c>
      <c r="D92" s="165">
        <f t="shared" si="4"/>
        <v>1438737</v>
      </c>
      <c r="E92" s="166">
        <f t="shared" si="5"/>
        <v>5.9846732313823437E-4</v>
      </c>
      <c r="F92" s="167">
        <f t="shared" si="6"/>
        <v>0.9817982680614985</v>
      </c>
    </row>
    <row r="93" spans="1:6">
      <c r="A93" s="164" t="s">
        <v>297</v>
      </c>
      <c r="B93" s="164" t="s">
        <v>298</v>
      </c>
      <c r="C93" s="163">
        <f>VLOOKUP(A93, 'S07 Initial Parameters'!$A$2:$C$201, 3, 0)</f>
        <v>869</v>
      </c>
      <c r="D93" s="165">
        <f t="shared" si="4"/>
        <v>1439606</v>
      </c>
      <c r="E93" s="166">
        <f t="shared" si="5"/>
        <v>5.9300810012215017E-4</v>
      </c>
      <c r="F93" s="167">
        <f t="shared" si="6"/>
        <v>0.9823912761616207</v>
      </c>
    </row>
    <row r="94" spans="1:6">
      <c r="A94" s="164" t="s">
        <v>299</v>
      </c>
      <c r="B94" s="164" t="s">
        <v>300</v>
      </c>
      <c r="C94" s="163">
        <f>VLOOKUP(A94, 'S07 Initial Parameters'!$A$2:$C$201, 3, 0)</f>
        <v>861</v>
      </c>
      <c r="D94" s="165">
        <f t="shared" si="4"/>
        <v>1440467</v>
      </c>
      <c r="E94" s="166">
        <f t="shared" si="5"/>
        <v>5.8754887710606586E-4</v>
      </c>
      <c r="F94" s="167">
        <f t="shared" si="6"/>
        <v>0.9829788250387268</v>
      </c>
    </row>
    <row r="95" spans="1:6">
      <c r="A95" s="164" t="s">
        <v>301</v>
      </c>
      <c r="B95" s="164" t="s">
        <v>302</v>
      </c>
      <c r="C95" s="163">
        <f>VLOOKUP(A95, 'S07 Initial Parameters'!$A$2:$C$201, 3, 0)</f>
        <v>853</v>
      </c>
      <c r="D95" s="165">
        <f t="shared" si="4"/>
        <v>1441320</v>
      </c>
      <c r="E95" s="166">
        <f t="shared" si="5"/>
        <v>5.8208965408998166E-4</v>
      </c>
      <c r="F95" s="167">
        <f t="shared" si="6"/>
        <v>0.98356091469281681</v>
      </c>
    </row>
    <row r="96" spans="1:6">
      <c r="A96" s="164" t="s">
        <v>303</v>
      </c>
      <c r="B96" s="164" t="s">
        <v>304</v>
      </c>
      <c r="C96" s="163">
        <f>VLOOKUP(A96, 'S07 Initial Parameters'!$A$2:$C$201, 3, 0)</f>
        <v>845</v>
      </c>
      <c r="D96" s="165">
        <f t="shared" si="4"/>
        <v>1442165</v>
      </c>
      <c r="E96" s="166">
        <f t="shared" si="5"/>
        <v>5.7663043107389746E-4</v>
      </c>
      <c r="F96" s="167">
        <f t="shared" si="6"/>
        <v>0.98413754512389073</v>
      </c>
    </row>
    <row r="97" spans="1:6">
      <c r="A97" s="164" t="s">
        <v>305</v>
      </c>
      <c r="B97" s="164" t="s">
        <v>306</v>
      </c>
      <c r="C97" s="163">
        <f>VLOOKUP(A97, 'S07 Initial Parameters'!$A$2:$C$201, 3, 0)</f>
        <v>837</v>
      </c>
      <c r="D97" s="165">
        <f t="shared" si="4"/>
        <v>1443002</v>
      </c>
      <c r="E97" s="166">
        <f t="shared" si="5"/>
        <v>5.7117120805781315E-4</v>
      </c>
      <c r="F97" s="167">
        <f t="shared" si="6"/>
        <v>0.98470871633194856</v>
      </c>
    </row>
    <row r="98" spans="1:6">
      <c r="A98" s="164" t="s">
        <v>307</v>
      </c>
      <c r="B98" s="164" t="s">
        <v>308</v>
      </c>
      <c r="C98" s="163">
        <f>VLOOKUP(A98, 'S07 Initial Parameters'!$A$2:$C$201, 3, 0)</f>
        <v>829</v>
      </c>
      <c r="D98" s="165">
        <f t="shared" si="4"/>
        <v>1443831</v>
      </c>
      <c r="E98" s="166">
        <f t="shared" si="5"/>
        <v>5.6571198504172895E-4</v>
      </c>
      <c r="F98" s="167">
        <f t="shared" si="6"/>
        <v>0.9852744283169903</v>
      </c>
    </row>
    <row r="99" spans="1:6">
      <c r="A99" s="164" t="s">
        <v>563</v>
      </c>
      <c r="B99" s="164" t="s">
        <v>721</v>
      </c>
      <c r="C99" s="163">
        <f>VLOOKUP(A99, 'S07 Initial Parameters'!$A$2:$C$201, 3, 0)</f>
        <v>771</v>
      </c>
      <c r="D99" s="165">
        <f t="shared" ref="D99:D130" si="7">C99+D98</f>
        <v>1444602</v>
      </c>
      <c r="E99" s="166">
        <f t="shared" si="5"/>
        <v>5.261326181751182E-4</v>
      </c>
      <c r="F99" s="167">
        <f t="shared" si="6"/>
        <v>0.98580056093516544</v>
      </c>
    </row>
    <row r="100" spans="1:6">
      <c r="A100" s="164" t="s">
        <v>309</v>
      </c>
      <c r="B100" s="164" t="s">
        <v>310</v>
      </c>
      <c r="C100" s="163">
        <f>VLOOKUP(A100, 'S07 Initial Parameters'!$A$2:$C$201, 3, 0)</f>
        <v>732</v>
      </c>
      <c r="D100" s="165">
        <f t="shared" si="7"/>
        <v>1445334</v>
      </c>
      <c r="E100" s="166">
        <f t="shared" si="5"/>
        <v>4.995189059717076E-4</v>
      </c>
      <c r="F100" s="167">
        <f t="shared" si="6"/>
        <v>0.9863000798411371</v>
      </c>
    </row>
    <row r="101" spans="1:6">
      <c r="A101" s="164" t="s">
        <v>227</v>
      </c>
      <c r="B101" s="164" t="s">
        <v>228</v>
      </c>
      <c r="C101" s="163">
        <f>VLOOKUP(A101, 'S07 Initial Parameters'!$A$2:$C$201, 3, 0)</f>
        <v>668</v>
      </c>
      <c r="D101" s="165">
        <f t="shared" si="7"/>
        <v>1446002</v>
      </c>
      <c r="E101" s="166">
        <f t="shared" si="5"/>
        <v>4.5584512184303368E-4</v>
      </c>
      <c r="F101" s="167">
        <f t="shared" si="6"/>
        <v>0.98675592496298015</v>
      </c>
    </row>
    <row r="102" spans="1:6">
      <c r="A102" s="164" t="s">
        <v>311</v>
      </c>
      <c r="B102" s="164" t="s">
        <v>312</v>
      </c>
      <c r="C102" s="163">
        <f>VLOOKUP(A102, 'S07 Initial Parameters'!$A$2:$C$201, 3, 0)</f>
        <v>666</v>
      </c>
      <c r="D102" s="165">
        <f t="shared" si="7"/>
        <v>1446668</v>
      </c>
      <c r="E102" s="166">
        <f t="shared" si="5"/>
        <v>4.5448031608901266E-4</v>
      </c>
      <c r="F102" s="167">
        <f t="shared" si="6"/>
        <v>0.98721040527906911</v>
      </c>
    </row>
    <row r="103" spans="1:6">
      <c r="A103" s="164" t="s">
        <v>313</v>
      </c>
      <c r="B103" s="164" t="s">
        <v>314</v>
      </c>
      <c r="C103" s="163">
        <f>VLOOKUP(A103, 'S07 Initial Parameters'!$A$2:$C$201, 3, 0)</f>
        <v>600</v>
      </c>
      <c r="D103" s="165">
        <f t="shared" si="7"/>
        <v>1447268</v>
      </c>
      <c r="E103" s="166">
        <f t="shared" si="5"/>
        <v>4.0944172620631771E-4</v>
      </c>
      <c r="F103" s="167">
        <f t="shared" si="6"/>
        <v>0.98761984700527539</v>
      </c>
    </row>
    <row r="104" spans="1:6">
      <c r="A104" s="164" t="s">
        <v>315</v>
      </c>
      <c r="B104" s="164" t="s">
        <v>316</v>
      </c>
      <c r="C104" s="163">
        <f>VLOOKUP(A104, 'S07 Initial Parameters'!$A$2:$C$201, 3, 0)</f>
        <v>534</v>
      </c>
      <c r="D104" s="165">
        <f t="shared" si="7"/>
        <v>1447802</v>
      </c>
      <c r="E104" s="166">
        <f t="shared" si="5"/>
        <v>3.6440313632362276E-4</v>
      </c>
      <c r="F104" s="167">
        <f t="shared" si="6"/>
        <v>0.98798425014159896</v>
      </c>
    </row>
    <row r="105" spans="1:6">
      <c r="A105" s="164" t="s">
        <v>317</v>
      </c>
      <c r="B105" s="164" t="s">
        <v>318</v>
      </c>
      <c r="C105" s="163">
        <f>VLOOKUP(A105, 'S07 Initial Parameters'!$A$2:$C$201, 3, 0)</f>
        <v>468</v>
      </c>
      <c r="D105" s="165">
        <f t="shared" si="7"/>
        <v>1448270</v>
      </c>
      <c r="E105" s="166">
        <f t="shared" si="5"/>
        <v>3.1936454644092781E-4</v>
      </c>
      <c r="F105" s="167">
        <f t="shared" si="6"/>
        <v>0.98830361468803984</v>
      </c>
    </row>
    <row r="106" spans="1:6">
      <c r="A106" s="164" t="s">
        <v>562</v>
      </c>
      <c r="B106" s="164" t="s">
        <v>720</v>
      </c>
      <c r="C106" s="163">
        <f>VLOOKUP(A106, 'S07 Initial Parameters'!$A$2:$C$201, 3, 0)</f>
        <v>407</v>
      </c>
      <c r="D106" s="165">
        <f t="shared" si="7"/>
        <v>1448677</v>
      </c>
      <c r="E106" s="166">
        <f t="shared" si="5"/>
        <v>2.7773797094328548E-4</v>
      </c>
      <c r="F106" s="167">
        <f t="shared" si="6"/>
        <v>0.98858135265898317</v>
      </c>
    </row>
    <row r="107" spans="1:6">
      <c r="A107" s="164" t="s">
        <v>319</v>
      </c>
      <c r="B107" s="164" t="s">
        <v>320</v>
      </c>
      <c r="C107" s="163">
        <f>VLOOKUP(A107, 'S07 Initial Parameters'!$A$2:$C$201, 3, 0)</f>
        <v>402</v>
      </c>
      <c r="D107" s="165">
        <f t="shared" si="7"/>
        <v>1449079</v>
      </c>
      <c r="E107" s="166">
        <f t="shared" si="5"/>
        <v>2.7432595655823286E-4</v>
      </c>
      <c r="F107" s="167">
        <f t="shared" si="6"/>
        <v>0.98885567861554136</v>
      </c>
    </row>
    <row r="108" spans="1:6">
      <c r="A108" s="164" t="s">
        <v>321</v>
      </c>
      <c r="B108" s="164" t="s">
        <v>322</v>
      </c>
      <c r="C108" s="163">
        <f>VLOOKUP(A108, 'S07 Initial Parameters'!$A$2:$C$201, 3, 0)</f>
        <v>336</v>
      </c>
      <c r="D108" s="165">
        <f t="shared" si="7"/>
        <v>1449415</v>
      </c>
      <c r="E108" s="166">
        <f t="shared" si="5"/>
        <v>2.2928736667553792E-4</v>
      </c>
      <c r="F108" s="167">
        <f t="shared" si="6"/>
        <v>0.98908496598221685</v>
      </c>
    </row>
    <row r="109" spans="1:6">
      <c r="A109" s="164" t="s">
        <v>323</v>
      </c>
      <c r="B109" s="164" t="s">
        <v>324</v>
      </c>
      <c r="C109" s="163">
        <f>VLOOKUP(A109, 'S07 Initial Parameters'!$A$2:$C$201, 3, 0)</f>
        <v>270</v>
      </c>
      <c r="D109" s="165">
        <f t="shared" si="7"/>
        <v>1449685</v>
      </c>
      <c r="E109" s="166">
        <f t="shared" si="5"/>
        <v>1.8424877679284297E-4</v>
      </c>
      <c r="F109" s="167">
        <f t="shared" si="6"/>
        <v>0.98926921475900964</v>
      </c>
    </row>
    <row r="110" spans="1:6">
      <c r="A110" s="164" t="s">
        <v>213</v>
      </c>
      <c r="B110" s="164" t="s">
        <v>214</v>
      </c>
      <c r="C110" s="163">
        <f>VLOOKUP(A110, 'S07 Initial Parameters'!$A$2:$C$201, 3, 0)</f>
        <v>258</v>
      </c>
      <c r="D110" s="165">
        <f t="shared" si="7"/>
        <v>1449943</v>
      </c>
      <c r="E110" s="166">
        <f t="shared" si="5"/>
        <v>1.7605994226871661E-4</v>
      </c>
      <c r="F110" s="167">
        <f t="shared" si="6"/>
        <v>0.98944527470127841</v>
      </c>
    </row>
    <row r="111" spans="1:6">
      <c r="A111" s="164" t="s">
        <v>527</v>
      </c>
      <c r="B111" s="164" t="s">
        <v>758</v>
      </c>
      <c r="C111" s="163">
        <f>VLOOKUP(A111, 'S07 Initial Parameters'!$A$2:$C$201, 3, 0)</f>
        <v>245</v>
      </c>
      <c r="D111" s="165">
        <f t="shared" si="7"/>
        <v>1450188</v>
      </c>
      <c r="E111" s="166">
        <f t="shared" si="5"/>
        <v>1.6718870486757972E-4</v>
      </c>
      <c r="F111" s="167">
        <f t="shared" si="6"/>
        <v>0.98961246340614595</v>
      </c>
    </row>
    <row r="112" spans="1:6">
      <c r="A112" s="164" t="s">
        <v>559</v>
      </c>
      <c r="B112" s="164" t="s">
        <v>717</v>
      </c>
      <c r="C112" s="163">
        <f>VLOOKUP(A112, 'S07 Initial Parameters'!$A$2:$C$201, 3, 0)</f>
        <v>235</v>
      </c>
      <c r="D112" s="165">
        <f t="shared" si="7"/>
        <v>1450423</v>
      </c>
      <c r="E112" s="166">
        <f t="shared" si="5"/>
        <v>1.6036467609747442E-4</v>
      </c>
      <c r="F112" s="167">
        <f t="shared" si="6"/>
        <v>0.98977282808224343</v>
      </c>
    </row>
    <row r="113" spans="1:6">
      <c r="A113" s="164" t="s">
        <v>229</v>
      </c>
      <c r="B113" s="164" t="s">
        <v>230</v>
      </c>
      <c r="C113" s="163">
        <f>VLOOKUP(A113, 'S07 Initial Parameters'!$A$2:$C$201, 3, 0)</f>
        <v>233</v>
      </c>
      <c r="D113" s="165">
        <f t="shared" si="7"/>
        <v>1450656</v>
      </c>
      <c r="E113" s="166">
        <f t="shared" si="5"/>
        <v>1.5899987034345337E-4</v>
      </c>
      <c r="F113" s="167">
        <f t="shared" si="6"/>
        <v>0.98993182795258683</v>
      </c>
    </row>
    <row r="114" spans="1:6">
      <c r="A114" s="164" t="s">
        <v>231</v>
      </c>
      <c r="B114" s="164" t="s">
        <v>232</v>
      </c>
      <c r="C114" s="163">
        <f>VLOOKUP(A114, 'S07 Initial Parameters'!$A$2:$C$201, 3, 0)</f>
        <v>224</v>
      </c>
      <c r="D114" s="165">
        <f t="shared" si="7"/>
        <v>1450880</v>
      </c>
      <c r="E114" s="166">
        <f t="shared" si="5"/>
        <v>1.528582444503586E-4</v>
      </c>
      <c r="F114" s="167">
        <f t="shared" si="6"/>
        <v>0.99008468619703716</v>
      </c>
    </row>
    <row r="115" spans="1:6">
      <c r="A115" s="164" t="s">
        <v>561</v>
      </c>
      <c r="B115" s="164" t="s">
        <v>719</v>
      </c>
      <c r="C115" s="163">
        <f>VLOOKUP(A115, 'S07 Initial Parameters'!$A$2:$C$201, 3, 0)</f>
        <v>220</v>
      </c>
      <c r="D115" s="165">
        <f t="shared" si="7"/>
        <v>1451100</v>
      </c>
      <c r="E115" s="166">
        <f t="shared" si="5"/>
        <v>1.5012863294231647E-4</v>
      </c>
      <c r="F115" s="167">
        <f t="shared" si="6"/>
        <v>0.99023481482997944</v>
      </c>
    </row>
    <row r="116" spans="1:6">
      <c r="A116" s="164" t="s">
        <v>219</v>
      </c>
      <c r="B116" s="164" t="s">
        <v>220</v>
      </c>
      <c r="C116" s="163">
        <f>VLOOKUP(A116, 'S07 Initial Parameters'!$A$2:$C$201, 3, 0)</f>
        <v>215</v>
      </c>
      <c r="D116" s="165">
        <f t="shared" si="7"/>
        <v>1451315</v>
      </c>
      <c r="E116" s="166">
        <f t="shared" si="5"/>
        <v>1.4671661855726384E-4</v>
      </c>
      <c r="F116" s="167">
        <f t="shared" si="6"/>
        <v>0.99038153144853669</v>
      </c>
    </row>
    <row r="117" spans="1:6">
      <c r="A117" s="164" t="s">
        <v>223</v>
      </c>
      <c r="B117" s="164" t="s">
        <v>224</v>
      </c>
      <c r="C117" s="163">
        <f>VLOOKUP(A117, 'S07 Initial Parameters'!$A$2:$C$201, 3, 0)</f>
        <v>213</v>
      </c>
      <c r="D117" s="165">
        <f t="shared" si="7"/>
        <v>1451528</v>
      </c>
      <c r="E117" s="166">
        <f t="shared" si="5"/>
        <v>1.4535181280324279E-4</v>
      </c>
      <c r="F117" s="167">
        <f t="shared" si="6"/>
        <v>0.99052688326133997</v>
      </c>
    </row>
    <row r="118" spans="1:6">
      <c r="A118" s="164" t="s">
        <v>233</v>
      </c>
      <c r="B118" s="164" t="s">
        <v>234</v>
      </c>
      <c r="C118" s="163">
        <f>VLOOKUP(A118, 'S07 Initial Parameters'!$A$2:$C$201, 3, 0)</f>
        <v>213</v>
      </c>
      <c r="D118" s="165">
        <f t="shared" si="7"/>
        <v>1451741</v>
      </c>
      <c r="E118" s="166">
        <f t="shared" si="5"/>
        <v>1.4535181280324279E-4</v>
      </c>
      <c r="F118" s="167">
        <f t="shared" si="6"/>
        <v>0.99067223507414326</v>
      </c>
    </row>
    <row r="119" spans="1:6">
      <c r="A119" s="164" t="s">
        <v>325</v>
      </c>
      <c r="B119" s="164" t="s">
        <v>326</v>
      </c>
      <c r="C119" s="163">
        <f>VLOOKUP(A119, 'S07 Initial Parameters'!$A$2:$C$201, 3, 0)</f>
        <v>204</v>
      </c>
      <c r="D119" s="165">
        <f t="shared" si="7"/>
        <v>1451945</v>
      </c>
      <c r="E119" s="166">
        <f t="shared" si="5"/>
        <v>1.3921018691014802E-4</v>
      </c>
      <c r="F119" s="167">
        <f t="shared" si="6"/>
        <v>0.99081144526105336</v>
      </c>
    </row>
    <row r="120" spans="1:6">
      <c r="A120" s="164" t="s">
        <v>327</v>
      </c>
      <c r="B120" s="164" t="s">
        <v>328</v>
      </c>
      <c r="C120" s="163">
        <f>VLOOKUP(A120, 'S07 Initial Parameters'!$A$2:$C$201, 3, 0)</f>
        <v>203</v>
      </c>
      <c r="D120" s="165">
        <f t="shared" si="7"/>
        <v>1452148</v>
      </c>
      <c r="E120" s="166">
        <f t="shared" si="5"/>
        <v>1.3852778403313748E-4</v>
      </c>
      <c r="F120" s="167">
        <f t="shared" si="6"/>
        <v>0.99094997304508647</v>
      </c>
    </row>
    <row r="121" spans="1:6">
      <c r="A121" s="164" t="s">
        <v>235</v>
      </c>
      <c r="B121" s="164" t="s">
        <v>236</v>
      </c>
      <c r="C121" s="163">
        <f>VLOOKUP(A121, 'S07 Initial Parameters'!$A$2:$C$201, 3, 0)</f>
        <v>202</v>
      </c>
      <c r="D121" s="165">
        <f t="shared" si="7"/>
        <v>1452350</v>
      </c>
      <c r="E121" s="166">
        <f t="shared" si="5"/>
        <v>1.3784538115612694E-4</v>
      </c>
      <c r="F121" s="167">
        <f t="shared" si="6"/>
        <v>0.99108781842624261</v>
      </c>
    </row>
    <row r="122" spans="1:6">
      <c r="A122" s="164" t="s">
        <v>329</v>
      </c>
      <c r="B122" s="164" t="s">
        <v>330</v>
      </c>
      <c r="C122" s="163">
        <f>VLOOKUP(A122, 'S07 Initial Parameters'!$A$2:$C$201, 3, 0)</f>
        <v>202</v>
      </c>
      <c r="D122" s="165">
        <f t="shared" si="7"/>
        <v>1452552</v>
      </c>
      <c r="E122" s="166">
        <f t="shared" si="5"/>
        <v>1.3784538115612694E-4</v>
      </c>
      <c r="F122" s="167">
        <f t="shared" si="6"/>
        <v>0.99122566380739874</v>
      </c>
    </row>
    <row r="123" spans="1:6">
      <c r="A123" s="164" t="s">
        <v>331</v>
      </c>
      <c r="B123" s="164" t="s">
        <v>332</v>
      </c>
      <c r="C123" s="163">
        <f>VLOOKUP(A123, 'S07 Initial Parameters'!$A$2:$C$201, 3, 0)</f>
        <v>201</v>
      </c>
      <c r="D123" s="165">
        <f t="shared" si="7"/>
        <v>1452753</v>
      </c>
      <c r="E123" s="166">
        <f t="shared" si="5"/>
        <v>1.3716297827911643E-4</v>
      </c>
      <c r="F123" s="167">
        <f t="shared" si="6"/>
        <v>0.99136282678567789</v>
      </c>
    </row>
    <row r="124" spans="1:6">
      <c r="A124" s="164" t="s">
        <v>333</v>
      </c>
      <c r="B124" s="164" t="s">
        <v>334</v>
      </c>
      <c r="C124" s="163">
        <f>VLOOKUP(A124, 'S07 Initial Parameters'!$A$2:$C$201, 3, 0)</f>
        <v>200</v>
      </c>
      <c r="D124" s="165">
        <f t="shared" si="7"/>
        <v>1452953</v>
      </c>
      <c r="E124" s="166">
        <f t="shared" si="5"/>
        <v>1.3648057540210589E-4</v>
      </c>
      <c r="F124" s="167">
        <f t="shared" si="6"/>
        <v>0.99149930736107994</v>
      </c>
    </row>
    <row r="125" spans="1:6">
      <c r="A125" s="164" t="s">
        <v>335</v>
      </c>
      <c r="B125" s="164" t="s">
        <v>336</v>
      </c>
      <c r="C125" s="163">
        <f>VLOOKUP(A125, 'S07 Initial Parameters'!$A$2:$C$201, 3, 0)</f>
        <v>199</v>
      </c>
      <c r="D125" s="165">
        <f t="shared" si="7"/>
        <v>1453152</v>
      </c>
      <c r="E125" s="166">
        <f t="shared" si="5"/>
        <v>1.3579817252509536E-4</v>
      </c>
      <c r="F125" s="167">
        <f t="shared" si="6"/>
        <v>0.99163510553360501</v>
      </c>
    </row>
    <row r="126" spans="1:6">
      <c r="A126" s="164" t="s">
        <v>337</v>
      </c>
      <c r="B126" s="164" t="s">
        <v>338</v>
      </c>
      <c r="C126" s="163">
        <f>VLOOKUP(A126, 'S07 Initial Parameters'!$A$2:$C$201, 3, 0)</f>
        <v>198</v>
      </c>
      <c r="D126" s="165">
        <f t="shared" si="7"/>
        <v>1453350</v>
      </c>
      <c r="E126" s="166">
        <f t="shared" si="5"/>
        <v>1.3511576964808484E-4</v>
      </c>
      <c r="F126" s="167">
        <f t="shared" si="6"/>
        <v>0.9917702213032531</v>
      </c>
    </row>
    <row r="127" spans="1:6">
      <c r="A127" s="164" t="s">
        <v>339</v>
      </c>
      <c r="B127" s="164" t="s">
        <v>340</v>
      </c>
      <c r="C127" s="163">
        <f>VLOOKUP(A127, 'S07 Initial Parameters'!$A$2:$C$201, 3, 0)</f>
        <v>197</v>
      </c>
      <c r="D127" s="165">
        <f t="shared" si="7"/>
        <v>1453547</v>
      </c>
      <c r="E127" s="166">
        <f t="shared" si="5"/>
        <v>1.3443336677107431E-4</v>
      </c>
      <c r="F127" s="167">
        <f t="shared" si="6"/>
        <v>0.9919046546700242</v>
      </c>
    </row>
    <row r="128" spans="1:6">
      <c r="A128" s="164" t="s">
        <v>341</v>
      </c>
      <c r="B128" s="164" t="s">
        <v>342</v>
      </c>
      <c r="C128" s="163">
        <f>VLOOKUP(A128, 'S07 Initial Parameters'!$A$2:$C$201, 3, 0)</f>
        <v>196</v>
      </c>
      <c r="D128" s="165">
        <f t="shared" si="7"/>
        <v>1453743</v>
      </c>
      <c r="E128" s="166">
        <f t="shared" si="5"/>
        <v>1.3375096389406377E-4</v>
      </c>
      <c r="F128" s="167">
        <f t="shared" si="6"/>
        <v>0.99203840563391832</v>
      </c>
    </row>
    <row r="129" spans="1:6">
      <c r="A129" s="164" t="s">
        <v>343</v>
      </c>
      <c r="B129" s="164" t="s">
        <v>344</v>
      </c>
      <c r="C129" s="163">
        <f>VLOOKUP(A129, 'S07 Initial Parameters'!$A$2:$C$201, 3, 0)</f>
        <v>195</v>
      </c>
      <c r="D129" s="165">
        <f t="shared" si="7"/>
        <v>1453938</v>
      </c>
      <c r="E129" s="166">
        <f t="shared" si="5"/>
        <v>1.3306856101705326E-4</v>
      </c>
      <c r="F129" s="167">
        <f t="shared" si="6"/>
        <v>0.99217147419493534</v>
      </c>
    </row>
    <row r="130" spans="1:6">
      <c r="A130" s="164" t="s">
        <v>345</v>
      </c>
      <c r="B130" s="164" t="s">
        <v>346</v>
      </c>
      <c r="C130" s="163">
        <f>VLOOKUP(A130, 'S07 Initial Parameters'!$A$2:$C$201, 3, 0)</f>
        <v>194</v>
      </c>
      <c r="D130" s="165">
        <f t="shared" si="7"/>
        <v>1454132</v>
      </c>
      <c r="E130" s="166">
        <f t="shared" si="5"/>
        <v>1.3238615814004272E-4</v>
      </c>
      <c r="F130" s="167">
        <f t="shared" si="6"/>
        <v>0.99230386035307538</v>
      </c>
    </row>
    <row r="131" spans="1:6">
      <c r="A131" s="164" t="s">
        <v>347</v>
      </c>
      <c r="B131" s="164" t="s">
        <v>348</v>
      </c>
      <c r="C131" s="163">
        <f>VLOOKUP(A131, 'S07 Initial Parameters'!$A$2:$C$201, 3, 0)</f>
        <v>193</v>
      </c>
      <c r="D131" s="165">
        <f t="shared" ref="D131:D162" si="8">C131+D130</f>
        <v>1454325</v>
      </c>
      <c r="E131" s="166">
        <f t="shared" si="5"/>
        <v>1.3170375526303218E-4</v>
      </c>
      <c r="F131" s="167">
        <f t="shared" si="6"/>
        <v>0.99243556410833844</v>
      </c>
    </row>
    <row r="132" spans="1:6">
      <c r="A132" s="164" t="s">
        <v>349</v>
      </c>
      <c r="B132" s="164" t="s">
        <v>350</v>
      </c>
      <c r="C132" s="163">
        <f>VLOOKUP(A132, 'S07 Initial Parameters'!$A$2:$C$201, 3, 0)</f>
        <v>192</v>
      </c>
      <c r="D132" s="165">
        <f t="shared" si="8"/>
        <v>1454517</v>
      </c>
      <c r="E132" s="166">
        <f t="shared" ref="E132:E195" si="9">C132/SUM($C$3:$C$202)</f>
        <v>1.3102135238602167E-4</v>
      </c>
      <c r="F132" s="167">
        <f t="shared" ref="F132:F195" si="10">E132+F131</f>
        <v>0.99256658546072452</v>
      </c>
    </row>
    <row r="133" spans="1:6">
      <c r="A133" s="164" t="s">
        <v>237</v>
      </c>
      <c r="B133" s="164" t="s">
        <v>238</v>
      </c>
      <c r="C133" s="163">
        <f>VLOOKUP(A133, 'S07 Initial Parameters'!$A$2:$C$201, 3, 0)</f>
        <v>191</v>
      </c>
      <c r="D133" s="165">
        <f t="shared" si="8"/>
        <v>1454708</v>
      </c>
      <c r="E133" s="166">
        <f t="shared" si="9"/>
        <v>1.3033894950901113E-4</v>
      </c>
      <c r="F133" s="167">
        <f t="shared" si="10"/>
        <v>0.99269692441023349</v>
      </c>
    </row>
    <row r="134" spans="1:6">
      <c r="A134" s="164" t="s">
        <v>351</v>
      </c>
      <c r="B134" s="164" t="s">
        <v>352</v>
      </c>
      <c r="C134" s="163">
        <f>VLOOKUP(A134, 'S07 Initial Parameters'!$A$2:$C$201, 3, 0)</f>
        <v>191</v>
      </c>
      <c r="D134" s="165">
        <f t="shared" si="8"/>
        <v>1454899</v>
      </c>
      <c r="E134" s="166">
        <f t="shared" si="9"/>
        <v>1.3033894950901113E-4</v>
      </c>
      <c r="F134" s="167">
        <f t="shared" si="10"/>
        <v>0.99282726335974247</v>
      </c>
    </row>
    <row r="135" spans="1:6">
      <c r="A135" s="164" t="s">
        <v>353</v>
      </c>
      <c r="B135" s="164" t="s">
        <v>354</v>
      </c>
      <c r="C135" s="163">
        <f>VLOOKUP(A135, 'S07 Initial Parameters'!$A$2:$C$201, 3, 0)</f>
        <v>190</v>
      </c>
      <c r="D135" s="165">
        <f t="shared" si="8"/>
        <v>1455089</v>
      </c>
      <c r="E135" s="166">
        <f t="shared" si="9"/>
        <v>1.2965654663200059E-4</v>
      </c>
      <c r="F135" s="167">
        <f t="shared" si="10"/>
        <v>0.99295691990637447</v>
      </c>
    </row>
    <row r="136" spans="1:6">
      <c r="A136" s="164" t="s">
        <v>355</v>
      </c>
      <c r="B136" s="164" t="s">
        <v>356</v>
      </c>
      <c r="C136" s="163">
        <f>VLOOKUP(A136, 'S07 Initial Parameters'!$A$2:$C$201, 3, 0)</f>
        <v>189</v>
      </c>
      <c r="D136" s="165">
        <f t="shared" si="8"/>
        <v>1455278</v>
      </c>
      <c r="E136" s="166">
        <f t="shared" si="9"/>
        <v>1.2897414375499008E-4</v>
      </c>
      <c r="F136" s="167">
        <f t="shared" si="10"/>
        <v>0.99308589405012948</v>
      </c>
    </row>
    <row r="137" spans="1:6">
      <c r="A137" s="164" t="s">
        <v>357</v>
      </c>
      <c r="B137" s="164" t="s">
        <v>358</v>
      </c>
      <c r="C137" s="163">
        <f>VLOOKUP(A137, 'S07 Initial Parameters'!$A$2:$C$201, 3, 0)</f>
        <v>188</v>
      </c>
      <c r="D137" s="165">
        <f t="shared" si="8"/>
        <v>1455466</v>
      </c>
      <c r="E137" s="166">
        <f t="shared" si="9"/>
        <v>1.2829174087797954E-4</v>
      </c>
      <c r="F137" s="167">
        <f t="shared" si="10"/>
        <v>0.99321418579100751</v>
      </c>
    </row>
    <row r="138" spans="1:6">
      <c r="A138" s="164" t="s">
        <v>359</v>
      </c>
      <c r="B138" s="164" t="s">
        <v>360</v>
      </c>
      <c r="C138" s="163">
        <f>VLOOKUP(A138, 'S07 Initial Parameters'!$A$2:$C$201, 3, 0)</f>
        <v>187</v>
      </c>
      <c r="D138" s="165">
        <f t="shared" si="8"/>
        <v>1455653</v>
      </c>
      <c r="E138" s="166">
        <f t="shared" si="9"/>
        <v>1.27609338000969E-4</v>
      </c>
      <c r="F138" s="167">
        <f t="shared" si="10"/>
        <v>0.99334179512900844</v>
      </c>
    </row>
    <row r="139" spans="1:6">
      <c r="A139" s="164" t="s">
        <v>361</v>
      </c>
      <c r="B139" s="164" t="s">
        <v>362</v>
      </c>
      <c r="C139" s="163">
        <f>VLOOKUP(A139, 'S07 Initial Parameters'!$A$2:$C$201, 3, 0)</f>
        <v>186</v>
      </c>
      <c r="D139" s="165">
        <f t="shared" si="8"/>
        <v>1455839</v>
      </c>
      <c r="E139" s="166">
        <f t="shared" si="9"/>
        <v>1.2692693512395849E-4</v>
      </c>
      <c r="F139" s="167">
        <f t="shared" si="10"/>
        <v>0.99346872206413239</v>
      </c>
    </row>
    <row r="140" spans="1:6">
      <c r="A140" s="164" t="s">
        <v>363</v>
      </c>
      <c r="B140" s="164" t="s">
        <v>364</v>
      </c>
      <c r="C140" s="163">
        <f>VLOOKUP(A140, 'S07 Initial Parameters'!$A$2:$C$201, 3, 0)</f>
        <v>185</v>
      </c>
      <c r="D140" s="165">
        <f t="shared" si="8"/>
        <v>1456024</v>
      </c>
      <c r="E140" s="166">
        <f t="shared" si="9"/>
        <v>1.2624453224694795E-4</v>
      </c>
      <c r="F140" s="167">
        <f t="shared" si="10"/>
        <v>0.99359496659637936</v>
      </c>
    </row>
    <row r="141" spans="1:6">
      <c r="A141" s="164" t="s">
        <v>365</v>
      </c>
      <c r="B141" s="164" t="s">
        <v>366</v>
      </c>
      <c r="C141" s="163">
        <f>VLOOKUP(A141, 'S07 Initial Parameters'!$A$2:$C$201, 3, 0)</f>
        <v>184</v>
      </c>
      <c r="D141" s="165">
        <f t="shared" si="8"/>
        <v>1456208</v>
      </c>
      <c r="E141" s="166">
        <f t="shared" si="9"/>
        <v>1.2556212936993741E-4</v>
      </c>
      <c r="F141" s="167">
        <f t="shared" si="10"/>
        <v>0.99372052872574934</v>
      </c>
    </row>
    <row r="142" spans="1:6">
      <c r="A142" s="164" t="s">
        <v>367</v>
      </c>
      <c r="B142" s="164" t="s">
        <v>368</v>
      </c>
      <c r="C142" s="163">
        <f>VLOOKUP(A142, 'S07 Initial Parameters'!$A$2:$C$201, 3, 0)</f>
        <v>183</v>
      </c>
      <c r="D142" s="165">
        <f t="shared" si="8"/>
        <v>1456391</v>
      </c>
      <c r="E142" s="166">
        <f t="shared" si="9"/>
        <v>1.248797264929269E-4</v>
      </c>
      <c r="F142" s="167">
        <f t="shared" si="10"/>
        <v>0.99384540845224223</v>
      </c>
    </row>
    <row r="143" spans="1:6">
      <c r="A143" s="164" t="s">
        <v>369</v>
      </c>
      <c r="B143" s="164" t="s">
        <v>370</v>
      </c>
      <c r="C143" s="163">
        <f>VLOOKUP(A143, 'S07 Initial Parameters'!$A$2:$C$201, 3, 0)</f>
        <v>182</v>
      </c>
      <c r="D143" s="165">
        <f t="shared" si="8"/>
        <v>1456573</v>
      </c>
      <c r="E143" s="166">
        <f t="shared" si="9"/>
        <v>1.2419732361591636E-4</v>
      </c>
      <c r="F143" s="167">
        <f t="shared" si="10"/>
        <v>0.99396960577585813</v>
      </c>
    </row>
    <row r="144" spans="1:6">
      <c r="A144" s="164" t="s">
        <v>371</v>
      </c>
      <c r="B144" s="164" t="s">
        <v>372</v>
      </c>
      <c r="C144" s="163">
        <f>VLOOKUP(A144, 'S07 Initial Parameters'!$A$2:$C$201, 3, 0)</f>
        <v>181</v>
      </c>
      <c r="D144" s="165">
        <f t="shared" si="8"/>
        <v>1456754</v>
      </c>
      <c r="E144" s="166">
        <f t="shared" si="9"/>
        <v>1.2351492073890582E-4</v>
      </c>
      <c r="F144" s="167">
        <f t="shared" si="10"/>
        <v>0.99409312069659705</v>
      </c>
    </row>
    <row r="145" spans="1:6">
      <c r="A145" s="164" t="s">
        <v>239</v>
      </c>
      <c r="B145" s="164" t="s">
        <v>240</v>
      </c>
      <c r="C145" s="163">
        <f>VLOOKUP(A145, 'S07 Initial Parameters'!$A$2:$C$201, 3, 0)</f>
        <v>180</v>
      </c>
      <c r="D145" s="165">
        <f t="shared" si="8"/>
        <v>1456934</v>
      </c>
      <c r="E145" s="166">
        <f t="shared" si="9"/>
        <v>1.2283251786189531E-4</v>
      </c>
      <c r="F145" s="167">
        <f t="shared" si="10"/>
        <v>0.99421595321445899</v>
      </c>
    </row>
    <row r="146" spans="1:6">
      <c r="A146" s="164" t="s">
        <v>373</v>
      </c>
      <c r="B146" s="164" t="s">
        <v>374</v>
      </c>
      <c r="C146" s="163">
        <f>VLOOKUP(A146, 'S07 Initial Parameters'!$A$2:$C$201, 3, 0)</f>
        <v>180</v>
      </c>
      <c r="D146" s="165">
        <f t="shared" si="8"/>
        <v>1457114</v>
      </c>
      <c r="E146" s="166">
        <f t="shared" si="9"/>
        <v>1.2283251786189531E-4</v>
      </c>
      <c r="F146" s="167">
        <f t="shared" si="10"/>
        <v>0.99433878573232093</v>
      </c>
    </row>
    <row r="147" spans="1:6">
      <c r="A147" s="164" t="s">
        <v>375</v>
      </c>
      <c r="B147" s="164" t="s">
        <v>376</v>
      </c>
      <c r="C147" s="163">
        <f>VLOOKUP(A147, 'S07 Initial Parameters'!$A$2:$C$201, 3, 0)</f>
        <v>179</v>
      </c>
      <c r="D147" s="165">
        <f t="shared" si="8"/>
        <v>1457293</v>
      </c>
      <c r="E147" s="166">
        <f t="shared" si="9"/>
        <v>1.2215011498488477E-4</v>
      </c>
      <c r="F147" s="167">
        <f t="shared" si="10"/>
        <v>0.99446093584730577</v>
      </c>
    </row>
    <row r="148" spans="1:6">
      <c r="A148" s="164" t="s">
        <v>377</v>
      </c>
      <c r="B148" s="164" t="s">
        <v>378</v>
      </c>
      <c r="C148" s="163">
        <f>VLOOKUP(A148, 'S07 Initial Parameters'!$A$2:$C$201, 3, 0)</f>
        <v>178</v>
      </c>
      <c r="D148" s="165">
        <f t="shared" si="8"/>
        <v>1457471</v>
      </c>
      <c r="E148" s="166">
        <f t="shared" si="9"/>
        <v>1.2146771210787425E-4</v>
      </c>
      <c r="F148" s="167">
        <f t="shared" si="10"/>
        <v>0.99458240355941363</v>
      </c>
    </row>
    <row r="149" spans="1:6">
      <c r="A149" s="164" t="s">
        <v>379</v>
      </c>
      <c r="B149" s="164" t="s">
        <v>380</v>
      </c>
      <c r="C149" s="163">
        <f>VLOOKUP(A149, 'S07 Initial Parameters'!$A$2:$C$201, 3, 0)</f>
        <v>177</v>
      </c>
      <c r="D149" s="165">
        <f t="shared" si="8"/>
        <v>1457648</v>
      </c>
      <c r="E149" s="166">
        <f t="shared" si="9"/>
        <v>1.2078530923086372E-4</v>
      </c>
      <c r="F149" s="167">
        <f t="shared" si="10"/>
        <v>0.99470318886864451</v>
      </c>
    </row>
    <row r="150" spans="1:6">
      <c r="A150" s="164" t="s">
        <v>381</v>
      </c>
      <c r="B150" s="164" t="s">
        <v>382</v>
      </c>
      <c r="C150" s="163">
        <f>VLOOKUP(A150, 'S07 Initial Parameters'!$A$2:$C$201, 3, 0)</f>
        <v>176</v>
      </c>
      <c r="D150" s="165">
        <f t="shared" si="8"/>
        <v>1457824</v>
      </c>
      <c r="E150" s="166">
        <f t="shared" si="9"/>
        <v>1.2010290635385319E-4</v>
      </c>
      <c r="F150" s="167">
        <f t="shared" si="10"/>
        <v>0.9948232917749984</v>
      </c>
    </row>
    <row r="151" spans="1:6">
      <c r="A151" s="164" t="s">
        <v>383</v>
      </c>
      <c r="B151" s="164" t="s">
        <v>384</v>
      </c>
      <c r="C151" s="163">
        <f>VLOOKUP(A151, 'S07 Initial Parameters'!$A$2:$C$201, 3, 0)</f>
        <v>175</v>
      </c>
      <c r="D151" s="165">
        <f t="shared" si="8"/>
        <v>1457999</v>
      </c>
      <c r="E151" s="166">
        <f t="shared" si="9"/>
        <v>1.1942050347684266E-4</v>
      </c>
      <c r="F151" s="167">
        <f t="shared" si="10"/>
        <v>0.99494271227847519</v>
      </c>
    </row>
    <row r="152" spans="1:6">
      <c r="A152" s="164" t="s">
        <v>385</v>
      </c>
      <c r="B152" s="164" t="s">
        <v>386</v>
      </c>
      <c r="C152" s="163">
        <f>VLOOKUP(A152, 'S07 Initial Parameters'!$A$2:$C$201, 3, 0)</f>
        <v>174</v>
      </c>
      <c r="D152" s="165">
        <f t="shared" si="8"/>
        <v>1458173</v>
      </c>
      <c r="E152" s="166">
        <f t="shared" si="9"/>
        <v>1.1873810059983214E-4</v>
      </c>
      <c r="F152" s="167">
        <f t="shared" si="10"/>
        <v>0.99506145037907501</v>
      </c>
    </row>
    <row r="153" spans="1:6">
      <c r="A153" s="164" t="s">
        <v>387</v>
      </c>
      <c r="B153" s="164" t="s">
        <v>388</v>
      </c>
      <c r="C153" s="163">
        <f>VLOOKUP(A153, 'S07 Initial Parameters'!$A$2:$C$201, 3, 0)</f>
        <v>173</v>
      </c>
      <c r="D153" s="165">
        <f t="shared" si="8"/>
        <v>1458346</v>
      </c>
      <c r="E153" s="166">
        <f t="shared" si="9"/>
        <v>1.180556977228216E-4</v>
      </c>
      <c r="F153" s="167">
        <f t="shared" si="10"/>
        <v>0.99517950607679784</v>
      </c>
    </row>
    <row r="154" spans="1:6">
      <c r="A154" s="164" t="s">
        <v>389</v>
      </c>
      <c r="B154" s="164" t="s">
        <v>390</v>
      </c>
      <c r="C154" s="163">
        <f>VLOOKUP(A154, 'S07 Initial Parameters'!$A$2:$C$201, 3, 0)</f>
        <v>172</v>
      </c>
      <c r="D154" s="165">
        <f t="shared" si="8"/>
        <v>1458518</v>
      </c>
      <c r="E154" s="166">
        <f t="shared" si="9"/>
        <v>1.1737329484581107E-4</v>
      </c>
      <c r="F154" s="167">
        <f t="shared" si="10"/>
        <v>0.99529687937164368</v>
      </c>
    </row>
    <row r="155" spans="1:6">
      <c r="A155" s="164" t="s">
        <v>391</v>
      </c>
      <c r="B155" s="164" t="s">
        <v>392</v>
      </c>
      <c r="C155" s="163">
        <f>VLOOKUP(A155, 'S07 Initial Parameters'!$A$2:$C$201, 3, 0)</f>
        <v>171</v>
      </c>
      <c r="D155" s="165">
        <f t="shared" si="8"/>
        <v>1458689</v>
      </c>
      <c r="E155" s="166">
        <f t="shared" si="9"/>
        <v>1.1669089196880055E-4</v>
      </c>
      <c r="F155" s="167">
        <f t="shared" si="10"/>
        <v>0.99541357026361243</v>
      </c>
    </row>
    <row r="156" spans="1:6">
      <c r="A156" s="164" t="s">
        <v>393</v>
      </c>
      <c r="B156" s="164" t="s">
        <v>394</v>
      </c>
      <c r="C156" s="163">
        <f>VLOOKUP(A156, 'S07 Initial Parameters'!$A$2:$C$201, 3, 0)</f>
        <v>170</v>
      </c>
      <c r="D156" s="165">
        <f t="shared" si="8"/>
        <v>1458859</v>
      </c>
      <c r="E156" s="166">
        <f t="shared" si="9"/>
        <v>1.1600848909179001E-4</v>
      </c>
      <c r="F156" s="167">
        <f t="shared" si="10"/>
        <v>0.9955295787527042</v>
      </c>
    </row>
    <row r="157" spans="1:6">
      <c r="A157" s="164" t="s">
        <v>241</v>
      </c>
      <c r="B157" s="164" t="s">
        <v>242</v>
      </c>
      <c r="C157" s="163">
        <f>VLOOKUP(A157, 'S07 Initial Parameters'!$A$2:$C$201, 3, 0)</f>
        <v>169</v>
      </c>
      <c r="D157" s="165">
        <f t="shared" si="8"/>
        <v>1459028</v>
      </c>
      <c r="E157" s="166">
        <f t="shared" si="9"/>
        <v>1.1532608621477948E-4</v>
      </c>
      <c r="F157" s="167">
        <f t="shared" si="10"/>
        <v>0.99564490483891899</v>
      </c>
    </row>
    <row r="158" spans="1:6">
      <c r="A158" s="164" t="s">
        <v>395</v>
      </c>
      <c r="B158" s="164" t="s">
        <v>396</v>
      </c>
      <c r="C158" s="163">
        <f>VLOOKUP(A158, 'S07 Initial Parameters'!$A$2:$C$201, 3, 0)</f>
        <v>169</v>
      </c>
      <c r="D158" s="165">
        <f t="shared" si="8"/>
        <v>1459197</v>
      </c>
      <c r="E158" s="166">
        <f t="shared" si="9"/>
        <v>1.1532608621477948E-4</v>
      </c>
      <c r="F158" s="167">
        <f t="shared" si="10"/>
        <v>0.99576023092513377</v>
      </c>
    </row>
    <row r="159" spans="1:6">
      <c r="A159" s="164" t="s">
        <v>397</v>
      </c>
      <c r="B159" s="164" t="s">
        <v>398</v>
      </c>
      <c r="C159" s="163">
        <f>VLOOKUP(A159, 'S07 Initial Parameters'!$A$2:$C$201, 3, 0)</f>
        <v>168</v>
      </c>
      <c r="D159" s="165">
        <f t="shared" si="8"/>
        <v>1459365</v>
      </c>
      <c r="E159" s="166">
        <f t="shared" si="9"/>
        <v>1.1464368333776896E-4</v>
      </c>
      <c r="F159" s="167">
        <f t="shared" si="10"/>
        <v>0.99587487460847157</v>
      </c>
    </row>
    <row r="160" spans="1:6">
      <c r="A160" s="164" t="s">
        <v>399</v>
      </c>
      <c r="B160" s="164" t="s">
        <v>400</v>
      </c>
      <c r="C160" s="163">
        <f>VLOOKUP(A160, 'S07 Initial Parameters'!$A$2:$C$201, 3, 0)</f>
        <v>167</v>
      </c>
      <c r="D160" s="165">
        <f t="shared" si="8"/>
        <v>1459532</v>
      </c>
      <c r="E160" s="166">
        <f t="shared" si="9"/>
        <v>1.1396128046075842E-4</v>
      </c>
      <c r="F160" s="167">
        <f t="shared" si="10"/>
        <v>0.99598883588893228</v>
      </c>
    </row>
    <row r="161" spans="1:6">
      <c r="A161" s="164" t="s">
        <v>401</v>
      </c>
      <c r="B161" s="164" t="s">
        <v>402</v>
      </c>
      <c r="C161" s="163">
        <f>VLOOKUP(A161, 'S07 Initial Parameters'!$A$2:$C$201, 3, 0)</f>
        <v>166</v>
      </c>
      <c r="D161" s="165">
        <f t="shared" si="8"/>
        <v>1459698</v>
      </c>
      <c r="E161" s="166">
        <f t="shared" si="9"/>
        <v>1.1327887758374789E-4</v>
      </c>
      <c r="F161" s="167">
        <f t="shared" si="10"/>
        <v>0.996102114766516</v>
      </c>
    </row>
    <row r="162" spans="1:6">
      <c r="A162" s="164" t="s">
        <v>403</v>
      </c>
      <c r="B162" s="164" t="s">
        <v>404</v>
      </c>
      <c r="C162" s="163">
        <f>VLOOKUP(A162, 'S07 Initial Parameters'!$A$2:$C$201, 3, 0)</f>
        <v>165</v>
      </c>
      <c r="D162" s="165">
        <f t="shared" si="8"/>
        <v>1459863</v>
      </c>
      <c r="E162" s="166">
        <f t="shared" si="9"/>
        <v>1.1259647470673737E-4</v>
      </c>
      <c r="F162" s="167">
        <f t="shared" si="10"/>
        <v>0.99621471124122274</v>
      </c>
    </row>
    <row r="163" spans="1:6">
      <c r="A163" s="164" t="s">
        <v>405</v>
      </c>
      <c r="B163" s="164" t="s">
        <v>406</v>
      </c>
      <c r="C163" s="163">
        <f>VLOOKUP(A163, 'S07 Initial Parameters'!$A$2:$C$201, 3, 0)</f>
        <v>164</v>
      </c>
      <c r="D163" s="165">
        <f t="shared" ref="D163:D194" si="11">C163+D162</f>
        <v>1460027</v>
      </c>
      <c r="E163" s="166">
        <f t="shared" si="9"/>
        <v>1.1191407182972683E-4</v>
      </c>
      <c r="F163" s="167">
        <f t="shared" si="10"/>
        <v>0.99632662531305249</v>
      </c>
    </row>
    <row r="164" spans="1:6">
      <c r="A164" s="164" t="s">
        <v>407</v>
      </c>
      <c r="B164" s="164" t="s">
        <v>408</v>
      </c>
      <c r="C164" s="163">
        <f>VLOOKUP(A164, 'S07 Initial Parameters'!$A$2:$C$201, 3, 0)</f>
        <v>163</v>
      </c>
      <c r="D164" s="165">
        <f t="shared" si="11"/>
        <v>1460190</v>
      </c>
      <c r="E164" s="166">
        <f t="shared" si="9"/>
        <v>1.1123166895271631E-4</v>
      </c>
      <c r="F164" s="167">
        <f t="shared" si="10"/>
        <v>0.99643785698200527</v>
      </c>
    </row>
    <row r="165" spans="1:6">
      <c r="A165" s="164" t="s">
        <v>409</v>
      </c>
      <c r="B165" s="164" t="s">
        <v>410</v>
      </c>
      <c r="C165" s="163">
        <f>VLOOKUP(A165, 'S07 Initial Parameters'!$A$2:$C$201, 3, 0)</f>
        <v>162</v>
      </c>
      <c r="D165" s="165">
        <f t="shared" si="11"/>
        <v>1460352</v>
      </c>
      <c r="E165" s="166">
        <f t="shared" si="9"/>
        <v>1.1054926607570578E-4</v>
      </c>
      <c r="F165" s="167">
        <f t="shared" si="10"/>
        <v>0.99654840624808094</v>
      </c>
    </row>
    <row r="166" spans="1:6">
      <c r="A166" s="164" t="s">
        <v>411</v>
      </c>
      <c r="B166" s="164" t="s">
        <v>412</v>
      </c>
      <c r="C166" s="163">
        <f>VLOOKUP(A166, 'S07 Initial Parameters'!$A$2:$C$201, 3, 0)</f>
        <v>161</v>
      </c>
      <c r="D166" s="165">
        <f t="shared" si="11"/>
        <v>1460513</v>
      </c>
      <c r="E166" s="166">
        <f t="shared" si="9"/>
        <v>1.0986686319869524E-4</v>
      </c>
      <c r="F166" s="167">
        <f t="shared" si="10"/>
        <v>0.99665827311127964</v>
      </c>
    </row>
    <row r="167" spans="1:6">
      <c r="A167" s="164" t="s">
        <v>413</v>
      </c>
      <c r="B167" s="164" t="s">
        <v>414</v>
      </c>
      <c r="C167" s="163">
        <f>VLOOKUP(A167, 'S07 Initial Parameters'!$A$2:$C$201, 3, 0)</f>
        <v>160</v>
      </c>
      <c r="D167" s="165">
        <f t="shared" si="11"/>
        <v>1460673</v>
      </c>
      <c r="E167" s="166">
        <f t="shared" si="9"/>
        <v>1.0918446032168472E-4</v>
      </c>
      <c r="F167" s="167">
        <f t="shared" si="10"/>
        <v>0.99676745757160135</v>
      </c>
    </row>
    <row r="168" spans="1:6">
      <c r="A168" s="164" t="s">
        <v>243</v>
      </c>
      <c r="B168" s="164" t="s">
        <v>244</v>
      </c>
      <c r="C168" s="163">
        <f>VLOOKUP(A168, 'S07 Initial Parameters'!$A$2:$C$201, 3, 0)</f>
        <v>159</v>
      </c>
      <c r="D168" s="165">
        <f t="shared" si="11"/>
        <v>1460832</v>
      </c>
      <c r="E168" s="166">
        <f t="shared" si="9"/>
        <v>1.0850205744467419E-4</v>
      </c>
      <c r="F168" s="167">
        <f t="shared" si="10"/>
        <v>0.99687595962904607</v>
      </c>
    </row>
    <row r="169" spans="1:6">
      <c r="A169" s="164" t="s">
        <v>415</v>
      </c>
      <c r="B169" s="164" t="s">
        <v>416</v>
      </c>
      <c r="C169" s="163">
        <f>VLOOKUP(A169, 'S07 Initial Parameters'!$A$2:$C$201, 3, 0)</f>
        <v>159</v>
      </c>
      <c r="D169" s="165">
        <f t="shared" si="11"/>
        <v>1460991</v>
      </c>
      <c r="E169" s="166">
        <f t="shared" si="9"/>
        <v>1.0850205744467419E-4</v>
      </c>
      <c r="F169" s="167">
        <f t="shared" si="10"/>
        <v>0.9969844616864908</v>
      </c>
    </row>
    <row r="170" spans="1:6">
      <c r="A170" s="164" t="s">
        <v>417</v>
      </c>
      <c r="B170" s="164" t="s">
        <v>418</v>
      </c>
      <c r="C170" s="163">
        <f>VLOOKUP(A170, 'S07 Initial Parameters'!$A$2:$C$201, 3, 0)</f>
        <v>158</v>
      </c>
      <c r="D170" s="165">
        <f t="shared" si="11"/>
        <v>1461149</v>
      </c>
      <c r="E170" s="166">
        <f t="shared" si="9"/>
        <v>1.0781965456766365E-4</v>
      </c>
      <c r="F170" s="167">
        <f t="shared" si="10"/>
        <v>0.99709228134105843</v>
      </c>
    </row>
    <row r="171" spans="1:6">
      <c r="A171" s="164" t="s">
        <v>419</v>
      </c>
      <c r="B171" s="164" t="s">
        <v>420</v>
      </c>
      <c r="C171" s="163">
        <f>VLOOKUP(A171, 'S07 Initial Parameters'!$A$2:$C$201, 3, 0)</f>
        <v>157</v>
      </c>
      <c r="D171" s="165">
        <f t="shared" si="11"/>
        <v>1461306</v>
      </c>
      <c r="E171" s="166">
        <f t="shared" si="9"/>
        <v>1.0713725169065313E-4</v>
      </c>
      <c r="F171" s="167">
        <f t="shared" si="10"/>
        <v>0.99719941859274908</v>
      </c>
    </row>
    <row r="172" spans="1:6">
      <c r="A172" s="164" t="s">
        <v>421</v>
      </c>
      <c r="B172" s="164" t="s">
        <v>422</v>
      </c>
      <c r="C172" s="163">
        <f>VLOOKUP(A172, 'S07 Initial Parameters'!$A$2:$C$201, 3, 0)</f>
        <v>156</v>
      </c>
      <c r="D172" s="165">
        <f t="shared" si="11"/>
        <v>1461462</v>
      </c>
      <c r="E172" s="166">
        <f t="shared" si="9"/>
        <v>1.064548488136426E-4</v>
      </c>
      <c r="F172" s="167">
        <f t="shared" si="10"/>
        <v>0.99730587344156274</v>
      </c>
    </row>
    <row r="173" spans="1:6">
      <c r="A173" s="164" t="s">
        <v>423</v>
      </c>
      <c r="B173" s="164" t="s">
        <v>424</v>
      </c>
      <c r="C173" s="163">
        <f>VLOOKUP(A173, 'S07 Initial Parameters'!$A$2:$C$201, 3, 0)</f>
        <v>155</v>
      </c>
      <c r="D173" s="165">
        <f t="shared" si="11"/>
        <v>1461617</v>
      </c>
      <c r="E173" s="166">
        <f t="shared" si="9"/>
        <v>1.0577244593663207E-4</v>
      </c>
      <c r="F173" s="167">
        <f t="shared" si="10"/>
        <v>0.99741164588749942</v>
      </c>
    </row>
    <row r="174" spans="1:6">
      <c r="A174" s="164" t="s">
        <v>425</v>
      </c>
      <c r="B174" s="164" t="s">
        <v>426</v>
      </c>
      <c r="C174" s="163">
        <f>VLOOKUP(A174, 'S07 Initial Parameters'!$A$2:$C$201, 3, 0)</f>
        <v>154</v>
      </c>
      <c r="D174" s="165">
        <f t="shared" si="11"/>
        <v>1461771</v>
      </c>
      <c r="E174" s="166">
        <f t="shared" si="9"/>
        <v>1.0509004305962154E-4</v>
      </c>
      <c r="F174" s="167">
        <f t="shared" si="10"/>
        <v>0.99751673593055901</v>
      </c>
    </row>
    <row r="175" spans="1:6">
      <c r="A175" s="164" t="s">
        <v>427</v>
      </c>
      <c r="B175" s="164" t="s">
        <v>428</v>
      </c>
      <c r="C175" s="163">
        <f>VLOOKUP(A175, 'S07 Initial Parameters'!$A$2:$C$201, 3, 0)</f>
        <v>153</v>
      </c>
      <c r="D175" s="165">
        <f t="shared" si="11"/>
        <v>1461924</v>
      </c>
      <c r="E175" s="166">
        <f t="shared" si="9"/>
        <v>1.0440764018261102E-4</v>
      </c>
      <c r="F175" s="167">
        <f t="shared" si="10"/>
        <v>0.99762114357074161</v>
      </c>
    </row>
    <row r="176" spans="1:6">
      <c r="A176" s="164" t="s">
        <v>429</v>
      </c>
      <c r="B176" s="164" t="s">
        <v>430</v>
      </c>
      <c r="C176" s="163">
        <f>VLOOKUP(A176, 'S07 Initial Parameters'!$A$2:$C$201, 3, 0)</f>
        <v>152</v>
      </c>
      <c r="D176" s="165">
        <f t="shared" si="11"/>
        <v>1462076</v>
      </c>
      <c r="E176" s="166">
        <f t="shared" si="9"/>
        <v>1.0372523730560048E-4</v>
      </c>
      <c r="F176" s="167">
        <f t="shared" si="10"/>
        <v>0.99772486880804723</v>
      </c>
    </row>
    <row r="177" spans="1:6">
      <c r="A177" s="164" t="s">
        <v>431</v>
      </c>
      <c r="B177" s="164" t="s">
        <v>432</v>
      </c>
      <c r="C177" s="163">
        <f>VLOOKUP(A177, 'S07 Initial Parameters'!$A$2:$C$201, 3, 0)</f>
        <v>151</v>
      </c>
      <c r="D177" s="165">
        <f t="shared" si="11"/>
        <v>1462227</v>
      </c>
      <c r="E177" s="166">
        <f t="shared" si="9"/>
        <v>1.0304283442858995E-4</v>
      </c>
      <c r="F177" s="167">
        <f t="shared" si="10"/>
        <v>0.99782791164247586</v>
      </c>
    </row>
    <row r="178" spans="1:6">
      <c r="A178" s="164" t="s">
        <v>433</v>
      </c>
      <c r="B178" s="164" t="s">
        <v>434</v>
      </c>
      <c r="C178" s="163">
        <f>VLOOKUP(A178, 'S07 Initial Parameters'!$A$2:$C$201, 3, 0)</f>
        <v>150</v>
      </c>
      <c r="D178" s="165">
        <f t="shared" si="11"/>
        <v>1462377</v>
      </c>
      <c r="E178" s="166">
        <f t="shared" si="9"/>
        <v>1.0236043155157943E-4</v>
      </c>
      <c r="F178" s="167">
        <f t="shared" si="10"/>
        <v>0.9979302720740274</v>
      </c>
    </row>
    <row r="179" spans="1:6">
      <c r="A179" s="164" t="s">
        <v>435</v>
      </c>
      <c r="B179" s="164" t="s">
        <v>436</v>
      </c>
      <c r="C179" s="163">
        <f>VLOOKUP(A179, 'S07 Initial Parameters'!$A$2:$C$201, 3, 0)</f>
        <v>149</v>
      </c>
      <c r="D179" s="165">
        <f t="shared" si="11"/>
        <v>1462526</v>
      </c>
      <c r="E179" s="166">
        <f t="shared" si="9"/>
        <v>1.0167802867456889E-4</v>
      </c>
      <c r="F179" s="167">
        <f t="shared" si="10"/>
        <v>0.99803195010270196</v>
      </c>
    </row>
    <row r="180" spans="1:6">
      <c r="A180" s="164" t="s">
        <v>245</v>
      </c>
      <c r="B180" s="164" t="s">
        <v>246</v>
      </c>
      <c r="C180" s="163">
        <f>VLOOKUP(A180, 'S07 Initial Parameters'!$A$2:$C$201, 3, 0)</f>
        <v>148</v>
      </c>
      <c r="D180" s="165">
        <f t="shared" si="11"/>
        <v>1462674</v>
      </c>
      <c r="E180" s="166">
        <f t="shared" si="9"/>
        <v>1.0099562579755836E-4</v>
      </c>
      <c r="F180" s="167">
        <f t="shared" si="10"/>
        <v>0.99813294572849953</v>
      </c>
    </row>
    <row r="181" spans="1:6">
      <c r="A181" s="164" t="s">
        <v>437</v>
      </c>
      <c r="B181" s="164" t="s">
        <v>438</v>
      </c>
      <c r="C181" s="163">
        <f>VLOOKUP(A181, 'S07 Initial Parameters'!$A$2:$C$201, 3, 0)</f>
        <v>148</v>
      </c>
      <c r="D181" s="165">
        <f t="shared" si="11"/>
        <v>1462822</v>
      </c>
      <c r="E181" s="166">
        <f t="shared" si="9"/>
        <v>1.0099562579755836E-4</v>
      </c>
      <c r="F181" s="167">
        <f t="shared" si="10"/>
        <v>0.99823394135429711</v>
      </c>
    </row>
    <row r="182" spans="1:6">
      <c r="A182" s="164" t="s">
        <v>439</v>
      </c>
      <c r="B182" s="164" t="s">
        <v>440</v>
      </c>
      <c r="C182" s="163">
        <f>VLOOKUP(A182, 'S07 Initial Parameters'!$A$2:$C$201, 3, 0)</f>
        <v>147</v>
      </c>
      <c r="D182" s="165">
        <f t="shared" si="11"/>
        <v>1462969</v>
      </c>
      <c r="E182" s="166">
        <f t="shared" si="9"/>
        <v>1.0031322292054784E-4</v>
      </c>
      <c r="F182" s="167">
        <f t="shared" si="10"/>
        <v>0.99833425457721769</v>
      </c>
    </row>
    <row r="183" spans="1:6">
      <c r="A183" s="164" t="s">
        <v>441</v>
      </c>
      <c r="B183" s="164" t="s">
        <v>442</v>
      </c>
      <c r="C183" s="163">
        <f>VLOOKUP(A183, 'S07 Initial Parameters'!$A$2:$C$201, 3, 0)</f>
        <v>146</v>
      </c>
      <c r="D183" s="165">
        <f t="shared" si="11"/>
        <v>1463115</v>
      </c>
      <c r="E183" s="166">
        <f t="shared" si="9"/>
        <v>9.96308200435373E-5</v>
      </c>
      <c r="F183" s="167">
        <f t="shared" si="10"/>
        <v>0.99843388539726119</v>
      </c>
    </row>
    <row r="184" spans="1:6">
      <c r="A184" s="164" t="s">
        <v>443</v>
      </c>
      <c r="B184" s="164" t="s">
        <v>444</v>
      </c>
      <c r="C184" s="163">
        <f>VLOOKUP(A184, 'S07 Initial Parameters'!$A$2:$C$201, 3, 0)</f>
        <v>145</v>
      </c>
      <c r="D184" s="165">
        <f t="shared" si="11"/>
        <v>1463260</v>
      </c>
      <c r="E184" s="166">
        <f t="shared" si="9"/>
        <v>9.8948417166526775E-5</v>
      </c>
      <c r="F184" s="167">
        <f t="shared" si="10"/>
        <v>0.9985328338144277</v>
      </c>
    </row>
    <row r="185" spans="1:6">
      <c r="A185" s="164" t="s">
        <v>445</v>
      </c>
      <c r="B185" s="164" t="s">
        <v>446</v>
      </c>
      <c r="C185" s="163">
        <f>VLOOKUP(A185, 'S07 Initial Parameters'!$A$2:$C$201, 3, 0)</f>
        <v>144</v>
      </c>
      <c r="D185" s="165">
        <f t="shared" si="11"/>
        <v>1463404</v>
      </c>
      <c r="E185" s="166">
        <f t="shared" si="9"/>
        <v>9.826601428951625E-5</v>
      </c>
      <c r="F185" s="167">
        <f t="shared" si="10"/>
        <v>0.99863109982871723</v>
      </c>
    </row>
    <row r="186" spans="1:6">
      <c r="A186" s="164" t="s">
        <v>447</v>
      </c>
      <c r="B186" s="164" t="s">
        <v>448</v>
      </c>
      <c r="C186" s="163">
        <f>VLOOKUP(A186, 'S07 Initial Parameters'!$A$2:$C$201, 3, 0)</f>
        <v>143</v>
      </c>
      <c r="D186" s="165">
        <f t="shared" si="11"/>
        <v>1463547</v>
      </c>
      <c r="E186" s="166">
        <f t="shared" si="9"/>
        <v>9.7583611412505711E-5</v>
      </c>
      <c r="F186" s="167">
        <f t="shared" si="10"/>
        <v>0.99872868344012977</v>
      </c>
    </row>
    <row r="187" spans="1:6">
      <c r="A187" s="164" t="s">
        <v>449</v>
      </c>
      <c r="B187" s="164" t="s">
        <v>450</v>
      </c>
      <c r="C187" s="163">
        <f>VLOOKUP(A187, 'S07 Initial Parameters'!$A$2:$C$201, 3, 0)</f>
        <v>142</v>
      </c>
      <c r="D187" s="165">
        <f t="shared" si="11"/>
        <v>1463689</v>
      </c>
      <c r="E187" s="166">
        <f t="shared" si="9"/>
        <v>9.6901208535495186E-5</v>
      </c>
      <c r="F187" s="167">
        <f t="shared" si="10"/>
        <v>0.99882558464866522</v>
      </c>
    </row>
    <row r="188" spans="1:6">
      <c r="A188" s="164" t="s">
        <v>451</v>
      </c>
      <c r="B188" s="164" t="s">
        <v>452</v>
      </c>
      <c r="C188" s="163">
        <f>VLOOKUP(A188, 'S07 Initial Parameters'!$A$2:$C$201, 3, 0)</f>
        <v>141</v>
      </c>
      <c r="D188" s="165">
        <f t="shared" si="11"/>
        <v>1463830</v>
      </c>
      <c r="E188" s="166">
        <f t="shared" si="9"/>
        <v>9.6218805658484661E-5</v>
      </c>
      <c r="F188" s="167">
        <f t="shared" si="10"/>
        <v>0.99892180345432369</v>
      </c>
    </row>
    <row r="189" spans="1:6">
      <c r="A189" s="164" t="s">
        <v>453</v>
      </c>
      <c r="B189" s="164" t="s">
        <v>454</v>
      </c>
      <c r="C189" s="163">
        <f>VLOOKUP(A189, 'S07 Initial Parameters'!$A$2:$C$201, 3, 0)</f>
        <v>140</v>
      </c>
      <c r="D189" s="165">
        <f t="shared" si="11"/>
        <v>1463970</v>
      </c>
      <c r="E189" s="166">
        <f t="shared" si="9"/>
        <v>9.5536402781474123E-5</v>
      </c>
      <c r="F189" s="167">
        <f t="shared" si="10"/>
        <v>0.99901733985710517</v>
      </c>
    </row>
    <row r="190" spans="1:6">
      <c r="A190" s="164" t="s">
        <v>455</v>
      </c>
      <c r="B190" s="164" t="s">
        <v>456</v>
      </c>
      <c r="C190" s="163">
        <f>VLOOKUP(A190, 'S07 Initial Parameters'!$A$2:$C$201, 3, 0)</f>
        <v>139</v>
      </c>
      <c r="D190" s="165">
        <f t="shared" si="11"/>
        <v>1464109</v>
      </c>
      <c r="E190" s="166">
        <f t="shared" si="9"/>
        <v>9.4853999904463598E-5</v>
      </c>
      <c r="F190" s="167">
        <f t="shared" si="10"/>
        <v>0.99911219385700967</v>
      </c>
    </row>
    <row r="191" spans="1:6">
      <c r="A191" s="164" t="s">
        <v>457</v>
      </c>
      <c r="B191" s="164" t="s">
        <v>458</v>
      </c>
      <c r="C191" s="163">
        <f>VLOOKUP(A191, 'S07 Initial Parameters'!$A$2:$C$201, 3, 0)</f>
        <v>138</v>
      </c>
      <c r="D191" s="165">
        <f t="shared" si="11"/>
        <v>1464247</v>
      </c>
      <c r="E191" s="166">
        <f t="shared" si="9"/>
        <v>9.4171597027453073E-5</v>
      </c>
      <c r="F191" s="167">
        <f t="shared" si="10"/>
        <v>0.99920636545403707</v>
      </c>
    </row>
    <row r="192" spans="1:6">
      <c r="A192" s="164" t="s">
        <v>247</v>
      </c>
      <c r="B192" s="164" t="s">
        <v>248</v>
      </c>
      <c r="C192" s="163">
        <f>VLOOKUP(A192, 'S07 Initial Parameters'!$A$2:$C$201, 3, 0)</f>
        <v>137</v>
      </c>
      <c r="D192" s="165">
        <f t="shared" si="11"/>
        <v>1464384</v>
      </c>
      <c r="E192" s="166">
        <f t="shared" si="9"/>
        <v>9.3489194150442534E-5</v>
      </c>
      <c r="F192" s="167">
        <f t="shared" si="10"/>
        <v>0.99929985464818749</v>
      </c>
    </row>
    <row r="193" spans="1:6">
      <c r="A193" s="164" t="s">
        <v>249</v>
      </c>
      <c r="B193" s="164" t="s">
        <v>250</v>
      </c>
      <c r="C193" s="163">
        <f>VLOOKUP(A193, 'S07 Initial Parameters'!$A$2:$C$201, 3, 0)</f>
        <v>126</v>
      </c>
      <c r="D193" s="165">
        <f t="shared" si="11"/>
        <v>1464510</v>
      </c>
      <c r="E193" s="166">
        <f t="shared" si="9"/>
        <v>8.5982762503326719E-5</v>
      </c>
      <c r="F193" s="167">
        <f t="shared" si="10"/>
        <v>0.99938583741069087</v>
      </c>
    </row>
    <row r="194" spans="1:6">
      <c r="A194" s="164" t="s">
        <v>251</v>
      </c>
      <c r="B194" s="164" t="s">
        <v>252</v>
      </c>
      <c r="C194" s="163">
        <f>VLOOKUP(A194, 'S07 Initial Parameters'!$A$2:$C$201, 3, 0)</f>
        <v>115</v>
      </c>
      <c r="D194" s="165">
        <f t="shared" si="11"/>
        <v>1464625</v>
      </c>
      <c r="E194" s="166">
        <f t="shared" si="9"/>
        <v>7.847633085621089E-5</v>
      </c>
      <c r="F194" s="167">
        <f t="shared" si="10"/>
        <v>0.99946431374154709</v>
      </c>
    </row>
    <row r="195" spans="1:6">
      <c r="A195" s="164" t="s">
        <v>225</v>
      </c>
      <c r="B195" s="164" t="s">
        <v>226</v>
      </c>
      <c r="C195" s="163">
        <f>VLOOKUP(A195, 'S07 Initial Parameters'!$A$2:$C$201, 3, 0)</f>
        <v>104</v>
      </c>
      <c r="D195" s="165">
        <f t="shared" ref="D195:D202" si="12">C195+D194</f>
        <v>1464729</v>
      </c>
      <c r="E195" s="166">
        <f t="shared" si="9"/>
        <v>7.096989920909506E-5</v>
      </c>
      <c r="F195" s="167">
        <f t="shared" si="10"/>
        <v>0.99953528364075617</v>
      </c>
    </row>
    <row r="196" spans="1:6">
      <c r="A196" s="164" t="s">
        <v>253</v>
      </c>
      <c r="B196" s="164" t="s">
        <v>254</v>
      </c>
      <c r="C196" s="163">
        <f>VLOOKUP(A196, 'S07 Initial Parameters'!$A$2:$C$201, 3, 0)</f>
        <v>104</v>
      </c>
      <c r="D196" s="165">
        <f t="shared" si="12"/>
        <v>1464833</v>
      </c>
      <c r="E196" s="166">
        <f t="shared" ref="E196:E202" si="13">C196/SUM($C$3:$C$202)</f>
        <v>7.096989920909506E-5</v>
      </c>
      <c r="F196" s="167">
        <f t="shared" ref="F196:F202" si="14">E196+F195</f>
        <v>0.99960625353996524</v>
      </c>
    </row>
    <row r="197" spans="1:6">
      <c r="A197" s="164" t="s">
        <v>255</v>
      </c>
      <c r="B197" s="164" t="s">
        <v>256</v>
      </c>
      <c r="C197" s="163">
        <f>VLOOKUP(A197, 'S07 Initial Parameters'!$A$2:$C$201, 3, 0)</f>
        <v>103</v>
      </c>
      <c r="D197" s="165">
        <f t="shared" si="12"/>
        <v>1464936</v>
      </c>
      <c r="E197" s="166">
        <f t="shared" si="13"/>
        <v>7.0287496332084535E-5</v>
      </c>
      <c r="F197" s="167">
        <f t="shared" si="14"/>
        <v>0.99967654103629733</v>
      </c>
    </row>
    <row r="198" spans="1:6">
      <c r="A198" s="164" t="s">
        <v>257</v>
      </c>
      <c r="B198" s="164" t="s">
        <v>258</v>
      </c>
      <c r="C198" s="163">
        <f>VLOOKUP(A198, 'S07 Initial Parameters'!$A$2:$C$201, 3, 0)</f>
        <v>102</v>
      </c>
      <c r="D198" s="165">
        <f t="shared" si="12"/>
        <v>1465038</v>
      </c>
      <c r="E198" s="166">
        <f t="shared" si="13"/>
        <v>6.960509345507401E-5</v>
      </c>
      <c r="F198" s="167">
        <f t="shared" si="14"/>
        <v>0.99974614612975243</v>
      </c>
    </row>
    <row r="199" spans="1:6">
      <c r="A199" s="164" t="s">
        <v>259</v>
      </c>
      <c r="B199" s="164" t="s">
        <v>260</v>
      </c>
      <c r="C199" s="163">
        <f>VLOOKUP(A199, 'S07 Initial Parameters'!$A$2:$C$201, 3, 0)</f>
        <v>102</v>
      </c>
      <c r="D199" s="165">
        <f t="shared" si="12"/>
        <v>1465140</v>
      </c>
      <c r="E199" s="166">
        <f t="shared" si="13"/>
        <v>6.960509345507401E-5</v>
      </c>
      <c r="F199" s="167">
        <f t="shared" si="14"/>
        <v>0.99981575122320754</v>
      </c>
    </row>
    <row r="200" spans="1:6">
      <c r="A200" s="164" t="s">
        <v>261</v>
      </c>
      <c r="B200" s="164" t="s">
        <v>262</v>
      </c>
      <c r="C200" s="163">
        <f>VLOOKUP(A200, 'S07 Initial Parameters'!$A$2:$C$201, 3, 0)</f>
        <v>101</v>
      </c>
      <c r="D200" s="165">
        <f t="shared" si="12"/>
        <v>1465241</v>
      </c>
      <c r="E200" s="166">
        <f t="shared" si="13"/>
        <v>6.8922690578063472E-5</v>
      </c>
      <c r="F200" s="167">
        <f t="shared" si="14"/>
        <v>0.99988467391378555</v>
      </c>
    </row>
    <row r="201" spans="1:6">
      <c r="A201" s="164" t="s">
        <v>263</v>
      </c>
      <c r="B201" s="164" t="s">
        <v>264</v>
      </c>
      <c r="C201" s="163">
        <f>VLOOKUP(A201, 'S07 Initial Parameters'!$A$2:$C$201, 3, 0)</f>
        <v>100</v>
      </c>
      <c r="D201" s="165">
        <f t="shared" si="12"/>
        <v>1465341</v>
      </c>
      <c r="E201" s="166">
        <f t="shared" si="13"/>
        <v>6.8240287701052947E-5</v>
      </c>
      <c r="F201" s="167">
        <f t="shared" si="14"/>
        <v>0.99995291420148658</v>
      </c>
    </row>
    <row r="202" spans="1:6">
      <c r="A202" s="164" t="s">
        <v>564</v>
      </c>
      <c r="B202" s="164" t="s">
        <v>709</v>
      </c>
      <c r="C202" s="163">
        <f>VLOOKUP(A202, 'S07 Initial Parameters'!$A$2:$C$201, 3, 0)</f>
        <v>69</v>
      </c>
      <c r="D202" s="165">
        <f t="shared" si="12"/>
        <v>1465410</v>
      </c>
      <c r="E202" s="166">
        <f t="shared" si="13"/>
        <v>4.7085798513726536E-5</v>
      </c>
      <c r="F202" s="167">
        <f t="shared" si="14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B87D-9206-E94C-A7F9-64076E85D3B9}">
  <sheetPr codeName="Sheet9"/>
  <dimension ref="A1:AF62"/>
  <sheetViews>
    <sheetView zoomScale="125" workbookViewId="0">
      <selection activeCell="N18" sqref="N18"/>
    </sheetView>
  </sheetViews>
  <sheetFormatPr baseColWidth="10" defaultColWidth="8.83203125" defaultRowHeight="16"/>
  <cols>
    <col min="1" max="1" width="6.1640625" customWidth="1"/>
    <col min="2" max="10" width="2.83203125" customWidth="1"/>
    <col min="11" max="11" width="8.6640625" customWidth="1"/>
    <col min="12" max="12" width="22" bestFit="1" customWidth="1"/>
    <col min="13" max="13" width="32.6640625" customWidth="1"/>
    <col min="14" max="14" width="6.5" customWidth="1"/>
    <col min="15" max="15" width="7" customWidth="1"/>
    <col min="16" max="16" width="7.83203125" customWidth="1"/>
    <col min="17" max="17" width="10" customWidth="1"/>
    <col min="18" max="18" width="6.6640625" customWidth="1"/>
    <col min="19" max="19" width="9.33203125" customWidth="1"/>
    <col min="20" max="20" width="12.83203125" customWidth="1"/>
    <col min="21" max="21" width="7.5" customWidth="1"/>
    <col min="22" max="22" width="23.33203125" customWidth="1"/>
    <col min="23" max="23" width="8.6640625" customWidth="1"/>
    <col min="24" max="24" width="7.6640625" customWidth="1"/>
  </cols>
  <sheetData>
    <row r="1" spans="1:32">
      <c r="L1" s="280" t="s">
        <v>968</v>
      </c>
      <c r="M1" s="278">
        <v>1000</v>
      </c>
      <c r="P1" s="280" t="s">
        <v>969</v>
      </c>
      <c r="Q1" s="279" t="s">
        <v>970</v>
      </c>
      <c r="AB1" s="268" t="s">
        <v>971</v>
      </c>
      <c r="AC1" s="271" t="s">
        <v>972</v>
      </c>
      <c r="AD1" s="271" t="s">
        <v>973</v>
      </c>
      <c r="AE1" s="271" t="s">
        <v>974</v>
      </c>
      <c r="AF1" s="272" t="s">
        <v>975</v>
      </c>
    </row>
    <row r="2" spans="1:32">
      <c r="L2" s="280" t="s">
        <v>976</v>
      </c>
      <c r="M2" s="278" t="s">
        <v>977</v>
      </c>
      <c r="P2" s="280" t="s">
        <v>978</v>
      </c>
      <c r="Q2" s="281">
        <v>43490</v>
      </c>
      <c r="AB2" s="270" t="s">
        <v>979</v>
      </c>
      <c r="AC2" s="269" t="s">
        <v>980</v>
      </c>
      <c r="AD2" s="270">
        <v>0</v>
      </c>
      <c r="AE2" s="269" t="s">
        <v>981</v>
      </c>
      <c r="AF2" s="269" t="s">
        <v>982</v>
      </c>
    </row>
    <row r="3" spans="1:32">
      <c r="L3" s="280" t="s">
        <v>983</v>
      </c>
      <c r="M3" s="278" t="s">
        <v>981</v>
      </c>
      <c r="P3" s="280" t="s">
        <v>984</v>
      </c>
      <c r="Q3" s="279" t="s">
        <v>985</v>
      </c>
      <c r="AB3" s="270" t="s">
        <v>986</v>
      </c>
      <c r="AC3" s="269" t="s">
        <v>987</v>
      </c>
      <c r="AD3" s="270">
        <v>1</v>
      </c>
      <c r="AE3" s="269" t="s">
        <v>988</v>
      </c>
      <c r="AF3" s="269" t="s">
        <v>989</v>
      </c>
    </row>
    <row r="4" spans="1:32">
      <c r="AB4" s="267"/>
      <c r="AC4" s="269" t="s">
        <v>990</v>
      </c>
      <c r="AD4" s="270">
        <v>2</v>
      </c>
      <c r="AE4" s="269" t="s">
        <v>991</v>
      </c>
      <c r="AF4" s="267"/>
    </row>
    <row r="5" spans="1:32" ht="17" thickBot="1">
      <c r="A5" s="404" t="s">
        <v>992</v>
      </c>
      <c r="B5" s="404"/>
      <c r="C5" s="404"/>
      <c r="D5" s="404"/>
      <c r="E5" s="404"/>
      <c r="F5" s="404"/>
      <c r="G5" s="404"/>
      <c r="H5" s="404"/>
      <c r="I5" s="404"/>
      <c r="J5" s="404"/>
      <c r="AB5" s="267"/>
      <c r="AC5" s="269" t="s">
        <v>993</v>
      </c>
      <c r="AD5" s="270">
        <v>3</v>
      </c>
      <c r="AE5" s="269" t="s">
        <v>994</v>
      </c>
      <c r="AF5" s="267"/>
    </row>
    <row r="6" spans="1:32">
      <c r="A6" s="282" t="s">
        <v>995</v>
      </c>
      <c r="B6" s="283" t="s">
        <v>996</v>
      </c>
      <c r="C6" s="283" t="s">
        <v>997</v>
      </c>
      <c r="D6" s="283" t="s">
        <v>998</v>
      </c>
      <c r="E6" s="283" t="s">
        <v>999</v>
      </c>
      <c r="F6" s="283" t="s">
        <v>1000</v>
      </c>
      <c r="G6" s="283" t="s">
        <v>1001</v>
      </c>
      <c r="H6" s="283" t="s">
        <v>1002</v>
      </c>
      <c r="I6" s="283" t="s">
        <v>1003</v>
      </c>
      <c r="J6" s="283" t="s">
        <v>1004</v>
      </c>
      <c r="K6" s="283" t="s">
        <v>1005</v>
      </c>
      <c r="L6" s="283" t="s">
        <v>1006</v>
      </c>
      <c r="M6" s="283" t="s">
        <v>1007</v>
      </c>
      <c r="N6" s="283" t="s">
        <v>1008</v>
      </c>
      <c r="O6" s="283" t="s">
        <v>1009</v>
      </c>
      <c r="P6" s="283" t="s">
        <v>1010</v>
      </c>
      <c r="Q6" s="283" t="s">
        <v>1011</v>
      </c>
      <c r="R6" s="283" t="s">
        <v>1012</v>
      </c>
      <c r="S6" s="283" t="s">
        <v>1013</v>
      </c>
      <c r="T6" s="283" t="s">
        <v>1014</v>
      </c>
      <c r="U6" s="283" t="s">
        <v>1015</v>
      </c>
      <c r="V6" s="283" t="s">
        <v>1016</v>
      </c>
      <c r="W6" s="283" t="s">
        <v>1017</v>
      </c>
      <c r="X6" s="284" t="s">
        <v>1018</v>
      </c>
      <c r="AB6" s="267"/>
      <c r="AC6" s="269" t="s">
        <v>1019</v>
      </c>
      <c r="AD6" s="270">
        <v>4</v>
      </c>
      <c r="AE6" s="269" t="s">
        <v>1020</v>
      </c>
      <c r="AF6" s="267"/>
    </row>
    <row r="7" spans="1:32">
      <c r="A7" s="273">
        <v>0</v>
      </c>
      <c r="B7" s="273" t="s">
        <v>979</v>
      </c>
      <c r="C7" s="273" t="s">
        <v>1021</v>
      </c>
      <c r="D7" s="273" t="s">
        <v>1021</v>
      </c>
      <c r="E7" s="273" t="s">
        <v>1021</v>
      </c>
      <c r="F7" s="273" t="s">
        <v>1021</v>
      </c>
      <c r="G7" s="273" t="s">
        <v>1021</v>
      </c>
      <c r="H7" s="273" t="s">
        <v>1021</v>
      </c>
      <c r="I7" s="273" t="s">
        <v>1021</v>
      </c>
      <c r="J7" s="273" t="s">
        <v>1021</v>
      </c>
      <c r="K7" s="273">
        <v>1</v>
      </c>
      <c r="L7" s="274">
        <v>1000</v>
      </c>
      <c r="M7" s="274" t="s">
        <v>977</v>
      </c>
      <c r="N7" s="274" t="s">
        <v>981</v>
      </c>
      <c r="O7" s="274">
        <v>1</v>
      </c>
      <c r="P7" s="274"/>
      <c r="Q7" s="274"/>
      <c r="R7" s="274"/>
      <c r="S7" s="274" t="s">
        <v>1022</v>
      </c>
      <c r="T7" s="274"/>
      <c r="U7" s="274">
        <v>4077</v>
      </c>
      <c r="V7" s="273"/>
      <c r="W7" s="273"/>
      <c r="X7" s="273"/>
      <c r="AB7" s="267"/>
      <c r="AC7" s="269" t="s">
        <v>1023</v>
      </c>
      <c r="AD7" s="270">
        <v>5</v>
      </c>
      <c r="AE7" s="269" t="s">
        <v>1024</v>
      </c>
      <c r="AF7" s="267"/>
    </row>
    <row r="8" spans="1:32">
      <c r="A8" s="3">
        <v>1</v>
      </c>
      <c r="B8" s="3" t="s">
        <v>1021</v>
      </c>
      <c r="C8" s="3" t="s">
        <v>979</v>
      </c>
      <c r="D8" s="3" t="s">
        <v>1021</v>
      </c>
      <c r="E8" s="3" t="s">
        <v>1021</v>
      </c>
      <c r="F8" s="3" t="s">
        <v>1021</v>
      </c>
      <c r="G8" s="3" t="s">
        <v>1021</v>
      </c>
      <c r="H8" s="3" t="s">
        <v>1021</v>
      </c>
      <c r="I8" s="3" t="s">
        <v>1021</v>
      </c>
      <c r="J8" s="3" t="s">
        <v>1021</v>
      </c>
      <c r="K8" s="3">
        <v>2</v>
      </c>
      <c r="L8" s="69"/>
      <c r="M8" s="69" t="s">
        <v>1025</v>
      </c>
      <c r="N8" s="69"/>
      <c r="O8" s="69"/>
      <c r="P8" s="69"/>
      <c r="Q8" s="69"/>
      <c r="R8" s="69"/>
      <c r="S8" s="69" t="s">
        <v>1022</v>
      </c>
      <c r="T8" s="69"/>
      <c r="U8" s="69"/>
      <c r="V8" s="3"/>
      <c r="W8" s="3"/>
      <c r="X8" s="275">
        <v>920</v>
      </c>
      <c r="AB8" s="267"/>
      <c r="AC8" s="269" t="s">
        <v>1026</v>
      </c>
      <c r="AD8" s="270">
        <v>6</v>
      </c>
      <c r="AE8" s="269" t="s">
        <v>1027</v>
      </c>
      <c r="AF8" s="267"/>
    </row>
    <row r="9" spans="1:32">
      <c r="A9" s="273">
        <v>2</v>
      </c>
      <c r="B9" s="273" t="s">
        <v>1021</v>
      </c>
      <c r="C9" s="273" t="s">
        <v>1021</v>
      </c>
      <c r="D9" s="273" t="s">
        <v>1021</v>
      </c>
      <c r="E9" s="273" t="s">
        <v>1021</v>
      </c>
      <c r="F9" s="273" t="s">
        <v>1021</v>
      </c>
      <c r="G9" s="273" t="s">
        <v>1021</v>
      </c>
      <c r="H9" s="273" t="s">
        <v>1021</v>
      </c>
      <c r="I9" s="273" t="s">
        <v>1021</v>
      </c>
      <c r="J9" s="273" t="s">
        <v>1021</v>
      </c>
      <c r="K9" s="273">
        <v>3</v>
      </c>
      <c r="L9" s="274" t="s">
        <v>1028</v>
      </c>
      <c r="M9" s="274" t="s">
        <v>1029</v>
      </c>
      <c r="N9" s="274"/>
      <c r="O9" s="274">
        <v>1</v>
      </c>
      <c r="P9" s="274"/>
      <c r="Q9" s="274"/>
      <c r="R9" s="274"/>
      <c r="S9" s="274" t="s">
        <v>1022</v>
      </c>
      <c r="T9" s="274"/>
      <c r="U9" s="274"/>
      <c r="V9" s="273" t="s">
        <v>1030</v>
      </c>
      <c r="W9" s="273"/>
      <c r="X9" s="273"/>
      <c r="AB9" s="267"/>
      <c r="AC9" s="269" t="s">
        <v>1031</v>
      </c>
      <c r="AD9" s="270">
        <v>7</v>
      </c>
      <c r="AE9" s="269" t="s">
        <v>1032</v>
      </c>
      <c r="AF9" s="267"/>
    </row>
    <row r="10" spans="1:32">
      <c r="A10" s="3">
        <v>3</v>
      </c>
      <c r="B10" s="3" t="s">
        <v>1021</v>
      </c>
      <c r="C10" s="3" t="s">
        <v>1021</v>
      </c>
      <c r="D10" s="3" t="s">
        <v>979</v>
      </c>
      <c r="E10" s="3" t="s">
        <v>1021</v>
      </c>
      <c r="F10" s="3" t="s">
        <v>1021</v>
      </c>
      <c r="G10" s="3" t="s">
        <v>1021</v>
      </c>
      <c r="H10" s="3" t="s">
        <v>1021</v>
      </c>
      <c r="I10" s="3" t="s">
        <v>1021</v>
      </c>
      <c r="J10" s="3" t="s">
        <v>1021</v>
      </c>
      <c r="K10" s="3">
        <v>4</v>
      </c>
      <c r="L10" s="69"/>
      <c r="M10" s="69" t="s">
        <v>1033</v>
      </c>
      <c r="N10" s="69"/>
      <c r="O10" s="69">
        <v>1</v>
      </c>
      <c r="P10" s="69"/>
      <c r="Q10" s="69"/>
      <c r="R10" s="69"/>
      <c r="S10" s="69" t="s">
        <v>1022</v>
      </c>
      <c r="T10" s="69"/>
      <c r="U10" s="69">
        <v>120</v>
      </c>
      <c r="V10" s="3" t="s">
        <v>1034</v>
      </c>
      <c r="W10" s="3"/>
      <c r="X10" s="3"/>
      <c r="AB10" s="267"/>
      <c r="AC10" s="269" t="s">
        <v>1035</v>
      </c>
      <c r="AD10" s="270">
        <v>8</v>
      </c>
      <c r="AE10" s="269" t="s">
        <v>1036</v>
      </c>
      <c r="AF10" s="267"/>
    </row>
    <row r="11" spans="1:32">
      <c r="A11" s="273">
        <v>3</v>
      </c>
      <c r="B11" s="273" t="s">
        <v>1021</v>
      </c>
      <c r="C11" s="273" t="s">
        <v>1021</v>
      </c>
      <c r="D11" s="273" t="s">
        <v>979</v>
      </c>
      <c r="E11" s="273" t="s">
        <v>1021</v>
      </c>
      <c r="F11" s="273" t="s">
        <v>1021</v>
      </c>
      <c r="G11" s="273" t="s">
        <v>1021</v>
      </c>
      <c r="H11" s="273" t="s">
        <v>1021</v>
      </c>
      <c r="I11" s="273" t="s">
        <v>1021</v>
      </c>
      <c r="J11" s="273" t="s">
        <v>1021</v>
      </c>
      <c r="K11" s="273">
        <v>5</v>
      </c>
      <c r="L11" s="274"/>
      <c r="M11" s="274" t="s">
        <v>1037</v>
      </c>
      <c r="N11" s="274"/>
      <c r="O11" s="274">
        <v>3</v>
      </c>
      <c r="P11" s="274"/>
      <c r="Q11" s="274"/>
      <c r="R11" s="274"/>
      <c r="S11" s="274" t="s">
        <v>1022</v>
      </c>
      <c r="T11" s="274"/>
      <c r="U11" s="274">
        <v>50</v>
      </c>
      <c r="V11" s="273" t="s">
        <v>622</v>
      </c>
      <c r="W11" s="273"/>
      <c r="X11" s="273"/>
      <c r="AB11" s="267"/>
      <c r="AC11" s="269" t="s">
        <v>1038</v>
      </c>
      <c r="AD11" s="267" t="s">
        <v>986</v>
      </c>
      <c r="AE11" s="269" t="s">
        <v>1039</v>
      </c>
      <c r="AF11" s="267"/>
    </row>
    <row r="12" spans="1:32">
      <c r="A12" s="3">
        <v>2</v>
      </c>
      <c r="B12" s="3" t="s">
        <v>1021</v>
      </c>
      <c r="C12" s="3" t="s">
        <v>1021</v>
      </c>
      <c r="D12" s="3" t="s">
        <v>1021</v>
      </c>
      <c r="E12" s="3" t="s">
        <v>1021</v>
      </c>
      <c r="F12" s="3" t="s">
        <v>1021</v>
      </c>
      <c r="G12" s="3" t="s">
        <v>1021</v>
      </c>
      <c r="H12" s="3" t="s">
        <v>1021</v>
      </c>
      <c r="I12" s="3" t="s">
        <v>1021</v>
      </c>
      <c r="J12" s="3" t="s">
        <v>1021</v>
      </c>
      <c r="K12" s="3">
        <v>6</v>
      </c>
      <c r="L12" s="69"/>
      <c r="M12" s="69" t="s">
        <v>1040</v>
      </c>
      <c r="N12" s="69"/>
      <c r="O12" s="69">
        <v>4</v>
      </c>
      <c r="P12" s="69"/>
      <c r="Q12" s="69"/>
      <c r="R12" s="69"/>
      <c r="S12" s="69" t="s">
        <v>1022</v>
      </c>
      <c r="T12" s="69"/>
      <c r="U12" s="69">
        <v>750</v>
      </c>
      <c r="V12" s="3" t="s">
        <v>1041</v>
      </c>
      <c r="W12" s="3"/>
      <c r="X12" s="3"/>
      <c r="AB12" s="267"/>
      <c r="AC12" s="269" t="s">
        <v>1042</v>
      </c>
      <c r="AD12" s="267"/>
      <c r="AE12" s="269" t="s">
        <v>1035</v>
      </c>
      <c r="AF12" s="267"/>
    </row>
    <row r="13" spans="1:32">
      <c r="A13" s="273">
        <v>1</v>
      </c>
      <c r="B13" s="273" t="s">
        <v>1021</v>
      </c>
      <c r="C13" s="273" t="s">
        <v>979</v>
      </c>
      <c r="D13" s="273" t="s">
        <v>1021</v>
      </c>
      <c r="E13" s="273" t="s">
        <v>1021</v>
      </c>
      <c r="F13" s="273" t="s">
        <v>1021</v>
      </c>
      <c r="G13" s="273" t="s">
        <v>1021</v>
      </c>
      <c r="H13" s="273" t="s">
        <v>1021</v>
      </c>
      <c r="I13" s="273" t="s">
        <v>1021</v>
      </c>
      <c r="J13" s="273" t="s">
        <v>1021</v>
      </c>
      <c r="K13" s="273">
        <v>8</v>
      </c>
      <c r="L13" s="274"/>
      <c r="M13" s="274" t="s">
        <v>1043</v>
      </c>
      <c r="N13" s="274"/>
      <c r="O13" s="274">
        <v>3</v>
      </c>
      <c r="P13" s="274"/>
      <c r="Q13" s="274"/>
      <c r="R13" s="274"/>
      <c r="S13" s="274" t="s">
        <v>1022</v>
      </c>
      <c r="T13" s="274"/>
      <c r="U13" s="274"/>
      <c r="V13" s="273"/>
      <c r="W13" s="273"/>
      <c r="X13" s="276">
        <v>400</v>
      </c>
      <c r="AB13" s="267"/>
      <c r="AC13" s="269" t="s">
        <v>1044</v>
      </c>
      <c r="AD13" s="267"/>
      <c r="AE13" s="269" t="s">
        <v>1038</v>
      </c>
      <c r="AF13" s="267"/>
    </row>
    <row r="14" spans="1:32">
      <c r="A14" s="3">
        <v>2</v>
      </c>
      <c r="B14" s="3" t="s">
        <v>1021</v>
      </c>
      <c r="C14" s="3" t="s">
        <v>1021</v>
      </c>
      <c r="D14" s="3" t="s">
        <v>1021</v>
      </c>
      <c r="E14" s="3" t="s">
        <v>1021</v>
      </c>
      <c r="F14" s="3" t="s">
        <v>1021</v>
      </c>
      <c r="G14" s="3" t="s">
        <v>1021</v>
      </c>
      <c r="H14" s="3" t="s">
        <v>1021</v>
      </c>
      <c r="I14" s="3" t="s">
        <v>1021</v>
      </c>
      <c r="J14" s="3" t="s">
        <v>1021</v>
      </c>
      <c r="K14" s="3">
        <v>9</v>
      </c>
      <c r="L14" s="69"/>
      <c r="M14" s="69" t="s">
        <v>1045</v>
      </c>
      <c r="N14" s="69"/>
      <c r="O14" s="69">
        <v>1</v>
      </c>
      <c r="P14" s="69"/>
      <c r="Q14" s="69"/>
      <c r="R14" s="69"/>
      <c r="S14" s="69" t="s">
        <v>1022</v>
      </c>
      <c r="T14" s="69"/>
      <c r="U14" s="69">
        <v>250</v>
      </c>
      <c r="V14" s="3" t="s">
        <v>1046</v>
      </c>
      <c r="W14" s="3"/>
      <c r="X14" s="3"/>
      <c r="AB14" s="267"/>
      <c r="AC14" s="269" t="s">
        <v>1047</v>
      </c>
      <c r="AD14" s="267"/>
      <c r="AE14" s="269" t="s">
        <v>1048</v>
      </c>
      <c r="AF14" s="267"/>
    </row>
    <row r="15" spans="1:32">
      <c r="A15" s="273">
        <v>2</v>
      </c>
      <c r="B15" s="273" t="s">
        <v>1021</v>
      </c>
      <c r="C15" s="273" t="s">
        <v>1021</v>
      </c>
      <c r="D15" s="273" t="s">
        <v>1021</v>
      </c>
      <c r="E15" s="273" t="s">
        <v>1021</v>
      </c>
      <c r="F15" s="273" t="s">
        <v>1021</v>
      </c>
      <c r="G15" s="273" t="s">
        <v>1021</v>
      </c>
      <c r="H15" s="273" t="s">
        <v>1021</v>
      </c>
      <c r="I15" s="273" t="s">
        <v>1021</v>
      </c>
      <c r="J15" s="273" t="s">
        <v>1021</v>
      </c>
      <c r="K15" s="273">
        <v>10</v>
      </c>
      <c r="L15" s="274"/>
      <c r="M15" s="274" t="s">
        <v>1049</v>
      </c>
      <c r="N15" s="274"/>
      <c r="O15" s="274">
        <v>1</v>
      </c>
      <c r="P15" s="274"/>
      <c r="Q15" s="274"/>
      <c r="R15" s="274"/>
      <c r="S15" s="274" t="s">
        <v>1022</v>
      </c>
      <c r="T15" s="274"/>
      <c r="U15" s="274">
        <v>40</v>
      </c>
      <c r="V15" s="273" t="s">
        <v>1041</v>
      </c>
      <c r="W15" s="273"/>
      <c r="X15" s="273"/>
      <c r="AB15" s="267"/>
      <c r="AC15" s="269" t="s">
        <v>1050</v>
      </c>
      <c r="AD15" s="267"/>
      <c r="AE15" s="269" t="s">
        <v>1051</v>
      </c>
      <c r="AF15" s="267"/>
    </row>
    <row r="16" spans="1:32">
      <c r="A16" s="3">
        <v>3</v>
      </c>
      <c r="B16" s="3" t="s">
        <v>1021</v>
      </c>
      <c r="C16" s="3" t="s">
        <v>1021</v>
      </c>
      <c r="D16" s="3" t="s">
        <v>979</v>
      </c>
      <c r="E16" s="3" t="s">
        <v>1021</v>
      </c>
      <c r="F16" s="3" t="s">
        <v>1021</v>
      </c>
      <c r="G16" s="3" t="s">
        <v>1021</v>
      </c>
      <c r="H16" s="3" t="s">
        <v>1021</v>
      </c>
      <c r="I16" s="3" t="s">
        <v>1021</v>
      </c>
      <c r="J16" s="3" t="s">
        <v>1021</v>
      </c>
      <c r="K16" s="3">
        <v>11</v>
      </c>
      <c r="L16" s="69"/>
      <c r="M16" s="69" t="s">
        <v>1052</v>
      </c>
      <c r="N16" s="69"/>
      <c r="O16" s="69">
        <v>3</v>
      </c>
      <c r="P16" s="69"/>
      <c r="Q16" s="69"/>
      <c r="R16" s="69"/>
      <c r="S16" s="69" t="s">
        <v>1022</v>
      </c>
      <c r="T16" s="69"/>
      <c r="U16" s="69">
        <v>35</v>
      </c>
      <c r="V16" s="3" t="s">
        <v>1053</v>
      </c>
      <c r="W16" s="3"/>
      <c r="X16" s="3"/>
      <c r="AB16" s="267"/>
      <c r="AC16" s="267"/>
      <c r="AD16" s="267"/>
      <c r="AE16" s="269" t="s">
        <v>1054</v>
      </c>
      <c r="AF16" s="267"/>
    </row>
    <row r="17" spans="1:32">
      <c r="A17" s="273">
        <v>2</v>
      </c>
      <c r="B17" s="273" t="s">
        <v>1021</v>
      </c>
      <c r="C17" s="273" t="s">
        <v>1021</v>
      </c>
      <c r="D17" s="273" t="s">
        <v>1021</v>
      </c>
      <c r="E17" s="273" t="s">
        <v>1021</v>
      </c>
      <c r="F17" s="273" t="s">
        <v>1021</v>
      </c>
      <c r="G17" s="273" t="s">
        <v>1021</v>
      </c>
      <c r="H17" s="273" t="s">
        <v>1021</v>
      </c>
      <c r="I17" s="273" t="s">
        <v>1021</v>
      </c>
      <c r="J17" s="273" t="s">
        <v>1021</v>
      </c>
      <c r="K17" s="273">
        <v>12</v>
      </c>
      <c r="L17" s="274"/>
      <c r="M17" s="274" t="s">
        <v>1055</v>
      </c>
      <c r="N17" s="274"/>
      <c r="O17" s="274">
        <v>1</v>
      </c>
      <c r="P17" s="274"/>
      <c r="Q17" s="274"/>
      <c r="R17" s="274"/>
      <c r="S17" s="274" t="s">
        <v>1022</v>
      </c>
      <c r="T17" s="274"/>
      <c r="U17" s="274">
        <v>40</v>
      </c>
      <c r="V17" s="273" t="s">
        <v>1041</v>
      </c>
      <c r="W17" s="273"/>
      <c r="X17" s="273"/>
      <c r="AB17" s="267"/>
      <c r="AC17" s="267"/>
      <c r="AD17" s="267"/>
      <c r="AE17" s="269" t="s">
        <v>1056</v>
      </c>
      <c r="AF17" s="267"/>
    </row>
    <row r="18" spans="1:32">
      <c r="A18" s="3">
        <v>3</v>
      </c>
      <c r="B18" s="3" t="s">
        <v>1021</v>
      </c>
      <c r="C18" s="3" t="s">
        <v>1021</v>
      </c>
      <c r="D18" s="3" t="s">
        <v>979</v>
      </c>
      <c r="E18" s="3" t="s">
        <v>1021</v>
      </c>
      <c r="F18" s="3" t="s">
        <v>1021</v>
      </c>
      <c r="G18" s="3" t="s">
        <v>1021</v>
      </c>
      <c r="H18" s="3" t="s">
        <v>1021</v>
      </c>
      <c r="I18" s="3" t="s">
        <v>1021</v>
      </c>
      <c r="J18" s="3" t="s">
        <v>1021</v>
      </c>
      <c r="K18" s="3">
        <v>13</v>
      </c>
      <c r="L18" s="69"/>
      <c r="M18" s="69" t="s">
        <v>1057</v>
      </c>
      <c r="N18" s="69"/>
      <c r="O18" s="69">
        <v>3</v>
      </c>
      <c r="P18" s="69"/>
      <c r="Q18" s="69"/>
      <c r="R18" s="69"/>
      <c r="S18" s="69" t="s">
        <v>1022</v>
      </c>
      <c r="T18" s="69"/>
      <c r="U18" s="69">
        <v>35</v>
      </c>
      <c r="V18" s="3" t="s">
        <v>1053</v>
      </c>
      <c r="W18" s="3"/>
      <c r="X18" s="3"/>
      <c r="AB18" s="267"/>
      <c r="AC18" s="267"/>
      <c r="AD18" s="267"/>
      <c r="AE18" s="269" t="s">
        <v>1058</v>
      </c>
      <c r="AF18" s="267"/>
    </row>
    <row r="19" spans="1:32">
      <c r="A19" s="273">
        <v>1</v>
      </c>
      <c r="B19" s="273" t="s">
        <v>1021</v>
      </c>
      <c r="C19" s="273" t="s">
        <v>979</v>
      </c>
      <c r="D19" s="273" t="s">
        <v>1021</v>
      </c>
      <c r="E19" s="273" t="s">
        <v>1021</v>
      </c>
      <c r="F19" s="273" t="s">
        <v>1021</v>
      </c>
      <c r="G19" s="273" t="s">
        <v>1021</v>
      </c>
      <c r="H19" s="273" t="s">
        <v>1021</v>
      </c>
      <c r="I19" s="273" t="s">
        <v>1021</v>
      </c>
      <c r="J19" s="273" t="s">
        <v>1021</v>
      </c>
      <c r="K19" s="273">
        <v>14</v>
      </c>
      <c r="L19" s="274"/>
      <c r="M19" s="274" t="s">
        <v>1059</v>
      </c>
      <c r="N19" s="274"/>
      <c r="O19" s="274">
        <v>1</v>
      </c>
      <c r="P19" s="274"/>
      <c r="Q19" s="274"/>
      <c r="R19" s="274"/>
      <c r="S19" s="274" t="s">
        <v>1060</v>
      </c>
      <c r="T19" s="274"/>
      <c r="U19" s="274"/>
      <c r="V19" s="273"/>
      <c r="W19" s="273"/>
      <c r="X19" s="277">
        <v>260</v>
      </c>
      <c r="AB19" s="267"/>
      <c r="AC19" s="267"/>
      <c r="AD19" s="267"/>
      <c r="AE19" s="269" t="s">
        <v>1061</v>
      </c>
      <c r="AF19" s="267"/>
    </row>
    <row r="20" spans="1:32">
      <c r="A20" s="3">
        <v>2</v>
      </c>
      <c r="B20" s="3" t="s">
        <v>1021</v>
      </c>
      <c r="C20" s="3" t="s">
        <v>1021</v>
      </c>
      <c r="D20" s="3" t="s">
        <v>1021</v>
      </c>
      <c r="E20" s="3" t="s">
        <v>1021</v>
      </c>
      <c r="F20" s="3" t="s">
        <v>1021</v>
      </c>
      <c r="G20" s="3" t="s">
        <v>1021</v>
      </c>
      <c r="H20" s="3" t="s">
        <v>1021</v>
      </c>
      <c r="I20" s="3" t="s">
        <v>1021</v>
      </c>
      <c r="J20" s="3" t="s">
        <v>1021</v>
      </c>
      <c r="K20" s="3">
        <v>15</v>
      </c>
      <c r="L20" s="69"/>
      <c r="M20" s="69" t="s">
        <v>1062</v>
      </c>
      <c r="N20" s="69"/>
      <c r="O20" s="69">
        <v>1</v>
      </c>
      <c r="P20" s="69"/>
      <c r="Q20" s="69"/>
      <c r="R20" s="69"/>
      <c r="S20" s="69" t="s">
        <v>1060</v>
      </c>
      <c r="T20" s="69"/>
      <c r="U20" s="69">
        <v>25</v>
      </c>
      <c r="V20" s="3" t="s">
        <v>1063</v>
      </c>
      <c r="W20" s="3"/>
      <c r="X20" s="3"/>
      <c r="AB20" s="267"/>
      <c r="AC20" s="267"/>
      <c r="AD20" s="267"/>
      <c r="AE20" s="269" t="s">
        <v>1064</v>
      </c>
      <c r="AF20" s="267"/>
    </row>
    <row r="21" spans="1:32">
      <c r="A21" s="273">
        <v>3</v>
      </c>
      <c r="B21" s="273" t="s">
        <v>1021</v>
      </c>
      <c r="C21" s="273" t="s">
        <v>1021</v>
      </c>
      <c r="D21" s="273" t="s">
        <v>979</v>
      </c>
      <c r="E21" s="273" t="s">
        <v>1021</v>
      </c>
      <c r="F21" s="273" t="s">
        <v>1021</v>
      </c>
      <c r="G21" s="273" t="s">
        <v>1021</v>
      </c>
      <c r="H21" s="273" t="s">
        <v>1021</v>
      </c>
      <c r="I21" s="273" t="s">
        <v>1021</v>
      </c>
      <c r="J21" s="273" t="s">
        <v>1021</v>
      </c>
      <c r="K21" s="273">
        <v>17</v>
      </c>
      <c r="L21" s="274"/>
      <c r="M21" s="274" t="s">
        <v>1065</v>
      </c>
      <c r="N21" s="274"/>
      <c r="O21" s="274">
        <v>1</v>
      </c>
      <c r="P21" s="274"/>
      <c r="Q21" s="274"/>
      <c r="R21" s="274"/>
      <c r="S21" s="274" t="s">
        <v>1060</v>
      </c>
      <c r="T21" s="274"/>
      <c r="U21" s="274">
        <v>130</v>
      </c>
      <c r="V21" s="273" t="s">
        <v>1066</v>
      </c>
      <c r="W21" s="273"/>
      <c r="X21" s="273"/>
      <c r="AB21" s="267"/>
      <c r="AC21" s="267"/>
      <c r="AD21" s="267"/>
      <c r="AE21" s="269" t="s">
        <v>1067</v>
      </c>
      <c r="AF21" s="267"/>
    </row>
    <row r="22" spans="1:32">
      <c r="A22" s="3">
        <v>2</v>
      </c>
      <c r="B22" s="3" t="s">
        <v>1021</v>
      </c>
      <c r="C22" s="3" t="s">
        <v>1021</v>
      </c>
      <c r="D22" s="3" t="s">
        <v>1021</v>
      </c>
      <c r="E22" s="3" t="s">
        <v>1021</v>
      </c>
      <c r="F22" s="3" t="s">
        <v>1021</v>
      </c>
      <c r="G22" s="3" t="s">
        <v>1021</v>
      </c>
      <c r="H22" s="3" t="s">
        <v>1021</v>
      </c>
      <c r="I22" s="3" t="s">
        <v>1021</v>
      </c>
      <c r="J22" s="3" t="s">
        <v>1021</v>
      </c>
      <c r="K22" s="3">
        <v>18</v>
      </c>
      <c r="L22" s="69"/>
      <c r="M22" s="69" t="s">
        <v>1068</v>
      </c>
      <c r="N22" s="69"/>
      <c r="O22" s="69">
        <v>1</v>
      </c>
      <c r="P22" s="69"/>
      <c r="Q22" s="69"/>
      <c r="R22" s="69"/>
      <c r="S22" s="69" t="s">
        <v>1060</v>
      </c>
      <c r="T22" s="69"/>
      <c r="U22" s="69">
        <v>25</v>
      </c>
      <c r="V22" s="3" t="s">
        <v>1063</v>
      </c>
      <c r="W22" s="3"/>
      <c r="X22" s="3"/>
      <c r="AB22" s="267"/>
      <c r="AC22" s="267"/>
      <c r="AD22" s="267"/>
      <c r="AE22" s="269" t="s">
        <v>1069</v>
      </c>
      <c r="AF22" s="267"/>
    </row>
    <row r="23" spans="1:32">
      <c r="A23" s="273">
        <v>3</v>
      </c>
      <c r="B23" s="273" t="s">
        <v>1021</v>
      </c>
      <c r="C23" s="273" t="s">
        <v>1021</v>
      </c>
      <c r="D23" s="273" t="s">
        <v>979</v>
      </c>
      <c r="E23" s="273" t="s">
        <v>1021</v>
      </c>
      <c r="F23" s="273" t="s">
        <v>1021</v>
      </c>
      <c r="G23" s="273" t="s">
        <v>1021</v>
      </c>
      <c r="H23" s="273" t="s">
        <v>1021</v>
      </c>
      <c r="I23" s="273" t="s">
        <v>1021</v>
      </c>
      <c r="J23" s="273" t="s">
        <v>1021</v>
      </c>
      <c r="K23" s="273">
        <v>21</v>
      </c>
      <c r="L23" s="274"/>
      <c r="M23" s="274" t="s">
        <v>1070</v>
      </c>
      <c r="N23" s="274"/>
      <c r="O23" s="274">
        <v>1</v>
      </c>
      <c r="P23" s="274"/>
      <c r="Q23" s="274"/>
      <c r="R23" s="274"/>
      <c r="S23" s="274" t="s">
        <v>1060</v>
      </c>
      <c r="T23" s="274"/>
      <c r="U23" s="274">
        <v>80</v>
      </c>
      <c r="V23" s="273" t="s">
        <v>1071</v>
      </c>
      <c r="W23" s="273"/>
      <c r="X23" s="273"/>
      <c r="AB23" s="267"/>
      <c r="AC23" s="267"/>
      <c r="AD23" s="267"/>
      <c r="AE23" s="269" t="s">
        <v>1072</v>
      </c>
      <c r="AF23" s="267"/>
    </row>
    <row r="24" spans="1:32">
      <c r="A24" s="3">
        <v>1</v>
      </c>
      <c r="B24" s="3" t="s">
        <v>1021</v>
      </c>
      <c r="C24" s="3" t="s">
        <v>979</v>
      </c>
      <c r="D24" s="3" t="s">
        <v>1021</v>
      </c>
      <c r="E24" s="3" t="s">
        <v>1021</v>
      </c>
      <c r="F24" s="3" t="s">
        <v>1021</v>
      </c>
      <c r="G24" s="3" t="s">
        <v>1021</v>
      </c>
      <c r="H24" s="3" t="s">
        <v>1021</v>
      </c>
      <c r="I24" s="3" t="s">
        <v>1021</v>
      </c>
      <c r="J24" s="3" t="s">
        <v>1021</v>
      </c>
      <c r="K24" s="3">
        <v>22</v>
      </c>
      <c r="L24" s="69"/>
      <c r="M24" s="69" t="s">
        <v>1073</v>
      </c>
      <c r="N24" s="69"/>
      <c r="O24" s="69">
        <v>1</v>
      </c>
      <c r="P24" s="69"/>
      <c r="Q24" s="69"/>
      <c r="R24" s="69"/>
      <c r="S24" s="69" t="s">
        <v>1060</v>
      </c>
      <c r="T24" s="69" t="s">
        <v>1074</v>
      </c>
      <c r="U24" s="69">
        <v>500</v>
      </c>
      <c r="V24" s="3"/>
      <c r="W24" s="3"/>
      <c r="X24" s="3"/>
      <c r="AB24" s="267"/>
      <c r="AC24" s="267"/>
      <c r="AD24" s="267"/>
      <c r="AE24" s="269" t="s">
        <v>1075</v>
      </c>
      <c r="AF24" s="267"/>
    </row>
    <row r="25" spans="1:32">
      <c r="A25" s="273">
        <v>1</v>
      </c>
      <c r="B25" s="273" t="s">
        <v>1021</v>
      </c>
      <c r="C25" s="273" t="s">
        <v>979</v>
      </c>
      <c r="D25" s="273" t="s">
        <v>1021</v>
      </c>
      <c r="E25" s="273" t="s">
        <v>1021</v>
      </c>
      <c r="F25" s="273" t="s">
        <v>1021</v>
      </c>
      <c r="G25" s="273" t="s">
        <v>1021</v>
      </c>
      <c r="H25" s="273" t="s">
        <v>1021</v>
      </c>
      <c r="I25" s="273" t="s">
        <v>1021</v>
      </c>
      <c r="J25" s="273" t="s">
        <v>1021</v>
      </c>
      <c r="K25" s="273">
        <v>23</v>
      </c>
      <c r="L25" s="274"/>
      <c r="M25" s="274" t="s">
        <v>1076</v>
      </c>
      <c r="N25" s="274"/>
      <c r="O25" s="274">
        <v>1</v>
      </c>
      <c r="P25" s="274"/>
      <c r="Q25" s="274"/>
      <c r="R25" s="274"/>
      <c r="S25" s="274" t="s">
        <v>1060</v>
      </c>
      <c r="T25" s="274" t="s">
        <v>1074</v>
      </c>
      <c r="U25" s="274">
        <v>200</v>
      </c>
      <c r="V25" s="273"/>
      <c r="W25" s="273"/>
      <c r="X25" s="273"/>
      <c r="AB25" s="267"/>
      <c r="AC25" s="267"/>
      <c r="AD25" s="267"/>
      <c r="AE25" s="269" t="s">
        <v>1077</v>
      </c>
      <c r="AF25" s="267"/>
    </row>
    <row r="26" spans="1:32">
      <c r="A26" s="3">
        <v>1</v>
      </c>
      <c r="B26" s="3" t="s">
        <v>1021</v>
      </c>
      <c r="C26" s="3" t="s">
        <v>979</v>
      </c>
      <c r="D26" s="3" t="s">
        <v>1021</v>
      </c>
      <c r="E26" s="3" t="s">
        <v>1021</v>
      </c>
      <c r="F26" s="3" t="s">
        <v>1021</v>
      </c>
      <c r="G26" s="3" t="s">
        <v>1021</v>
      </c>
      <c r="H26" s="3" t="s">
        <v>1021</v>
      </c>
      <c r="I26" s="3" t="s">
        <v>1021</v>
      </c>
      <c r="J26" s="3" t="s">
        <v>1021</v>
      </c>
      <c r="K26" s="3">
        <v>24</v>
      </c>
      <c r="L26" s="69"/>
      <c r="M26" s="69" t="s">
        <v>1078</v>
      </c>
      <c r="N26" s="69"/>
      <c r="O26" s="69">
        <v>1</v>
      </c>
      <c r="P26" s="69"/>
      <c r="Q26" s="69"/>
      <c r="R26" s="69"/>
      <c r="S26" s="69" t="s">
        <v>1060</v>
      </c>
      <c r="T26" s="69" t="s">
        <v>1074</v>
      </c>
      <c r="U26" s="69">
        <v>2000</v>
      </c>
      <c r="V26" s="3"/>
      <c r="W26" s="3"/>
      <c r="X26" s="3"/>
      <c r="AB26" s="267"/>
      <c r="AC26" s="267"/>
      <c r="AD26" s="267"/>
      <c r="AE26" s="269" t="s">
        <v>1079</v>
      </c>
      <c r="AF26" s="267"/>
    </row>
    <row r="27" spans="1:32">
      <c r="A27" s="273">
        <v>1</v>
      </c>
      <c r="B27" s="273" t="s">
        <v>1021</v>
      </c>
      <c r="C27" s="273" t="s">
        <v>979</v>
      </c>
      <c r="D27" s="273" t="s">
        <v>1021</v>
      </c>
      <c r="E27" s="273" t="s">
        <v>1021</v>
      </c>
      <c r="F27" s="273" t="s">
        <v>1021</v>
      </c>
      <c r="G27" s="273" t="s">
        <v>1021</v>
      </c>
      <c r="H27" s="273" t="s">
        <v>1021</v>
      </c>
      <c r="I27" s="273" t="s">
        <v>1021</v>
      </c>
      <c r="J27" s="273" t="s">
        <v>1021</v>
      </c>
      <c r="K27" s="273">
        <v>25</v>
      </c>
      <c r="L27" s="274"/>
      <c r="M27" s="274" t="s">
        <v>1080</v>
      </c>
      <c r="N27" s="274"/>
      <c r="O27" s="274">
        <v>1</v>
      </c>
      <c r="P27" s="274"/>
      <c r="Q27" s="274"/>
      <c r="R27" s="274"/>
      <c r="S27" s="274" t="s">
        <v>1060</v>
      </c>
      <c r="T27" s="274" t="s">
        <v>1074</v>
      </c>
      <c r="U27" s="274">
        <v>200</v>
      </c>
      <c r="V27" s="273"/>
      <c r="W27" s="273"/>
      <c r="X27" s="273"/>
      <c r="AB27" s="267"/>
      <c r="AC27" s="267"/>
      <c r="AD27" s="267"/>
      <c r="AE27" s="269" t="s">
        <v>1081</v>
      </c>
      <c r="AF27" s="267"/>
    </row>
    <row r="28" spans="1:32">
      <c r="A28" s="3">
        <v>1</v>
      </c>
      <c r="B28" s="3" t="s">
        <v>1021</v>
      </c>
      <c r="C28" s="3" t="s">
        <v>979</v>
      </c>
      <c r="D28" s="3" t="s">
        <v>1021</v>
      </c>
      <c r="E28" s="3" t="s">
        <v>1021</v>
      </c>
      <c r="F28" s="3" t="s">
        <v>1021</v>
      </c>
      <c r="G28" s="3" t="s">
        <v>1021</v>
      </c>
      <c r="H28" s="3" t="s">
        <v>1021</v>
      </c>
      <c r="I28" s="3" t="s">
        <v>1021</v>
      </c>
      <c r="J28" s="3" t="s">
        <v>1021</v>
      </c>
      <c r="K28" s="3">
        <v>26</v>
      </c>
      <c r="L28" s="69"/>
      <c r="M28" s="69" t="s">
        <v>1082</v>
      </c>
      <c r="N28" s="69"/>
      <c r="O28" s="69">
        <v>2</v>
      </c>
      <c r="P28" s="69"/>
      <c r="Q28" s="69"/>
      <c r="R28" s="69"/>
      <c r="S28" s="69" t="s">
        <v>1060</v>
      </c>
      <c r="T28" s="69" t="s">
        <v>1074</v>
      </c>
      <c r="U28" s="69">
        <v>50</v>
      </c>
      <c r="V28" s="3"/>
      <c r="W28" s="3"/>
      <c r="X28" s="3"/>
      <c r="AB28" s="267"/>
      <c r="AC28" s="267"/>
      <c r="AD28" s="267"/>
      <c r="AE28" s="269" t="s">
        <v>1083</v>
      </c>
      <c r="AF28" s="267"/>
    </row>
    <row r="29" spans="1:32">
      <c r="A29" s="273">
        <v>1</v>
      </c>
      <c r="B29" s="273" t="s">
        <v>1021</v>
      </c>
      <c r="C29" s="273" t="s">
        <v>979</v>
      </c>
      <c r="D29" s="273" t="s">
        <v>1021</v>
      </c>
      <c r="E29" s="273" t="s">
        <v>1021</v>
      </c>
      <c r="F29" s="273" t="s">
        <v>1021</v>
      </c>
      <c r="G29" s="273" t="s">
        <v>1021</v>
      </c>
      <c r="H29" s="273" t="s">
        <v>1021</v>
      </c>
      <c r="I29" s="273" t="s">
        <v>1021</v>
      </c>
      <c r="J29" s="273" t="s">
        <v>1021</v>
      </c>
      <c r="K29" s="273">
        <v>27</v>
      </c>
      <c r="L29" s="274"/>
      <c r="M29" s="274"/>
      <c r="N29" s="274"/>
      <c r="O29" s="274"/>
      <c r="P29" s="274"/>
      <c r="Q29" s="274"/>
      <c r="R29" s="274"/>
      <c r="S29" s="274"/>
      <c r="T29" s="274"/>
      <c r="U29" s="274"/>
      <c r="V29" s="273"/>
      <c r="W29" s="273"/>
      <c r="X29" s="273"/>
      <c r="AB29" s="267"/>
      <c r="AC29" s="267"/>
      <c r="AD29" s="267"/>
      <c r="AE29" s="269" t="s">
        <v>1084</v>
      </c>
      <c r="AF29" s="267"/>
    </row>
    <row r="30" spans="1:32">
      <c r="A30" s="3">
        <v>1</v>
      </c>
      <c r="B30" s="3" t="s">
        <v>1021</v>
      </c>
      <c r="C30" s="3" t="s">
        <v>979</v>
      </c>
      <c r="D30" s="3" t="s">
        <v>1021</v>
      </c>
      <c r="E30" s="3" t="s">
        <v>1021</v>
      </c>
      <c r="F30" s="3" t="s">
        <v>1021</v>
      </c>
      <c r="G30" s="3" t="s">
        <v>1021</v>
      </c>
      <c r="H30" s="3" t="s">
        <v>1021</v>
      </c>
      <c r="I30" s="3" t="s">
        <v>1021</v>
      </c>
      <c r="J30" s="3" t="s">
        <v>1021</v>
      </c>
      <c r="K30" s="3">
        <v>28</v>
      </c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3"/>
      <c r="W30" s="3"/>
      <c r="X30" s="3"/>
      <c r="AB30" s="267"/>
      <c r="AC30" s="267"/>
      <c r="AD30" s="267"/>
      <c r="AE30" s="269" t="s">
        <v>1085</v>
      </c>
      <c r="AF30" s="267"/>
    </row>
    <row r="31" spans="1:32">
      <c r="A31" s="273">
        <v>1</v>
      </c>
      <c r="B31" s="273" t="s">
        <v>1021</v>
      </c>
      <c r="C31" s="273" t="s">
        <v>979</v>
      </c>
      <c r="D31" s="273" t="s">
        <v>1021</v>
      </c>
      <c r="E31" s="273" t="s">
        <v>1021</v>
      </c>
      <c r="F31" s="273" t="s">
        <v>1021</v>
      </c>
      <c r="G31" s="273" t="s">
        <v>1021</v>
      </c>
      <c r="H31" s="273" t="s">
        <v>1021</v>
      </c>
      <c r="I31" s="273" t="s">
        <v>1021</v>
      </c>
      <c r="J31" s="273" t="s">
        <v>1021</v>
      </c>
      <c r="K31" s="273">
        <v>29</v>
      </c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3"/>
      <c r="W31" s="273"/>
      <c r="X31" s="273"/>
      <c r="AB31" s="267"/>
      <c r="AC31" s="267"/>
      <c r="AD31" s="267"/>
      <c r="AE31" s="269" t="s">
        <v>1086</v>
      </c>
      <c r="AF31" s="267"/>
    </row>
    <row r="32" spans="1:32">
      <c r="A32" s="3">
        <v>1</v>
      </c>
      <c r="B32" s="3" t="s">
        <v>1021</v>
      </c>
      <c r="C32" s="3" t="s">
        <v>979</v>
      </c>
      <c r="D32" s="3" t="s">
        <v>1021</v>
      </c>
      <c r="E32" s="3" t="s">
        <v>1021</v>
      </c>
      <c r="F32" s="3" t="s">
        <v>1021</v>
      </c>
      <c r="G32" s="3" t="s">
        <v>1021</v>
      </c>
      <c r="H32" s="3" t="s">
        <v>1021</v>
      </c>
      <c r="I32" s="3" t="s">
        <v>1021</v>
      </c>
      <c r="J32" s="3" t="s">
        <v>1021</v>
      </c>
      <c r="K32" s="3">
        <v>30</v>
      </c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3"/>
      <c r="W32" s="3"/>
      <c r="X32" s="3"/>
      <c r="AB32" s="267"/>
      <c r="AC32" s="267"/>
      <c r="AD32" s="267"/>
      <c r="AE32" s="269" t="s">
        <v>1087</v>
      </c>
      <c r="AF32" s="267"/>
    </row>
    <row r="33" spans="1:32">
      <c r="A33" s="273">
        <v>1</v>
      </c>
      <c r="B33" s="273" t="s">
        <v>1021</v>
      </c>
      <c r="C33" s="273" t="s">
        <v>979</v>
      </c>
      <c r="D33" s="273" t="s">
        <v>1021</v>
      </c>
      <c r="E33" s="273" t="s">
        <v>1021</v>
      </c>
      <c r="F33" s="273" t="s">
        <v>1021</v>
      </c>
      <c r="G33" s="273" t="s">
        <v>1021</v>
      </c>
      <c r="H33" s="273" t="s">
        <v>1021</v>
      </c>
      <c r="I33" s="273" t="s">
        <v>1021</v>
      </c>
      <c r="J33" s="273" t="s">
        <v>1021</v>
      </c>
      <c r="K33" s="273">
        <v>31</v>
      </c>
      <c r="L33" s="274"/>
      <c r="M33" s="274"/>
      <c r="N33" s="274"/>
      <c r="O33" s="274"/>
      <c r="P33" s="274"/>
      <c r="Q33" s="274"/>
      <c r="R33" s="274"/>
      <c r="S33" s="274"/>
      <c r="T33" s="274"/>
      <c r="U33" s="274"/>
      <c r="V33" s="273"/>
      <c r="W33" s="273"/>
      <c r="X33" s="273"/>
      <c r="AB33" s="267"/>
      <c r="AC33" s="267"/>
      <c r="AD33" s="267"/>
      <c r="AE33" s="269" t="s">
        <v>1088</v>
      </c>
      <c r="AF33" s="267"/>
    </row>
    <row r="34" spans="1:32">
      <c r="A34" s="3">
        <v>1</v>
      </c>
      <c r="B34" s="3" t="s">
        <v>1021</v>
      </c>
      <c r="C34" s="3" t="s">
        <v>979</v>
      </c>
      <c r="D34" s="3" t="s">
        <v>1021</v>
      </c>
      <c r="E34" s="3" t="s">
        <v>1021</v>
      </c>
      <c r="F34" s="3" t="s">
        <v>1021</v>
      </c>
      <c r="G34" s="3" t="s">
        <v>1021</v>
      </c>
      <c r="H34" s="3" t="s">
        <v>1021</v>
      </c>
      <c r="I34" s="3" t="s">
        <v>1021</v>
      </c>
      <c r="J34" s="3" t="s">
        <v>1021</v>
      </c>
      <c r="K34" s="3">
        <v>32</v>
      </c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3"/>
      <c r="W34" s="3"/>
      <c r="X34" s="3"/>
      <c r="AB34" s="267"/>
      <c r="AC34" s="267"/>
      <c r="AD34" s="267"/>
      <c r="AE34" s="269" t="s">
        <v>1089</v>
      </c>
      <c r="AF34" s="267"/>
    </row>
    <row r="35" spans="1:32">
      <c r="A35" s="273">
        <v>1</v>
      </c>
      <c r="B35" s="273" t="s">
        <v>1021</v>
      </c>
      <c r="C35" s="273" t="s">
        <v>979</v>
      </c>
      <c r="D35" s="273" t="s">
        <v>1021</v>
      </c>
      <c r="E35" s="273" t="s">
        <v>1021</v>
      </c>
      <c r="F35" s="273" t="s">
        <v>1021</v>
      </c>
      <c r="G35" s="273" t="s">
        <v>1021</v>
      </c>
      <c r="H35" s="273" t="s">
        <v>1021</v>
      </c>
      <c r="I35" s="273" t="s">
        <v>1021</v>
      </c>
      <c r="J35" s="273" t="s">
        <v>1021</v>
      </c>
      <c r="K35" s="273">
        <v>33</v>
      </c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3"/>
      <c r="W35" s="273"/>
      <c r="X35" s="273"/>
      <c r="AB35" s="267"/>
      <c r="AC35" s="267"/>
      <c r="AD35" s="267"/>
      <c r="AE35" s="269" t="s">
        <v>1090</v>
      </c>
      <c r="AF35" s="267"/>
    </row>
    <row r="36" spans="1:32">
      <c r="A36" s="3">
        <v>1</v>
      </c>
      <c r="B36" s="3" t="s">
        <v>1021</v>
      </c>
      <c r="C36" s="3" t="s">
        <v>979</v>
      </c>
      <c r="D36" s="3" t="s">
        <v>1021</v>
      </c>
      <c r="E36" s="3" t="s">
        <v>1021</v>
      </c>
      <c r="F36" s="3" t="s">
        <v>1021</v>
      </c>
      <c r="G36" s="3" t="s">
        <v>1021</v>
      </c>
      <c r="H36" s="3" t="s">
        <v>1021</v>
      </c>
      <c r="I36" s="3" t="s">
        <v>1021</v>
      </c>
      <c r="J36" s="3" t="s">
        <v>1021</v>
      </c>
      <c r="K36" s="3">
        <v>34</v>
      </c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3" t="s">
        <v>986</v>
      </c>
      <c r="W36" s="3"/>
      <c r="X36" s="3"/>
      <c r="AB36" s="267"/>
      <c r="AC36" s="267"/>
      <c r="AD36" s="267"/>
      <c r="AE36" s="269" t="s">
        <v>1091</v>
      </c>
      <c r="AF36" s="267"/>
    </row>
    <row r="37" spans="1:32">
      <c r="A37" s="273">
        <v>1</v>
      </c>
      <c r="B37" s="273" t="s">
        <v>1021</v>
      </c>
      <c r="C37" s="273" t="s">
        <v>979</v>
      </c>
      <c r="D37" s="273" t="s">
        <v>1021</v>
      </c>
      <c r="E37" s="273" t="s">
        <v>1021</v>
      </c>
      <c r="F37" s="273" t="s">
        <v>1021</v>
      </c>
      <c r="G37" s="273" t="s">
        <v>1021</v>
      </c>
      <c r="H37" s="273" t="s">
        <v>1021</v>
      </c>
      <c r="I37" s="273" t="s">
        <v>1021</v>
      </c>
      <c r="J37" s="273" t="s">
        <v>1021</v>
      </c>
      <c r="K37" s="273">
        <v>35</v>
      </c>
      <c r="L37" s="274"/>
      <c r="M37" s="274"/>
      <c r="N37" s="274"/>
      <c r="O37" s="274"/>
      <c r="P37" s="274"/>
      <c r="Q37" s="274"/>
      <c r="R37" s="274"/>
      <c r="S37" s="274"/>
      <c r="T37" s="274"/>
      <c r="U37" s="274"/>
      <c r="V37" s="273"/>
      <c r="W37" s="273"/>
      <c r="X37" s="273"/>
      <c r="AB37" s="267"/>
      <c r="AC37" s="267"/>
      <c r="AD37" s="267"/>
      <c r="AE37" s="269" t="s">
        <v>1092</v>
      </c>
      <c r="AF37" s="267"/>
    </row>
    <row r="38" spans="1:32">
      <c r="A38" s="3">
        <v>1</v>
      </c>
      <c r="B38" s="3" t="s">
        <v>1021</v>
      </c>
      <c r="C38" s="3" t="s">
        <v>979</v>
      </c>
      <c r="D38" s="3" t="s">
        <v>1021</v>
      </c>
      <c r="E38" s="3" t="s">
        <v>1021</v>
      </c>
      <c r="F38" s="3" t="s">
        <v>1021</v>
      </c>
      <c r="G38" s="3" t="s">
        <v>1021</v>
      </c>
      <c r="H38" s="3" t="s">
        <v>1021</v>
      </c>
      <c r="I38" s="3" t="s">
        <v>1021</v>
      </c>
      <c r="J38" s="3" t="s">
        <v>1021</v>
      </c>
      <c r="K38" s="3">
        <v>36</v>
      </c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3"/>
      <c r="W38" s="3"/>
      <c r="X38" s="3"/>
      <c r="AB38" s="267"/>
      <c r="AC38" s="267"/>
      <c r="AD38" s="267"/>
      <c r="AE38" s="269" t="s">
        <v>1093</v>
      </c>
      <c r="AF38" s="267"/>
    </row>
    <row r="39" spans="1:32">
      <c r="A39" s="273">
        <v>1</v>
      </c>
      <c r="B39" s="273" t="s">
        <v>1021</v>
      </c>
      <c r="C39" s="273" t="s">
        <v>979</v>
      </c>
      <c r="D39" s="273" t="s">
        <v>1021</v>
      </c>
      <c r="E39" s="273" t="s">
        <v>1021</v>
      </c>
      <c r="F39" s="273" t="s">
        <v>1021</v>
      </c>
      <c r="G39" s="273" t="s">
        <v>1021</v>
      </c>
      <c r="H39" s="273" t="s">
        <v>1021</v>
      </c>
      <c r="I39" s="273" t="s">
        <v>1021</v>
      </c>
      <c r="J39" s="273" t="s">
        <v>1021</v>
      </c>
      <c r="K39" s="273">
        <v>37</v>
      </c>
      <c r="L39" s="274"/>
      <c r="M39" s="274"/>
      <c r="N39" s="274"/>
      <c r="O39" s="274"/>
      <c r="P39" s="274"/>
      <c r="Q39" s="274"/>
      <c r="R39" s="274"/>
      <c r="S39" s="274"/>
      <c r="T39" s="274"/>
      <c r="U39" s="274"/>
      <c r="V39" s="273"/>
      <c r="W39" s="273"/>
      <c r="X39" s="273"/>
      <c r="AB39" s="267"/>
      <c r="AC39" s="267"/>
      <c r="AD39" s="267"/>
      <c r="AE39" s="269" t="s">
        <v>1094</v>
      </c>
      <c r="AF39" s="267"/>
    </row>
    <row r="40" spans="1:32">
      <c r="A40" s="3">
        <v>1</v>
      </c>
      <c r="B40" s="3" t="s">
        <v>1021</v>
      </c>
      <c r="C40" s="3" t="s">
        <v>979</v>
      </c>
      <c r="D40" s="3" t="s">
        <v>1021</v>
      </c>
      <c r="E40" s="3" t="s">
        <v>1021</v>
      </c>
      <c r="F40" s="3" t="s">
        <v>1021</v>
      </c>
      <c r="G40" s="3" t="s">
        <v>1021</v>
      </c>
      <c r="H40" s="3" t="s">
        <v>1021</v>
      </c>
      <c r="I40" s="3" t="s">
        <v>1021</v>
      </c>
      <c r="J40" s="3" t="s">
        <v>1021</v>
      </c>
      <c r="K40" s="3">
        <v>38</v>
      </c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3"/>
      <c r="W40" s="3"/>
      <c r="X40" s="3"/>
      <c r="AB40" s="267"/>
      <c r="AC40" s="267"/>
      <c r="AD40" s="267"/>
      <c r="AE40" s="269" t="s">
        <v>1095</v>
      </c>
      <c r="AF40" s="267"/>
    </row>
    <row r="41" spans="1:32">
      <c r="A41" s="273">
        <v>1</v>
      </c>
      <c r="B41" s="273" t="s">
        <v>1021</v>
      </c>
      <c r="C41" s="273" t="s">
        <v>979</v>
      </c>
      <c r="D41" s="273" t="s">
        <v>1021</v>
      </c>
      <c r="E41" s="273" t="s">
        <v>1021</v>
      </c>
      <c r="F41" s="273" t="s">
        <v>1021</v>
      </c>
      <c r="G41" s="273" t="s">
        <v>1021</v>
      </c>
      <c r="H41" s="273" t="s">
        <v>1021</v>
      </c>
      <c r="I41" s="273" t="s">
        <v>1021</v>
      </c>
      <c r="J41" s="273" t="s">
        <v>1021</v>
      </c>
      <c r="K41" s="273">
        <v>39</v>
      </c>
      <c r="L41" s="274"/>
      <c r="M41" s="274"/>
      <c r="N41" s="274"/>
      <c r="O41" s="274"/>
      <c r="P41" s="274"/>
      <c r="Q41" s="274"/>
      <c r="R41" s="274"/>
      <c r="S41" s="274"/>
      <c r="T41" s="274"/>
      <c r="U41" s="274"/>
      <c r="V41" s="273"/>
      <c r="W41" s="273"/>
      <c r="X41" s="273"/>
      <c r="AB41" s="267"/>
      <c r="AC41" s="267"/>
      <c r="AD41" s="267"/>
      <c r="AE41" s="269" t="s">
        <v>1096</v>
      </c>
      <c r="AF41" s="267"/>
    </row>
    <row r="42" spans="1:32">
      <c r="A42" s="3">
        <v>1</v>
      </c>
      <c r="B42" s="3" t="s">
        <v>1021</v>
      </c>
      <c r="C42" s="3" t="s">
        <v>979</v>
      </c>
      <c r="D42" s="3" t="s">
        <v>1021</v>
      </c>
      <c r="E42" s="3" t="s">
        <v>1021</v>
      </c>
      <c r="F42" s="3" t="s">
        <v>1021</v>
      </c>
      <c r="G42" s="3" t="s">
        <v>1021</v>
      </c>
      <c r="H42" s="3" t="s">
        <v>1021</v>
      </c>
      <c r="I42" s="3" t="s">
        <v>1021</v>
      </c>
      <c r="J42" s="3" t="s">
        <v>1021</v>
      </c>
      <c r="K42" s="3">
        <v>40</v>
      </c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3"/>
      <c r="W42" s="3"/>
      <c r="X42" s="3"/>
    </row>
    <row r="43" spans="1:32">
      <c r="A43" s="273">
        <v>1</v>
      </c>
      <c r="B43" s="273" t="s">
        <v>1021</v>
      </c>
      <c r="C43" s="273" t="s">
        <v>979</v>
      </c>
      <c r="D43" s="273" t="s">
        <v>1021</v>
      </c>
      <c r="E43" s="273" t="s">
        <v>1021</v>
      </c>
      <c r="F43" s="273" t="s">
        <v>1021</v>
      </c>
      <c r="G43" s="273" t="s">
        <v>1021</v>
      </c>
      <c r="H43" s="273" t="s">
        <v>1021</v>
      </c>
      <c r="I43" s="273" t="s">
        <v>1021</v>
      </c>
      <c r="J43" s="273" t="s">
        <v>1021</v>
      </c>
      <c r="K43" s="273">
        <v>41</v>
      </c>
      <c r="L43" s="274"/>
      <c r="M43" s="274"/>
      <c r="N43" s="274"/>
      <c r="O43" s="274"/>
      <c r="P43" s="274"/>
      <c r="Q43" s="274"/>
      <c r="R43" s="274"/>
      <c r="S43" s="274"/>
      <c r="T43" s="274"/>
      <c r="U43" s="274"/>
      <c r="V43" s="273"/>
      <c r="W43" s="273"/>
      <c r="X43" s="273"/>
    </row>
    <row r="44" spans="1:32">
      <c r="A44" s="3">
        <v>1</v>
      </c>
      <c r="B44" s="3" t="s">
        <v>1021</v>
      </c>
      <c r="C44" s="3" t="s">
        <v>979</v>
      </c>
      <c r="D44" s="3" t="s">
        <v>1021</v>
      </c>
      <c r="E44" s="3" t="s">
        <v>1021</v>
      </c>
      <c r="F44" s="3" t="s">
        <v>1021</v>
      </c>
      <c r="G44" s="3" t="s">
        <v>1021</v>
      </c>
      <c r="H44" s="3" t="s">
        <v>1021</v>
      </c>
      <c r="I44" s="3" t="s">
        <v>1021</v>
      </c>
      <c r="J44" s="3" t="s">
        <v>1021</v>
      </c>
      <c r="K44" s="3">
        <v>42</v>
      </c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3"/>
      <c r="W44" s="3"/>
      <c r="X44" s="3"/>
    </row>
    <row r="45" spans="1:32">
      <c r="A45" s="273">
        <v>1</v>
      </c>
      <c r="B45" s="273" t="s">
        <v>1021</v>
      </c>
      <c r="C45" s="273" t="s">
        <v>979</v>
      </c>
      <c r="D45" s="273" t="s">
        <v>1021</v>
      </c>
      <c r="E45" s="273" t="s">
        <v>1021</v>
      </c>
      <c r="F45" s="273" t="s">
        <v>1021</v>
      </c>
      <c r="G45" s="273" t="s">
        <v>1021</v>
      </c>
      <c r="H45" s="273" t="s">
        <v>1021</v>
      </c>
      <c r="I45" s="273" t="s">
        <v>1021</v>
      </c>
      <c r="J45" s="273" t="s">
        <v>1021</v>
      </c>
      <c r="K45" s="273">
        <v>43</v>
      </c>
      <c r="L45" s="274"/>
      <c r="M45" s="274"/>
      <c r="N45" s="274"/>
      <c r="O45" s="274"/>
      <c r="P45" s="274"/>
      <c r="Q45" s="274"/>
      <c r="R45" s="274"/>
      <c r="S45" s="274"/>
      <c r="T45" s="274"/>
      <c r="U45" s="274"/>
      <c r="V45" s="273"/>
      <c r="W45" s="273"/>
      <c r="X45" s="273"/>
    </row>
    <row r="46" spans="1:32">
      <c r="A46" s="3">
        <v>1</v>
      </c>
      <c r="B46" s="3" t="s">
        <v>1021</v>
      </c>
      <c r="C46" s="3" t="s">
        <v>979</v>
      </c>
      <c r="D46" s="3" t="s">
        <v>1021</v>
      </c>
      <c r="E46" s="3" t="s">
        <v>1021</v>
      </c>
      <c r="F46" s="3" t="s">
        <v>1021</v>
      </c>
      <c r="G46" s="3" t="s">
        <v>1021</v>
      </c>
      <c r="H46" s="3" t="s">
        <v>1021</v>
      </c>
      <c r="I46" s="3" t="s">
        <v>1021</v>
      </c>
      <c r="J46" s="3" t="s">
        <v>1021</v>
      </c>
      <c r="K46" s="3">
        <v>44</v>
      </c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3"/>
      <c r="W46" s="3"/>
      <c r="X46" s="3"/>
    </row>
    <row r="47" spans="1:32">
      <c r="A47" s="273">
        <v>1</v>
      </c>
      <c r="B47" s="273" t="s">
        <v>1021</v>
      </c>
      <c r="C47" s="273" t="s">
        <v>979</v>
      </c>
      <c r="D47" s="273" t="s">
        <v>1021</v>
      </c>
      <c r="E47" s="273" t="s">
        <v>1021</v>
      </c>
      <c r="F47" s="273" t="s">
        <v>1021</v>
      </c>
      <c r="G47" s="273" t="s">
        <v>1021</v>
      </c>
      <c r="H47" s="273" t="s">
        <v>1021</v>
      </c>
      <c r="I47" s="273" t="s">
        <v>1021</v>
      </c>
      <c r="J47" s="273" t="s">
        <v>1021</v>
      </c>
      <c r="K47" s="273">
        <v>45</v>
      </c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3"/>
      <c r="W47" s="273"/>
      <c r="X47" s="273"/>
    </row>
    <row r="48" spans="1:32">
      <c r="A48" s="3">
        <v>1</v>
      </c>
      <c r="B48" s="3" t="s">
        <v>1021</v>
      </c>
      <c r="C48" s="3" t="s">
        <v>979</v>
      </c>
      <c r="D48" s="3" t="s">
        <v>1021</v>
      </c>
      <c r="E48" s="3" t="s">
        <v>1021</v>
      </c>
      <c r="F48" s="3" t="s">
        <v>1021</v>
      </c>
      <c r="G48" s="3" t="s">
        <v>1021</v>
      </c>
      <c r="H48" s="3" t="s">
        <v>1021</v>
      </c>
      <c r="I48" s="3" t="s">
        <v>1021</v>
      </c>
      <c r="J48" s="3" t="s">
        <v>1021</v>
      </c>
      <c r="K48" s="3">
        <v>46</v>
      </c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3"/>
      <c r="W48" s="3"/>
      <c r="X48" s="3"/>
    </row>
    <row r="49" spans="1:24">
      <c r="A49" s="273">
        <v>1</v>
      </c>
      <c r="B49" s="273" t="s">
        <v>1021</v>
      </c>
      <c r="C49" s="273" t="s">
        <v>979</v>
      </c>
      <c r="D49" s="273" t="s">
        <v>1021</v>
      </c>
      <c r="E49" s="273" t="s">
        <v>1021</v>
      </c>
      <c r="F49" s="273" t="s">
        <v>1021</v>
      </c>
      <c r="G49" s="273" t="s">
        <v>1021</v>
      </c>
      <c r="H49" s="273" t="s">
        <v>1021</v>
      </c>
      <c r="I49" s="273" t="s">
        <v>1021</v>
      </c>
      <c r="J49" s="273" t="s">
        <v>1021</v>
      </c>
      <c r="K49" s="273">
        <v>47</v>
      </c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3"/>
      <c r="W49" s="273"/>
      <c r="X49" s="273"/>
    </row>
    <row r="50" spans="1:24">
      <c r="A50" s="3">
        <v>1</v>
      </c>
      <c r="B50" s="3" t="s">
        <v>1021</v>
      </c>
      <c r="C50" s="3" t="s">
        <v>979</v>
      </c>
      <c r="D50" s="3" t="s">
        <v>1021</v>
      </c>
      <c r="E50" s="3" t="s">
        <v>1021</v>
      </c>
      <c r="F50" s="3" t="s">
        <v>1021</v>
      </c>
      <c r="G50" s="3" t="s">
        <v>1021</v>
      </c>
      <c r="H50" s="3" t="s">
        <v>1021</v>
      </c>
      <c r="I50" s="3" t="s">
        <v>1021</v>
      </c>
      <c r="J50" s="3" t="s">
        <v>1021</v>
      </c>
      <c r="K50" s="3">
        <v>48</v>
      </c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3"/>
      <c r="W50" s="3"/>
      <c r="X50" s="3"/>
    </row>
    <row r="51" spans="1:24">
      <c r="A51" s="273">
        <v>1</v>
      </c>
      <c r="B51" s="273" t="s">
        <v>1021</v>
      </c>
      <c r="C51" s="273" t="s">
        <v>979</v>
      </c>
      <c r="D51" s="273" t="s">
        <v>1021</v>
      </c>
      <c r="E51" s="273" t="s">
        <v>1021</v>
      </c>
      <c r="F51" s="273" t="s">
        <v>1021</v>
      </c>
      <c r="G51" s="273" t="s">
        <v>1021</v>
      </c>
      <c r="H51" s="273" t="s">
        <v>1021</v>
      </c>
      <c r="I51" s="273" t="s">
        <v>1021</v>
      </c>
      <c r="J51" s="273" t="s">
        <v>1021</v>
      </c>
      <c r="K51" s="273">
        <v>49</v>
      </c>
      <c r="L51" s="274"/>
      <c r="M51" s="274"/>
      <c r="N51" s="274"/>
      <c r="O51" s="274"/>
      <c r="P51" s="274"/>
      <c r="Q51" s="274"/>
      <c r="R51" s="274"/>
      <c r="S51" s="274"/>
      <c r="T51" s="274"/>
      <c r="U51" s="274"/>
      <c r="V51" s="273"/>
      <c r="W51" s="273"/>
      <c r="X51" s="273"/>
    </row>
    <row r="52" spans="1:24">
      <c r="A52" s="3">
        <v>1</v>
      </c>
      <c r="B52" s="3" t="s">
        <v>1021</v>
      </c>
      <c r="C52" s="3" t="s">
        <v>979</v>
      </c>
      <c r="D52" s="3" t="s">
        <v>1021</v>
      </c>
      <c r="E52" s="3" t="s">
        <v>1021</v>
      </c>
      <c r="F52" s="3" t="s">
        <v>1021</v>
      </c>
      <c r="G52" s="3" t="s">
        <v>1021</v>
      </c>
      <c r="H52" s="3" t="s">
        <v>1021</v>
      </c>
      <c r="I52" s="3" t="s">
        <v>1021</v>
      </c>
      <c r="J52" s="3" t="s">
        <v>1021</v>
      </c>
      <c r="K52" s="3">
        <v>50</v>
      </c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3"/>
      <c r="W52" s="3"/>
      <c r="X52" s="3"/>
    </row>
    <row r="53" spans="1:24">
      <c r="A53" s="273">
        <v>1</v>
      </c>
      <c r="B53" s="273" t="s">
        <v>1021</v>
      </c>
      <c r="C53" s="273" t="s">
        <v>979</v>
      </c>
      <c r="D53" s="273" t="s">
        <v>1021</v>
      </c>
      <c r="E53" s="273" t="s">
        <v>1021</v>
      </c>
      <c r="F53" s="273" t="s">
        <v>1021</v>
      </c>
      <c r="G53" s="273" t="s">
        <v>1021</v>
      </c>
      <c r="H53" s="273" t="s">
        <v>1021</v>
      </c>
      <c r="I53" s="273" t="s">
        <v>1021</v>
      </c>
      <c r="J53" s="273" t="s">
        <v>1021</v>
      </c>
      <c r="K53" s="273">
        <v>51</v>
      </c>
      <c r="L53" s="274"/>
      <c r="M53" s="274"/>
      <c r="N53" s="274"/>
      <c r="O53" s="274"/>
      <c r="P53" s="274"/>
      <c r="Q53" s="274"/>
      <c r="R53" s="274"/>
      <c r="S53" s="274"/>
      <c r="T53" s="274"/>
      <c r="U53" s="274"/>
      <c r="V53" s="273"/>
      <c r="W53" s="273"/>
      <c r="X53" s="273"/>
    </row>
    <row r="54" spans="1:24">
      <c r="A54" s="3">
        <v>1</v>
      </c>
      <c r="B54" s="3" t="s">
        <v>1021</v>
      </c>
      <c r="C54" s="3" t="s">
        <v>979</v>
      </c>
      <c r="D54" s="3" t="s">
        <v>1021</v>
      </c>
      <c r="E54" s="3" t="s">
        <v>1021</v>
      </c>
      <c r="F54" s="3" t="s">
        <v>1021</v>
      </c>
      <c r="G54" s="3" t="s">
        <v>1021</v>
      </c>
      <c r="H54" s="3" t="s">
        <v>1021</v>
      </c>
      <c r="I54" s="3" t="s">
        <v>1021</v>
      </c>
      <c r="J54" s="3" t="s">
        <v>1021</v>
      </c>
      <c r="K54" s="3">
        <v>52</v>
      </c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3"/>
      <c r="W54" s="3"/>
      <c r="X54" s="3"/>
    </row>
    <row r="55" spans="1:24">
      <c r="A55" s="273">
        <v>1</v>
      </c>
      <c r="B55" s="273" t="s">
        <v>1021</v>
      </c>
      <c r="C55" s="273" t="s">
        <v>979</v>
      </c>
      <c r="D55" s="273" t="s">
        <v>1021</v>
      </c>
      <c r="E55" s="273" t="s">
        <v>1021</v>
      </c>
      <c r="F55" s="273" t="s">
        <v>1021</v>
      </c>
      <c r="G55" s="273" t="s">
        <v>1021</v>
      </c>
      <c r="H55" s="273" t="s">
        <v>1021</v>
      </c>
      <c r="I55" s="273" t="s">
        <v>1021</v>
      </c>
      <c r="J55" s="273" t="s">
        <v>1021</v>
      </c>
      <c r="K55" s="273">
        <v>53</v>
      </c>
      <c r="L55" s="274"/>
      <c r="M55" s="274"/>
      <c r="N55" s="274"/>
      <c r="O55" s="274"/>
      <c r="P55" s="274"/>
      <c r="Q55" s="274"/>
      <c r="R55" s="274"/>
      <c r="S55" s="274"/>
      <c r="T55" s="274"/>
      <c r="U55" s="274"/>
      <c r="V55" s="273"/>
      <c r="W55" s="273"/>
      <c r="X55" s="273"/>
    </row>
    <row r="56" spans="1:24">
      <c r="A56" s="3">
        <v>1</v>
      </c>
      <c r="B56" s="3" t="s">
        <v>1021</v>
      </c>
      <c r="C56" s="3" t="s">
        <v>979</v>
      </c>
      <c r="D56" s="3" t="s">
        <v>1021</v>
      </c>
      <c r="E56" s="3" t="s">
        <v>1021</v>
      </c>
      <c r="F56" s="3" t="s">
        <v>1021</v>
      </c>
      <c r="G56" s="3" t="s">
        <v>1021</v>
      </c>
      <c r="H56" s="3" t="s">
        <v>1021</v>
      </c>
      <c r="I56" s="3" t="s">
        <v>1021</v>
      </c>
      <c r="J56" s="3" t="s">
        <v>1021</v>
      </c>
      <c r="K56" s="3">
        <v>54</v>
      </c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3"/>
      <c r="W56" s="3"/>
      <c r="X56" s="3"/>
    </row>
    <row r="57" spans="1:24">
      <c r="A57" s="273">
        <v>1</v>
      </c>
      <c r="B57" s="273" t="s">
        <v>1021</v>
      </c>
      <c r="C57" s="273" t="s">
        <v>979</v>
      </c>
      <c r="D57" s="273" t="s">
        <v>1021</v>
      </c>
      <c r="E57" s="273" t="s">
        <v>1021</v>
      </c>
      <c r="F57" s="273" t="s">
        <v>1021</v>
      </c>
      <c r="G57" s="273" t="s">
        <v>1021</v>
      </c>
      <c r="H57" s="273" t="s">
        <v>1021</v>
      </c>
      <c r="I57" s="273" t="s">
        <v>1021</v>
      </c>
      <c r="J57" s="273" t="s">
        <v>1021</v>
      </c>
      <c r="K57" s="273">
        <v>55</v>
      </c>
      <c r="L57" s="274"/>
      <c r="M57" s="274"/>
      <c r="N57" s="274"/>
      <c r="O57" s="274"/>
      <c r="P57" s="274"/>
      <c r="Q57" s="274"/>
      <c r="R57" s="274"/>
      <c r="S57" s="274"/>
      <c r="T57" s="274"/>
      <c r="U57" s="274"/>
      <c r="V57" s="273"/>
      <c r="W57" s="273"/>
      <c r="X57" s="273"/>
    </row>
    <row r="58" spans="1:24">
      <c r="A58" s="3">
        <v>1</v>
      </c>
      <c r="B58" s="3" t="s">
        <v>1021</v>
      </c>
      <c r="C58" s="3" t="s">
        <v>979</v>
      </c>
      <c r="D58" s="3" t="s">
        <v>1021</v>
      </c>
      <c r="E58" s="3" t="s">
        <v>1021</v>
      </c>
      <c r="F58" s="3" t="s">
        <v>1021</v>
      </c>
      <c r="G58" s="3" t="s">
        <v>1021</v>
      </c>
      <c r="H58" s="3" t="s">
        <v>1021</v>
      </c>
      <c r="I58" s="3" t="s">
        <v>1021</v>
      </c>
      <c r="J58" s="3" t="s">
        <v>1021</v>
      </c>
      <c r="K58" s="3">
        <v>56</v>
      </c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3"/>
      <c r="W58" s="3"/>
      <c r="X58" s="3"/>
    </row>
    <row r="59" spans="1:24">
      <c r="A59" s="273">
        <v>1</v>
      </c>
      <c r="B59" s="273" t="s">
        <v>1021</v>
      </c>
      <c r="C59" s="273" t="s">
        <v>979</v>
      </c>
      <c r="D59" s="273" t="s">
        <v>1021</v>
      </c>
      <c r="E59" s="273" t="s">
        <v>1021</v>
      </c>
      <c r="F59" s="273" t="s">
        <v>1021</v>
      </c>
      <c r="G59" s="273" t="s">
        <v>1021</v>
      </c>
      <c r="H59" s="273" t="s">
        <v>1021</v>
      </c>
      <c r="I59" s="273" t="s">
        <v>1021</v>
      </c>
      <c r="J59" s="273" t="s">
        <v>1021</v>
      </c>
      <c r="K59" s="273">
        <v>57</v>
      </c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3"/>
      <c r="W59" s="273"/>
      <c r="X59" s="273"/>
    </row>
    <row r="60" spans="1:24">
      <c r="A60" s="3">
        <v>1</v>
      </c>
      <c r="B60" s="3" t="s">
        <v>1021</v>
      </c>
      <c r="C60" s="3" t="s">
        <v>979</v>
      </c>
      <c r="D60" s="3" t="s">
        <v>1021</v>
      </c>
      <c r="E60" s="3" t="s">
        <v>1021</v>
      </c>
      <c r="F60" s="3" t="s">
        <v>1021</v>
      </c>
      <c r="G60" s="3" t="s">
        <v>1021</v>
      </c>
      <c r="H60" s="3" t="s">
        <v>1021</v>
      </c>
      <c r="I60" s="3" t="s">
        <v>1021</v>
      </c>
      <c r="J60" s="3" t="s">
        <v>1021</v>
      </c>
      <c r="K60" s="3">
        <v>58</v>
      </c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3"/>
      <c r="W60" s="3"/>
      <c r="X60" s="3"/>
    </row>
    <row r="61" spans="1:24">
      <c r="A61" s="273">
        <v>1</v>
      </c>
      <c r="B61" s="273" t="s">
        <v>1021</v>
      </c>
      <c r="C61" s="273" t="s">
        <v>979</v>
      </c>
      <c r="D61" s="273" t="s">
        <v>1021</v>
      </c>
      <c r="E61" s="273" t="s">
        <v>1021</v>
      </c>
      <c r="F61" s="273" t="s">
        <v>1021</v>
      </c>
      <c r="G61" s="273" t="s">
        <v>1021</v>
      </c>
      <c r="H61" s="273" t="s">
        <v>1021</v>
      </c>
      <c r="I61" s="273" t="s">
        <v>1021</v>
      </c>
      <c r="J61" s="273" t="s">
        <v>1021</v>
      </c>
      <c r="K61" s="273">
        <v>59</v>
      </c>
      <c r="L61" s="274"/>
      <c r="M61" s="274"/>
      <c r="N61" s="274"/>
      <c r="O61" s="274"/>
      <c r="P61" s="274"/>
      <c r="Q61" s="274"/>
      <c r="R61" s="274"/>
      <c r="S61" s="274"/>
      <c r="T61" s="274"/>
      <c r="U61" s="274"/>
      <c r="V61" s="273"/>
      <c r="W61" s="273"/>
      <c r="X61" s="273"/>
    </row>
    <row r="62" spans="1:24">
      <c r="A62" s="3">
        <v>1</v>
      </c>
      <c r="B62" s="3" t="s">
        <v>1021</v>
      </c>
      <c r="C62" s="3" t="s">
        <v>979</v>
      </c>
      <c r="D62" s="3" t="s">
        <v>1021</v>
      </c>
      <c r="E62" s="3" t="s">
        <v>1021</v>
      </c>
      <c r="F62" s="3" t="s">
        <v>1021</v>
      </c>
      <c r="G62" s="3" t="s">
        <v>1021</v>
      </c>
      <c r="H62" s="3" t="s">
        <v>1021</v>
      </c>
      <c r="I62" s="3" t="s">
        <v>1021</v>
      </c>
      <c r="J62" s="3" t="s">
        <v>1021</v>
      </c>
      <c r="K62" s="3">
        <v>60</v>
      </c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3"/>
      <c r="W62" s="3"/>
      <c r="X62" s="3"/>
    </row>
  </sheetData>
  <mergeCells count="1">
    <mergeCell ref="A5:J5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7" workbookViewId="0">
      <selection activeCell="B14" sqref="B14"/>
    </sheetView>
  </sheetViews>
  <sheetFormatPr baseColWidth="10" defaultColWidth="11" defaultRowHeight="16"/>
  <cols>
    <col min="1" max="1" width="14.5" customWidth="1"/>
    <col min="2" max="2" width="20.5" bestFit="1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>
      <c r="A2" s="5" t="s">
        <v>623</v>
      </c>
      <c r="B2" s="5" t="e">
        <f>'S09 BOM'!#REF!</f>
        <v>#REF!</v>
      </c>
      <c r="C2" s="5" t="e">
        <f>'S09 BOM'!#REF!</f>
        <v>#REF!</v>
      </c>
      <c r="D2" s="5"/>
      <c r="E2" s="5"/>
      <c r="F2" s="5"/>
      <c r="G2" s="5"/>
      <c r="H2" s="5"/>
      <c r="I2" s="5"/>
    </row>
    <row r="3" spans="1:9">
      <c r="A3" s="5" t="s">
        <v>624</v>
      </c>
      <c r="B3" s="5" t="e">
        <f>'S09 BOM'!#REF!</f>
        <v>#REF!</v>
      </c>
      <c r="C3" s="5"/>
      <c r="D3" s="5"/>
      <c r="E3" s="5"/>
      <c r="F3" s="5"/>
      <c r="G3" s="5"/>
      <c r="H3" s="5"/>
      <c r="I3" s="5"/>
    </row>
    <row r="4" spans="1:9">
      <c r="A4" s="70" t="s">
        <v>0</v>
      </c>
      <c r="B4" s="5" t="s">
        <v>625</v>
      </c>
      <c r="C4" s="5" t="s">
        <v>573</v>
      </c>
      <c r="D4" s="5" t="s">
        <v>626</v>
      </c>
      <c r="E4" s="5" t="s">
        <v>627</v>
      </c>
      <c r="F4" s="5" t="s">
        <v>628</v>
      </c>
      <c r="G4" s="5" t="s">
        <v>629</v>
      </c>
      <c r="H4" s="5" t="s">
        <v>630</v>
      </c>
      <c r="I4" s="5" t="s">
        <v>631</v>
      </c>
    </row>
    <row r="5" spans="1:9">
      <c r="A5" s="3">
        <v>10</v>
      </c>
      <c r="B5" s="3" t="s">
        <v>632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>
      <c r="A6" s="3">
        <v>20</v>
      </c>
      <c r="B6" s="3" t="s">
        <v>633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>
      <c r="A7" s="3">
        <v>30</v>
      </c>
      <c r="B7" s="3" t="s">
        <v>634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>
      <c r="A8" s="3">
        <v>40</v>
      </c>
      <c r="B8" s="3" t="s">
        <v>635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>
      <c r="A9" s="3">
        <v>50</v>
      </c>
      <c r="B9" s="3" t="s">
        <v>636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637</v>
      </c>
    </row>
    <row r="10" spans="1:9">
      <c r="A10" s="3">
        <v>60</v>
      </c>
      <c r="B10" s="3" t="s">
        <v>638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>
      <c r="A11" s="3">
        <v>70</v>
      </c>
      <c r="B11" s="3" t="s">
        <v>639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>
      <c r="A12" s="3">
        <v>80</v>
      </c>
      <c r="B12" s="3" t="s">
        <v>640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zoomScale="150" workbookViewId="0">
      <selection activeCell="C3" sqref="C3"/>
    </sheetView>
  </sheetViews>
  <sheetFormatPr baseColWidth="10" defaultColWidth="11" defaultRowHeight="16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4"/>
  <sheetViews>
    <sheetView zoomScale="125" zoomScaleNormal="100" workbookViewId="0">
      <pane ySplit="1" topLeftCell="A498" activePane="bottomLeft" state="frozen"/>
      <selection pane="bottomLeft" activeCell="A68" sqref="A68:XFD75"/>
    </sheetView>
  </sheetViews>
  <sheetFormatPr baseColWidth="10" defaultColWidth="11" defaultRowHeight="16"/>
  <cols>
    <col min="1" max="1" width="14.33203125" customWidth="1"/>
    <col min="2" max="2" width="12.332031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>
      <c r="A1" s="1" t="s">
        <v>812</v>
      </c>
      <c r="B1" s="1" t="s">
        <v>811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>
      <c r="A2" s="214" t="str">
        <f t="shared" ref="A2:A65" si="0">C2&amp;"-"&amp;E2</f>
        <v>I-001-WS-08</v>
      </c>
      <c r="B2" s="214" t="str">
        <f t="shared" ref="B2:B65" si="1"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>
      <c r="A3" s="214" t="str">
        <f t="shared" si="0"/>
        <v>I-001-WS-20</v>
      </c>
      <c r="B3" s="214" t="str">
        <f t="shared" si="1"/>
        <v>I-001-40</v>
      </c>
      <c r="C3" s="45" t="s">
        <v>507</v>
      </c>
      <c r="D3" s="45">
        <v>40</v>
      </c>
      <c r="E3" s="45" t="s">
        <v>593</v>
      </c>
      <c r="F3" s="42" t="str">
        <f>VLOOKUP(E3, 'S11 Work Stations'!$A$2:$B$45, 2, 0)</f>
        <v>MIL-H21-604</v>
      </c>
      <c r="G3" s="45">
        <v>480</v>
      </c>
      <c r="H3" s="3">
        <v>200</v>
      </c>
    </row>
    <row r="4" spans="1:8" s="44" customFormat="1">
      <c r="A4" s="214" t="str">
        <f t="shared" si="0"/>
        <v>I-001-WS-26</v>
      </c>
      <c r="B4" s="21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VLOOKUP(E4, 'S11 Work Stations'!$A$2:$B$45, 2, 0)</f>
        <v>DR-2A2-202</v>
      </c>
      <c r="G4" s="45">
        <v>180</v>
      </c>
      <c r="H4" s="3">
        <v>200</v>
      </c>
    </row>
    <row r="5" spans="1:8" s="44" customFormat="1">
      <c r="A5" s="214" t="str">
        <f t="shared" si="0"/>
        <v>I-001-WS-32</v>
      </c>
      <c r="B5" s="21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VLOOKUP(E5, 'S11 Work Stations'!$A$2:$B$45, 2, 0)</f>
        <v>SAW-30-150-251</v>
      </c>
      <c r="G5" s="45">
        <v>720</v>
      </c>
      <c r="H5" s="3">
        <v>200</v>
      </c>
    </row>
    <row r="6" spans="1:8" s="44" customFormat="1">
      <c r="A6" s="214" t="str">
        <f t="shared" si="0"/>
        <v>I-001-WS-36</v>
      </c>
      <c r="B6" s="21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VLOOKUP(E6, 'S11 Work Stations'!$A$2:$B$45, 2, 0)</f>
        <v>SAW-10-421</v>
      </c>
      <c r="G6" s="45">
        <v>120</v>
      </c>
      <c r="H6" s="3">
        <v>200</v>
      </c>
    </row>
    <row r="7" spans="1:8" s="44" customFormat="1">
      <c r="A7" s="214" t="str">
        <f t="shared" si="0"/>
        <v>I-001-WS-42</v>
      </c>
      <c r="B7" s="21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VLOOKUP(E7, 'S11 Work Stations'!$A$2:$B$45, 2, 0)</f>
        <v>TEMP-A01-202</v>
      </c>
      <c r="G7" s="45">
        <v>300</v>
      </c>
      <c r="H7" s="3">
        <v>200</v>
      </c>
    </row>
    <row r="8" spans="1:8" s="44" customFormat="1">
      <c r="A8" s="214" t="str">
        <f t="shared" si="0"/>
        <v>I-001-WS-43</v>
      </c>
      <c r="B8" s="21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VLOOKUP(E8, 'S11 Work Stations'!$A$2:$B$45, 2, 0)</f>
        <v>RAW-MAT-INV</v>
      </c>
      <c r="G8" s="45">
        <v>0</v>
      </c>
      <c r="H8" s="3">
        <v>200</v>
      </c>
    </row>
    <row r="9" spans="1:8" s="44" customFormat="1">
      <c r="A9" s="214" t="str">
        <f t="shared" si="0"/>
        <v>I-001-WS-44</v>
      </c>
      <c r="B9" s="21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VLOOKUP(E9, 'S11 Work Stations'!$A$2:$B$45, 2, 0)</f>
        <v>FIN-GOOD-INV</v>
      </c>
      <c r="G9" s="45">
        <v>0</v>
      </c>
      <c r="H9" s="3">
        <v>200</v>
      </c>
    </row>
    <row r="10" spans="1:8" s="44" customFormat="1">
      <c r="A10" s="214" t="str">
        <f t="shared" si="0"/>
        <v>I-002-WS-08</v>
      </c>
      <c r="B10" s="21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VLOOKUP(E10, 'S11 Work Stations'!$A$2:$B$45, 2, 0)</f>
        <v>MIL-10-150-401</v>
      </c>
      <c r="G10" s="45">
        <v>900</v>
      </c>
      <c r="H10" s="3">
        <v>200</v>
      </c>
    </row>
    <row r="11" spans="1:8" s="44" customFormat="1">
      <c r="A11" s="214" t="str">
        <f t="shared" si="0"/>
        <v>I-002-WS-20</v>
      </c>
      <c r="B11" s="21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VLOOKUP(E11, 'S11 Work Stations'!$A$2:$B$45, 2, 0)</f>
        <v>MIL-H21-604</v>
      </c>
      <c r="G11" s="45">
        <v>480</v>
      </c>
      <c r="H11" s="3">
        <v>200</v>
      </c>
    </row>
    <row r="12" spans="1:8" s="44" customFormat="1">
      <c r="A12" s="214" t="str">
        <f t="shared" si="0"/>
        <v>I-002-WS-26</v>
      </c>
      <c r="B12" s="21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VLOOKUP(E12, 'S11 Work Stations'!$A$2:$B$45, 2, 0)</f>
        <v>DR-2A2-202</v>
      </c>
      <c r="G12" s="45">
        <v>240</v>
      </c>
      <c r="H12" s="3">
        <v>200</v>
      </c>
    </row>
    <row r="13" spans="1:8" s="44" customFormat="1">
      <c r="A13" s="214" t="str">
        <f t="shared" si="0"/>
        <v>I-002-WS-32</v>
      </c>
      <c r="B13" s="21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VLOOKUP(E13, 'S11 Work Stations'!$A$2:$B$45, 2, 0)</f>
        <v>SAW-30-150-251</v>
      </c>
      <c r="G13" s="45">
        <v>720</v>
      </c>
      <c r="H13" s="3">
        <v>200</v>
      </c>
    </row>
    <row r="14" spans="1:8" s="44" customFormat="1">
      <c r="A14" s="214" t="str">
        <f t="shared" si="0"/>
        <v>I-002-WS-36</v>
      </c>
      <c r="B14" s="21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VLOOKUP(E14, 'S11 Work Stations'!$A$2:$B$45, 2, 0)</f>
        <v>SAW-10-421</v>
      </c>
      <c r="G14" s="45">
        <v>120</v>
      </c>
      <c r="H14" s="3">
        <v>200</v>
      </c>
    </row>
    <row r="15" spans="1:8" s="44" customFormat="1">
      <c r="A15" s="214" t="str">
        <f t="shared" si="0"/>
        <v>I-002-WS-43</v>
      </c>
      <c r="B15" s="21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VLOOKUP(E15, 'S11 Work Stations'!$A$2:$B$45, 2, 0)</f>
        <v>RAW-MAT-INV</v>
      </c>
      <c r="G15" s="45">
        <v>0</v>
      </c>
      <c r="H15" s="3">
        <v>200</v>
      </c>
    </row>
    <row r="16" spans="1:8" s="44" customFormat="1">
      <c r="A16" s="214" t="str">
        <f t="shared" si="0"/>
        <v>I-002-WS-44</v>
      </c>
      <c r="B16" s="21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VLOOKUP(E16, 'S11 Work Stations'!$A$2:$B$45, 2, 0)</f>
        <v>FIN-GOOD-INV</v>
      </c>
      <c r="G16" s="45">
        <v>0</v>
      </c>
      <c r="H16" s="3">
        <v>200</v>
      </c>
    </row>
    <row r="17" spans="1:8" s="44" customFormat="1">
      <c r="A17" s="214" t="str">
        <f t="shared" si="0"/>
        <v>I-003-WS-08</v>
      </c>
      <c r="B17" s="21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VLOOKUP(E17, 'S11 Work Stations'!$A$2:$B$45, 2, 0)</f>
        <v>MIL-10-150-401</v>
      </c>
      <c r="G17" s="45">
        <v>600</v>
      </c>
      <c r="H17" s="3">
        <v>200</v>
      </c>
    </row>
    <row r="18" spans="1:8" s="44" customFormat="1">
      <c r="A18" s="214" t="str">
        <f t="shared" si="0"/>
        <v>I-003-WS-19</v>
      </c>
      <c r="B18" s="21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VLOOKUP(E18, 'S11 Work Stations'!$A$2:$B$45, 2, 0)</f>
        <v>MIL-V31-603</v>
      </c>
      <c r="G18" s="45">
        <v>480</v>
      </c>
      <c r="H18" s="3">
        <v>200</v>
      </c>
    </row>
    <row r="19" spans="1:8" s="44" customFormat="1">
      <c r="A19" s="214" t="str">
        <f t="shared" si="0"/>
        <v>I-003-WS-26</v>
      </c>
      <c r="B19" s="21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VLOOKUP(E19, 'S11 Work Stations'!$A$2:$B$45, 2, 0)</f>
        <v>DR-2A2-202</v>
      </c>
      <c r="G19" s="45">
        <v>300</v>
      </c>
      <c r="H19" s="3">
        <v>200</v>
      </c>
    </row>
    <row r="20" spans="1:8" s="44" customFormat="1">
      <c r="A20" s="214" t="str">
        <f t="shared" si="0"/>
        <v>I-003-WS-32</v>
      </c>
      <c r="B20" s="21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VLOOKUP(E20, 'S11 Work Stations'!$A$2:$B$45, 2, 0)</f>
        <v>SAW-30-150-251</v>
      </c>
      <c r="G20" s="45">
        <v>600</v>
      </c>
      <c r="H20" s="3">
        <v>200</v>
      </c>
    </row>
    <row r="21" spans="1:8" s="44" customFormat="1">
      <c r="A21" s="214" t="str">
        <f t="shared" si="0"/>
        <v>I-003-WS-36</v>
      </c>
      <c r="B21" s="21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VLOOKUP(E21, 'S11 Work Stations'!$A$2:$B$45, 2, 0)</f>
        <v>SAW-10-421</v>
      </c>
      <c r="G21" s="45">
        <v>120</v>
      </c>
      <c r="H21" s="3">
        <v>200</v>
      </c>
    </row>
    <row r="22" spans="1:8" s="44" customFormat="1">
      <c r="A22" s="214" t="str">
        <f t="shared" si="0"/>
        <v>I-003-WS-42</v>
      </c>
      <c r="B22" s="21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VLOOKUP(E22, 'S11 Work Stations'!$A$2:$B$45, 2, 0)</f>
        <v>TEMP-A01-202</v>
      </c>
      <c r="G22" s="45">
        <v>300</v>
      </c>
      <c r="H22" s="3">
        <v>200</v>
      </c>
    </row>
    <row r="23" spans="1:8" s="44" customFormat="1">
      <c r="A23" s="214" t="str">
        <f t="shared" si="0"/>
        <v>I-003-WS-43</v>
      </c>
      <c r="B23" s="21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VLOOKUP(E23, 'S11 Work Stations'!$A$2:$B$45, 2, 0)</f>
        <v>RAW-MAT-INV</v>
      </c>
      <c r="G23" s="45">
        <v>0</v>
      </c>
      <c r="H23" s="3">
        <v>200</v>
      </c>
    </row>
    <row r="24" spans="1:8" s="44" customFormat="1">
      <c r="A24" s="214" t="str">
        <f t="shared" si="0"/>
        <v>I-003-WS-44</v>
      </c>
      <c r="B24" s="21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VLOOKUP(E24, 'S11 Work Stations'!$A$2:$B$45, 2, 0)</f>
        <v>FIN-GOOD-INV</v>
      </c>
      <c r="G24" s="45">
        <v>0</v>
      </c>
      <c r="H24" s="3">
        <v>200</v>
      </c>
    </row>
    <row r="25" spans="1:8" s="44" customFormat="1">
      <c r="A25" s="214" t="str">
        <f t="shared" si="0"/>
        <v>I-004-WS-05</v>
      </c>
      <c r="B25" s="21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VLOOKUP(E25, 'S11 Work Stations'!$A$2:$B$45, 2, 0)</f>
        <v>MIL-A2-365</v>
      </c>
      <c r="G25" s="45">
        <v>480</v>
      </c>
      <c r="H25" s="3">
        <v>200</v>
      </c>
    </row>
    <row r="26" spans="1:8" s="44" customFormat="1">
      <c r="A26" s="214" t="str">
        <f t="shared" si="0"/>
        <v>I-004-WS-25</v>
      </c>
      <c r="B26" s="21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VLOOKUP(E26, 'S11 Work Stations'!$A$2:$B$45, 2, 0)</f>
        <v>DR-2A-201</v>
      </c>
      <c r="G26" s="45">
        <v>480</v>
      </c>
      <c r="H26" s="3">
        <v>200</v>
      </c>
    </row>
    <row r="27" spans="1:8" s="44" customFormat="1">
      <c r="A27" s="214" t="str">
        <f t="shared" si="0"/>
        <v>I-004-WS-34</v>
      </c>
      <c r="B27" s="21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VLOOKUP(E27, 'S11 Work Stations'!$A$2:$B$45, 2, 0)</f>
        <v>SAW-30-160-252</v>
      </c>
      <c r="G27" s="45">
        <v>600</v>
      </c>
      <c r="H27" s="3">
        <v>200</v>
      </c>
    </row>
    <row r="28" spans="1:8" s="44" customFormat="1">
      <c r="A28" s="214" t="str">
        <f t="shared" si="0"/>
        <v>I-004-WS-36</v>
      </c>
      <c r="B28" s="21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VLOOKUP(E28, 'S11 Work Stations'!$A$2:$B$45, 2, 0)</f>
        <v>SAW-10-421</v>
      </c>
      <c r="G28" s="45">
        <v>120</v>
      </c>
      <c r="H28" s="3">
        <v>200</v>
      </c>
    </row>
    <row r="29" spans="1:8" s="44" customFormat="1">
      <c r="A29" s="214" t="str">
        <f t="shared" si="0"/>
        <v>I-004-WS-43</v>
      </c>
      <c r="B29" s="21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VLOOKUP(E29, 'S11 Work Stations'!$A$2:$B$45, 2, 0)</f>
        <v>RAW-MAT-INV</v>
      </c>
      <c r="G29" s="45">
        <v>0</v>
      </c>
      <c r="H29" s="3">
        <v>200</v>
      </c>
    </row>
    <row r="30" spans="1:8" s="44" customFormat="1">
      <c r="A30" s="214" t="str">
        <f t="shared" si="0"/>
        <v>I-004-WS-44</v>
      </c>
      <c r="B30" s="21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VLOOKUP(E30, 'S11 Work Stations'!$A$2:$B$45, 2, 0)</f>
        <v>FIN-GOOD-INV</v>
      </c>
      <c r="G30" s="45">
        <v>0</v>
      </c>
      <c r="H30" s="3">
        <v>200</v>
      </c>
    </row>
    <row r="31" spans="1:8" s="44" customFormat="1">
      <c r="A31" s="214" t="str">
        <f t="shared" si="0"/>
        <v>I-005-WS-04</v>
      </c>
      <c r="B31" s="21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VLOOKUP(E31, 'S11 Work Stations'!$A$2:$B$45, 2, 0)</f>
        <v>TUR-A4-364</v>
      </c>
      <c r="G31" s="45">
        <v>600</v>
      </c>
      <c r="H31" s="3">
        <v>200</v>
      </c>
    </row>
    <row r="32" spans="1:8" s="44" customFormat="1">
      <c r="A32" s="214" t="str">
        <f t="shared" si="0"/>
        <v>I-005-WS-20</v>
      </c>
      <c r="B32" s="21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VLOOKUP(E32, 'S11 Work Stations'!$A$2:$B$45, 2, 0)</f>
        <v>MIL-H21-604</v>
      </c>
      <c r="G32" s="45">
        <v>480</v>
      </c>
      <c r="H32" s="3">
        <v>200</v>
      </c>
    </row>
    <row r="33" spans="1:8" s="44" customFormat="1">
      <c r="A33" s="214" t="str">
        <f t="shared" si="0"/>
        <v>I-005-WS-31</v>
      </c>
      <c r="B33" s="21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VLOOKUP(E33, 'S11 Work Stations'!$A$2:$B$45, 2, 0)</f>
        <v>DR-3AW-207</v>
      </c>
      <c r="G33" s="45">
        <v>300</v>
      </c>
      <c r="H33" s="3">
        <v>200</v>
      </c>
    </row>
    <row r="34" spans="1:8" s="44" customFormat="1">
      <c r="A34" s="214" t="str">
        <f t="shared" si="0"/>
        <v>I-005-WS-32</v>
      </c>
      <c r="B34" s="21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VLOOKUP(E34, 'S11 Work Stations'!$A$2:$B$45, 2, 0)</f>
        <v>SAW-30-150-251</v>
      </c>
      <c r="G34" s="45">
        <v>600</v>
      </c>
      <c r="H34" s="3">
        <v>200</v>
      </c>
    </row>
    <row r="35" spans="1:8" s="44" customFormat="1">
      <c r="A35" s="214" t="str">
        <f t="shared" si="0"/>
        <v>I-005-WS-40</v>
      </c>
      <c r="B35" s="21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VLOOKUP(E35, 'S11 Work Stations'!$A$2:$B$45, 2, 0)</f>
        <v>SAW-CNC-40-425</v>
      </c>
      <c r="G35" s="45">
        <v>120</v>
      </c>
      <c r="H35" s="3">
        <v>200</v>
      </c>
    </row>
    <row r="36" spans="1:8" s="44" customFormat="1">
      <c r="A36" s="214" t="str">
        <f t="shared" si="0"/>
        <v>I-005-WS-42</v>
      </c>
      <c r="B36" s="21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VLOOKUP(E36, 'S11 Work Stations'!$A$2:$B$45, 2, 0)</f>
        <v>TEMP-A01-202</v>
      </c>
      <c r="G36" s="45">
        <v>300</v>
      </c>
      <c r="H36" s="3">
        <v>200</v>
      </c>
    </row>
    <row r="37" spans="1:8" s="44" customFormat="1">
      <c r="A37" s="214" t="str">
        <f t="shared" si="0"/>
        <v>I-005-WS-44</v>
      </c>
      <c r="B37" s="21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VLOOKUP(E37, 'S11 Work Stations'!$A$2:$B$45, 2, 0)</f>
        <v>FIN-GOOD-INV</v>
      </c>
      <c r="G37" s="45">
        <v>0</v>
      </c>
      <c r="H37" s="3">
        <v>200</v>
      </c>
    </row>
    <row r="38" spans="1:8" s="44" customFormat="1">
      <c r="A38" s="214" t="str">
        <f t="shared" si="0"/>
        <v>I-006-WS-02</v>
      </c>
      <c r="B38" s="21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VLOOKUP(E38, 'S11 Work Stations'!$A$2:$B$45, 2, 0)</f>
        <v>TUR-B2-362</v>
      </c>
      <c r="G38" s="45">
        <v>600</v>
      </c>
      <c r="H38" s="3">
        <v>200</v>
      </c>
    </row>
    <row r="39" spans="1:8" s="44" customFormat="1">
      <c r="A39" s="214" t="str">
        <f t="shared" si="0"/>
        <v>I-006-WS-18</v>
      </c>
      <c r="B39" s="21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VLOOKUP(E39, 'S11 Work Stations'!$A$2:$B$45, 2, 0)</f>
        <v>MIL-V2-602</v>
      </c>
      <c r="G39" s="45">
        <v>480</v>
      </c>
      <c r="H39" s="3">
        <v>200</v>
      </c>
    </row>
    <row r="40" spans="1:8" s="44" customFormat="1">
      <c r="A40" s="214" t="str">
        <f t="shared" si="0"/>
        <v>I-006-WS-24</v>
      </c>
      <c r="B40" s="21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VLOOKUP(E40, 'S11 Work Stations'!$A$2:$B$45, 2, 0)</f>
        <v>MIL-V5-608</v>
      </c>
      <c r="G40" s="45">
        <v>180</v>
      </c>
      <c r="H40" s="3">
        <v>200</v>
      </c>
    </row>
    <row r="41" spans="1:8" s="44" customFormat="1">
      <c r="A41" s="214" t="str">
        <f t="shared" si="0"/>
        <v>I-006-WS-29</v>
      </c>
      <c r="B41" s="21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VLOOKUP(E41, 'S11 Work Stations'!$A$2:$B$45, 2, 0)</f>
        <v>GR-T11-250</v>
      </c>
      <c r="G41" s="45">
        <v>480</v>
      </c>
      <c r="H41" s="3">
        <v>200</v>
      </c>
    </row>
    <row r="42" spans="1:8" s="44" customFormat="1">
      <c r="A42" s="214" t="str">
        <f t="shared" si="0"/>
        <v>I-006-WS-33</v>
      </c>
      <c r="B42" s="21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VLOOKUP(E42, 'S11 Work Stations'!$A$2:$B$45, 2, 0)</f>
        <v>SAW-50-150-252</v>
      </c>
      <c r="G42" s="45">
        <v>600</v>
      </c>
      <c r="H42" s="3">
        <v>200</v>
      </c>
    </row>
    <row r="43" spans="1:8" s="44" customFormat="1">
      <c r="A43" s="214" t="str">
        <f t="shared" si="0"/>
        <v>I-006-WS-40</v>
      </c>
      <c r="B43" s="21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VLOOKUP(E43, 'S11 Work Stations'!$A$2:$B$45, 2, 0)</f>
        <v>SAW-CNC-40-425</v>
      </c>
      <c r="G43" s="45">
        <v>120</v>
      </c>
      <c r="H43" s="3">
        <v>200</v>
      </c>
    </row>
    <row r="44" spans="1:8" s="44" customFormat="1">
      <c r="A44" s="214" t="str">
        <f t="shared" si="0"/>
        <v>I-006-WS-43</v>
      </c>
      <c r="B44" s="21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VLOOKUP(E44, 'S11 Work Stations'!$A$2:$B$45, 2, 0)</f>
        <v>RAW-MAT-INV</v>
      </c>
      <c r="G44" s="45">
        <v>0</v>
      </c>
      <c r="H44" s="3">
        <v>200</v>
      </c>
    </row>
    <row r="45" spans="1:8" s="44" customFormat="1">
      <c r="A45" s="214" t="str">
        <f t="shared" si="0"/>
        <v>I-006-WS-44</v>
      </c>
      <c r="B45" s="21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VLOOKUP(E45, 'S11 Work Stations'!$A$2:$B$45, 2, 0)</f>
        <v>FIN-GOOD-INV</v>
      </c>
      <c r="G45" s="45">
        <v>0</v>
      </c>
      <c r="H45" s="3">
        <v>200</v>
      </c>
    </row>
    <row r="46" spans="1:8" s="44" customFormat="1">
      <c r="A46" s="214" t="str">
        <f t="shared" si="0"/>
        <v>I-007-WS-02</v>
      </c>
      <c r="B46" s="21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VLOOKUP(E46, 'S11 Work Stations'!$A$2:$B$45, 2, 0)</f>
        <v>TUR-B2-362</v>
      </c>
      <c r="G46" s="45">
        <v>360</v>
      </c>
      <c r="H46" s="3">
        <v>200</v>
      </c>
    </row>
    <row r="47" spans="1:8" s="44" customFormat="1">
      <c r="A47" s="214" t="str">
        <f t="shared" si="0"/>
        <v>I-007-WS-18</v>
      </c>
      <c r="B47" s="21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VLOOKUP(E47, 'S11 Work Stations'!$A$2:$B$45, 2, 0)</f>
        <v>MIL-V2-602</v>
      </c>
      <c r="G47" s="45">
        <v>360</v>
      </c>
      <c r="H47" s="3">
        <v>200</v>
      </c>
    </row>
    <row r="48" spans="1:8" s="44" customFormat="1">
      <c r="A48" s="214" t="str">
        <f t="shared" si="0"/>
        <v>I-007-WS-24</v>
      </c>
      <c r="B48" s="21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VLOOKUP(E48, 'S11 Work Stations'!$A$2:$B$45, 2, 0)</f>
        <v>MIL-V5-608</v>
      </c>
      <c r="G48" s="45">
        <v>120</v>
      </c>
      <c r="H48" s="3">
        <v>200</v>
      </c>
    </row>
    <row r="49" spans="1:8" s="44" customFormat="1">
      <c r="A49" s="214" t="str">
        <f t="shared" si="0"/>
        <v>I-007-WS-29</v>
      </c>
      <c r="B49" s="21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VLOOKUP(E49, 'S11 Work Stations'!$A$2:$B$45, 2, 0)</f>
        <v>GR-T11-250</v>
      </c>
      <c r="G49" s="45">
        <v>120</v>
      </c>
      <c r="H49" s="3">
        <v>200</v>
      </c>
    </row>
    <row r="50" spans="1:8" s="44" customFormat="1">
      <c r="A50" s="214" t="str">
        <f t="shared" si="0"/>
        <v>I-007-WS-33</v>
      </c>
      <c r="B50" s="21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VLOOKUP(E50, 'S11 Work Stations'!$A$2:$B$45, 2, 0)</f>
        <v>SAW-50-150-252</v>
      </c>
      <c r="G50" s="45">
        <v>180</v>
      </c>
      <c r="H50" s="3">
        <v>200</v>
      </c>
    </row>
    <row r="51" spans="1:8" s="44" customFormat="1">
      <c r="A51" s="214" t="str">
        <f t="shared" si="0"/>
        <v>I-007-WS-40</v>
      </c>
      <c r="B51" s="21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VLOOKUP(E51, 'S11 Work Stations'!$A$2:$B$45, 2, 0)</f>
        <v>SAW-CNC-40-425</v>
      </c>
      <c r="G51" s="45">
        <v>120</v>
      </c>
      <c r="H51" s="3">
        <v>200</v>
      </c>
    </row>
    <row r="52" spans="1:8" s="44" customFormat="1">
      <c r="A52" s="214" t="str">
        <f t="shared" si="0"/>
        <v>I-007-WS-43</v>
      </c>
      <c r="B52" s="21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VLOOKUP(E52, 'S11 Work Stations'!$A$2:$B$45, 2, 0)</f>
        <v>RAW-MAT-INV</v>
      </c>
      <c r="G52" s="45">
        <v>0</v>
      </c>
      <c r="H52" s="3">
        <v>200</v>
      </c>
    </row>
    <row r="53" spans="1:8" s="44" customFormat="1">
      <c r="A53" s="214" t="str">
        <f t="shared" si="0"/>
        <v>I-007-WS-44</v>
      </c>
      <c r="B53" s="21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VLOOKUP(E53, 'S11 Work Stations'!$A$2:$B$45, 2, 0)</f>
        <v>FIN-GOOD-INV</v>
      </c>
      <c r="G53" s="45">
        <v>0</v>
      </c>
      <c r="H53" s="3">
        <v>200</v>
      </c>
    </row>
    <row r="54" spans="1:8" s="44" customFormat="1">
      <c r="A54" s="214" t="str">
        <f t="shared" si="0"/>
        <v>I-008-WS-02</v>
      </c>
      <c r="B54" s="21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VLOOKUP(E54, 'S11 Work Stations'!$A$2:$B$45, 2, 0)</f>
        <v>TUR-B2-362</v>
      </c>
      <c r="G54" s="45">
        <v>540</v>
      </c>
      <c r="H54" s="3">
        <v>200</v>
      </c>
    </row>
    <row r="55" spans="1:8" s="44" customFormat="1">
      <c r="A55" s="214" t="str">
        <f t="shared" si="0"/>
        <v>I-008-WS-18</v>
      </c>
      <c r="B55" s="21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VLOOKUP(E55, 'S11 Work Stations'!$A$2:$B$45, 2, 0)</f>
        <v>MIL-V2-602</v>
      </c>
      <c r="G55" s="45">
        <v>300</v>
      </c>
      <c r="H55" s="3">
        <v>200</v>
      </c>
    </row>
    <row r="56" spans="1:8" s="44" customFormat="1">
      <c r="A56" s="214" t="str">
        <f t="shared" si="0"/>
        <v>I-008-WS-24</v>
      </c>
      <c r="B56" s="21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VLOOKUP(E56, 'S11 Work Stations'!$A$2:$B$45, 2, 0)</f>
        <v>MIL-V5-608</v>
      </c>
      <c r="G56" s="45">
        <v>300</v>
      </c>
      <c r="H56" s="3">
        <v>200</v>
      </c>
    </row>
    <row r="57" spans="1:8" s="44" customFormat="1">
      <c r="A57" s="214" t="str">
        <f t="shared" si="0"/>
        <v>I-008-WS-29</v>
      </c>
      <c r="B57" s="21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VLOOKUP(E57, 'S11 Work Stations'!$A$2:$B$45, 2, 0)</f>
        <v>GR-T11-250</v>
      </c>
      <c r="G57" s="45">
        <v>300</v>
      </c>
      <c r="H57" s="3">
        <v>200</v>
      </c>
    </row>
    <row r="58" spans="1:8" s="44" customFormat="1">
      <c r="A58" s="214" t="str">
        <f t="shared" si="0"/>
        <v>I-008-WS-33</v>
      </c>
      <c r="B58" s="21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VLOOKUP(E58, 'S11 Work Stations'!$A$2:$B$45, 2, 0)</f>
        <v>SAW-50-150-252</v>
      </c>
      <c r="G58" s="45">
        <v>180</v>
      </c>
      <c r="H58" s="3">
        <v>200</v>
      </c>
    </row>
    <row r="59" spans="1:8" s="44" customFormat="1">
      <c r="A59" s="214" t="str">
        <f t="shared" si="0"/>
        <v>I-008-WS-40</v>
      </c>
      <c r="B59" s="21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VLOOKUP(E59, 'S11 Work Stations'!$A$2:$B$45, 2, 0)</f>
        <v>SAW-CNC-40-425</v>
      </c>
      <c r="G59" s="45">
        <v>120</v>
      </c>
      <c r="H59" s="3">
        <v>200</v>
      </c>
    </row>
    <row r="60" spans="1:8" s="44" customFormat="1">
      <c r="A60" s="214" t="str">
        <f t="shared" si="0"/>
        <v>I-008-WS-43</v>
      </c>
      <c r="B60" s="21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VLOOKUP(E60, 'S11 Work Stations'!$A$2:$B$45, 2, 0)</f>
        <v>RAW-MAT-INV</v>
      </c>
      <c r="G60" s="45">
        <v>0</v>
      </c>
      <c r="H60" s="3">
        <v>200</v>
      </c>
    </row>
    <row r="61" spans="1:8" s="44" customFormat="1">
      <c r="A61" s="214" t="str">
        <f t="shared" si="0"/>
        <v>I-008-WS-44</v>
      </c>
      <c r="B61" s="21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VLOOKUP(E61, 'S11 Work Stations'!$A$2:$B$45, 2, 0)</f>
        <v>FIN-GOOD-INV</v>
      </c>
      <c r="G61" s="45">
        <v>0</v>
      </c>
      <c r="H61" s="3">
        <v>200</v>
      </c>
    </row>
    <row r="62" spans="1:8" s="44" customFormat="1">
      <c r="A62" s="214" t="str">
        <f t="shared" si="0"/>
        <v>I-009-WS-03</v>
      </c>
      <c r="B62" s="21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VLOOKUP(E62, 'S11 Work Stations'!$A$2:$B$45, 2, 0)</f>
        <v>MIL-A31-363</v>
      </c>
      <c r="G62" s="45">
        <v>540</v>
      </c>
      <c r="H62" s="3">
        <v>200</v>
      </c>
    </row>
    <row r="63" spans="1:8" s="44" customFormat="1">
      <c r="A63" s="214" t="str">
        <f t="shared" si="0"/>
        <v>I-009-WS-18</v>
      </c>
      <c r="B63" s="21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VLOOKUP(E63, 'S11 Work Stations'!$A$2:$B$45, 2, 0)</f>
        <v>MIL-V2-602</v>
      </c>
      <c r="G63" s="45">
        <v>360</v>
      </c>
      <c r="H63" s="3">
        <v>200</v>
      </c>
    </row>
    <row r="64" spans="1:8" s="44" customFormat="1">
      <c r="A64" s="214" t="str">
        <f t="shared" si="0"/>
        <v>I-009-WS-29</v>
      </c>
      <c r="B64" s="21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VLOOKUP(E64, 'S11 Work Stations'!$A$2:$B$45, 2, 0)</f>
        <v>GR-T11-250</v>
      </c>
      <c r="G64" s="45">
        <v>360</v>
      </c>
      <c r="H64" s="3">
        <v>200</v>
      </c>
    </row>
    <row r="65" spans="1:8" s="44" customFormat="1">
      <c r="A65" s="214" t="str">
        <f t="shared" si="0"/>
        <v>I-009-WS-40</v>
      </c>
      <c r="B65" s="21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VLOOKUP(E65, 'S11 Work Stations'!$A$2:$B$45, 2, 0)</f>
        <v>SAW-CNC-40-425</v>
      </c>
      <c r="G65" s="45">
        <v>120</v>
      </c>
      <c r="H65" s="3">
        <v>200</v>
      </c>
    </row>
    <row r="66" spans="1:8" s="44" customFormat="1">
      <c r="A66" s="214" t="str">
        <f t="shared" ref="A66:A129" si="2">C66&amp;"-"&amp;E66</f>
        <v>I-009-WS-43</v>
      </c>
      <c r="B66" s="214" t="str">
        <f t="shared" ref="B66:B129" si="3">C66&amp;"-"&amp;D66</f>
        <v>I-009-10</v>
      </c>
      <c r="C66" s="45" t="s">
        <v>511</v>
      </c>
      <c r="D66" s="45">
        <v>10</v>
      </c>
      <c r="E66" s="45" t="s">
        <v>616</v>
      </c>
      <c r="F66" s="42" t="str">
        <f>VLOOKUP(E66, 'S11 Work Stations'!$A$2:$B$45, 2, 0)</f>
        <v>RAW-MAT-INV</v>
      </c>
      <c r="G66" s="45">
        <v>0</v>
      </c>
      <c r="H66" s="3">
        <v>200</v>
      </c>
    </row>
    <row r="67" spans="1:8" s="44" customFormat="1">
      <c r="A67" s="214" t="str">
        <f t="shared" si="2"/>
        <v>I-009-WS-44</v>
      </c>
      <c r="B67" s="214" t="str">
        <f t="shared" si="3"/>
        <v>I-009-60</v>
      </c>
      <c r="C67" s="45" t="s">
        <v>511</v>
      </c>
      <c r="D67" s="45">
        <v>60</v>
      </c>
      <c r="E67" s="45" t="s">
        <v>617</v>
      </c>
      <c r="F67" s="42" t="str">
        <f>VLOOKUP(E67, 'S11 Work Stations'!$A$2:$B$45, 2, 0)</f>
        <v>FIN-GOOD-INV</v>
      </c>
      <c r="G67" s="45">
        <v>0</v>
      </c>
      <c r="H67" s="3">
        <v>200</v>
      </c>
    </row>
    <row r="68" spans="1:8" s="44" customFormat="1">
      <c r="A68" s="214" t="str">
        <f t="shared" si="2"/>
        <v>I-010-WS-02</v>
      </c>
      <c r="B68" s="21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VLOOKUP(E68, 'S11 Work Stations'!$A$2:$B$45, 2, 0)</f>
        <v>TUR-B2-362</v>
      </c>
      <c r="G68" s="45">
        <v>360</v>
      </c>
      <c r="H68" s="3">
        <v>200</v>
      </c>
    </row>
    <row r="69" spans="1:8" s="44" customFormat="1">
      <c r="A69" s="214" t="str">
        <f t="shared" si="2"/>
        <v>I-010-WS-18</v>
      </c>
      <c r="B69" s="21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VLOOKUP(E69, 'S11 Work Stations'!$A$2:$B$45, 2, 0)</f>
        <v>MIL-V2-602</v>
      </c>
      <c r="G69" s="45">
        <v>420</v>
      </c>
      <c r="H69" s="3">
        <v>200</v>
      </c>
    </row>
    <row r="70" spans="1:8" s="44" customFormat="1">
      <c r="A70" s="214" t="str">
        <f t="shared" si="2"/>
        <v>I-010-WS-24</v>
      </c>
      <c r="B70" s="21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VLOOKUP(E70, 'S11 Work Stations'!$A$2:$B$45, 2, 0)</f>
        <v>MIL-V5-608</v>
      </c>
      <c r="G70" s="45">
        <v>360</v>
      </c>
      <c r="H70" s="3">
        <v>200</v>
      </c>
    </row>
    <row r="71" spans="1:8" s="44" customFormat="1">
      <c r="A71" s="214" t="str">
        <f t="shared" si="2"/>
        <v>I-010-WS-29</v>
      </c>
      <c r="B71" s="21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VLOOKUP(E71, 'S11 Work Stations'!$A$2:$B$45, 2, 0)</f>
        <v>GR-T11-250</v>
      </c>
      <c r="G71" s="45">
        <v>420</v>
      </c>
      <c r="H71" s="3">
        <v>200</v>
      </c>
    </row>
    <row r="72" spans="1:8" s="44" customFormat="1">
      <c r="A72" s="214" t="str">
        <f t="shared" si="2"/>
        <v>I-010-WS-33</v>
      </c>
      <c r="B72" s="21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VLOOKUP(E72, 'S11 Work Stations'!$A$2:$B$45, 2, 0)</f>
        <v>SAW-50-150-252</v>
      </c>
      <c r="G72" s="45">
        <v>180</v>
      </c>
      <c r="H72" s="3">
        <v>200</v>
      </c>
    </row>
    <row r="73" spans="1:8" s="44" customFormat="1">
      <c r="A73" s="214" t="str">
        <f t="shared" si="2"/>
        <v>I-010-WS-40</v>
      </c>
      <c r="B73" s="21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VLOOKUP(E73, 'S11 Work Stations'!$A$2:$B$45, 2, 0)</f>
        <v>SAW-CNC-40-425</v>
      </c>
      <c r="G73" s="45">
        <v>120</v>
      </c>
      <c r="H73" s="3">
        <v>200</v>
      </c>
    </row>
    <row r="74" spans="1:8" s="44" customFormat="1">
      <c r="A74" s="214" t="str">
        <f t="shared" si="2"/>
        <v>I-010-WS-43</v>
      </c>
      <c r="B74" s="21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VLOOKUP(E74, 'S11 Work Stations'!$A$2:$B$45, 2, 0)</f>
        <v>RAW-MAT-INV</v>
      </c>
      <c r="G74" s="45">
        <v>0</v>
      </c>
      <c r="H74" s="3">
        <v>200</v>
      </c>
    </row>
    <row r="75" spans="1:8" s="44" customFormat="1">
      <c r="A75" s="214" t="str">
        <f t="shared" si="2"/>
        <v>I-010-WS-44</v>
      </c>
      <c r="B75" s="21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VLOOKUP(E75, 'S11 Work Stations'!$A$2:$B$45, 2, 0)</f>
        <v>FIN-GOOD-INV</v>
      </c>
      <c r="G75" s="45">
        <v>0</v>
      </c>
      <c r="H75" s="3">
        <v>200</v>
      </c>
    </row>
    <row r="76" spans="1:8" s="44" customFormat="1">
      <c r="A76" s="214" t="str">
        <f t="shared" si="2"/>
        <v>I-011-WS-02</v>
      </c>
      <c r="B76" s="21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VLOOKUP(E76, 'S11 Work Stations'!$A$2:$B$45, 2, 0)</f>
        <v>TUR-B2-362</v>
      </c>
      <c r="G76" s="45">
        <v>360</v>
      </c>
      <c r="H76" s="3">
        <v>200</v>
      </c>
    </row>
    <row r="77" spans="1:8" s="44" customFormat="1">
      <c r="A77" s="214" t="str">
        <f t="shared" si="2"/>
        <v>I-011-WS-18</v>
      </c>
      <c r="B77" s="21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VLOOKUP(E77, 'S11 Work Stations'!$A$2:$B$45, 2, 0)</f>
        <v>MIL-V2-602</v>
      </c>
      <c r="G77" s="45">
        <v>420</v>
      </c>
      <c r="H77" s="3">
        <v>200</v>
      </c>
    </row>
    <row r="78" spans="1:8" s="44" customFormat="1">
      <c r="A78" s="214" t="str">
        <f t="shared" si="2"/>
        <v>I-011-WS-29</v>
      </c>
      <c r="B78" s="21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VLOOKUP(E78, 'S11 Work Stations'!$A$2:$B$45, 2, 0)</f>
        <v>GR-T11-250</v>
      </c>
      <c r="G78" s="45">
        <v>420</v>
      </c>
      <c r="H78" s="3">
        <v>200</v>
      </c>
    </row>
    <row r="79" spans="1:8" s="44" customFormat="1">
      <c r="A79" s="214" t="str">
        <f t="shared" si="2"/>
        <v>I-011-WS-33</v>
      </c>
      <c r="B79" s="21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VLOOKUP(E79, 'S11 Work Stations'!$A$2:$B$45, 2, 0)</f>
        <v>SAW-50-150-252</v>
      </c>
      <c r="G79" s="45">
        <v>180</v>
      </c>
      <c r="H79" s="3">
        <v>200</v>
      </c>
    </row>
    <row r="80" spans="1:8" s="44" customFormat="1">
      <c r="A80" s="214" t="str">
        <f t="shared" si="2"/>
        <v>I-011-WS-40</v>
      </c>
      <c r="B80" s="21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VLOOKUP(E80, 'S11 Work Stations'!$A$2:$B$45, 2, 0)</f>
        <v>SAW-CNC-40-425</v>
      </c>
      <c r="G80" s="45">
        <v>120</v>
      </c>
      <c r="H80" s="3">
        <v>200</v>
      </c>
    </row>
    <row r="81" spans="1:8" s="44" customFormat="1">
      <c r="A81" s="214" t="str">
        <f t="shared" si="2"/>
        <v>I-011-WS-43</v>
      </c>
      <c r="B81" s="21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VLOOKUP(E81, 'S11 Work Stations'!$A$2:$B$45, 2, 0)</f>
        <v>RAW-MAT-INV</v>
      </c>
      <c r="G81" s="45">
        <v>0</v>
      </c>
      <c r="H81" s="3">
        <v>200</v>
      </c>
    </row>
    <row r="82" spans="1:8" s="44" customFormat="1">
      <c r="A82" s="214" t="str">
        <f t="shared" si="2"/>
        <v>I-011-WS-44</v>
      </c>
      <c r="B82" s="21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VLOOKUP(E82, 'S11 Work Stations'!$A$2:$B$45, 2, 0)</f>
        <v>FIN-GOOD-INV</v>
      </c>
      <c r="G82" s="45">
        <v>0</v>
      </c>
      <c r="H82" s="3">
        <v>200</v>
      </c>
    </row>
    <row r="83" spans="1:8" s="44" customFormat="1">
      <c r="A83" s="214" t="str">
        <f t="shared" si="2"/>
        <v>I-012-WS-07</v>
      </c>
      <c r="B83" s="21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VLOOKUP(E83, 'S11 Work Stations'!$A$2:$B$45, 2, 0)</f>
        <v>TUR-C2-367</v>
      </c>
      <c r="G83" s="45">
        <v>600</v>
      </c>
      <c r="H83" s="3">
        <v>200</v>
      </c>
    </row>
    <row r="84" spans="1:8" s="44" customFormat="1">
      <c r="A84" s="214" t="str">
        <f t="shared" si="2"/>
        <v>I-012-WS-08</v>
      </c>
      <c r="B84" s="21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VLOOKUP(E84, 'S11 Work Stations'!$A$2:$B$45, 2, 0)</f>
        <v>MIL-10-150-401</v>
      </c>
      <c r="G84" s="45">
        <v>120</v>
      </c>
      <c r="H84" s="3">
        <v>200</v>
      </c>
    </row>
    <row r="85" spans="1:8" s="44" customFormat="1">
      <c r="A85" s="214" t="str">
        <f t="shared" si="2"/>
        <v>I-012-WS-20</v>
      </c>
      <c r="B85" s="21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VLOOKUP(E85, 'S11 Work Stations'!$A$2:$B$45, 2, 0)</f>
        <v>MIL-H21-604</v>
      </c>
      <c r="G85" s="45">
        <v>1140</v>
      </c>
      <c r="H85" s="3">
        <v>200</v>
      </c>
    </row>
    <row r="86" spans="1:8" s="44" customFormat="1">
      <c r="A86" s="214" t="str">
        <f t="shared" si="2"/>
        <v>I-012-WS-26</v>
      </c>
      <c r="B86" s="21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VLOOKUP(E86, 'S11 Work Stations'!$A$2:$B$45, 2, 0)</f>
        <v>DR-2A2-202</v>
      </c>
      <c r="G86" s="45">
        <v>120</v>
      </c>
      <c r="H86" s="3">
        <v>200</v>
      </c>
    </row>
    <row r="87" spans="1:8" s="44" customFormat="1">
      <c r="A87" s="214" t="str">
        <f t="shared" si="2"/>
        <v>I-012-WS-32</v>
      </c>
      <c r="B87" s="21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VLOOKUP(E87, 'S11 Work Stations'!$A$2:$B$45, 2, 0)</f>
        <v>SAW-30-150-251</v>
      </c>
      <c r="G87" s="45">
        <v>360</v>
      </c>
      <c r="H87" s="3">
        <v>200</v>
      </c>
    </row>
    <row r="88" spans="1:8" s="44" customFormat="1">
      <c r="A88" s="214" t="str">
        <f t="shared" si="2"/>
        <v>I-012-WS-40</v>
      </c>
      <c r="B88" s="21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VLOOKUP(E88, 'S11 Work Stations'!$A$2:$B$45, 2, 0)</f>
        <v>SAW-CNC-40-425</v>
      </c>
      <c r="G88" s="45">
        <v>120</v>
      </c>
      <c r="H88" s="3">
        <v>200</v>
      </c>
    </row>
    <row r="89" spans="1:8" s="44" customFormat="1">
      <c r="A89" s="214" t="str">
        <f t="shared" si="2"/>
        <v>I-012-WS-43</v>
      </c>
      <c r="B89" s="21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VLOOKUP(E89, 'S11 Work Stations'!$A$2:$B$45, 2, 0)</f>
        <v>RAW-MAT-INV</v>
      </c>
      <c r="G89" s="45">
        <v>0</v>
      </c>
      <c r="H89" s="3">
        <v>200</v>
      </c>
    </row>
    <row r="90" spans="1:8" s="44" customFormat="1">
      <c r="A90" s="214" t="str">
        <f t="shared" si="2"/>
        <v>I-012-WS-44</v>
      </c>
      <c r="B90" s="21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VLOOKUP(E90, 'S11 Work Stations'!$A$2:$B$45, 2, 0)</f>
        <v>FIN-GOOD-INV</v>
      </c>
      <c r="G90" s="45">
        <v>0</v>
      </c>
      <c r="H90" s="3">
        <v>200</v>
      </c>
    </row>
    <row r="91" spans="1:8" s="44" customFormat="1">
      <c r="A91" s="214" t="str">
        <f t="shared" si="2"/>
        <v>I-013-WS-09</v>
      </c>
      <c r="B91" s="21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VLOOKUP(E91, 'S11 Work Stations'!$A$2:$B$45, 2, 0)</f>
        <v>TUR-20-120-402</v>
      </c>
      <c r="G91" s="45">
        <v>920</v>
      </c>
      <c r="H91" s="3">
        <v>200</v>
      </c>
    </row>
    <row r="92" spans="1:8" s="44" customFormat="1">
      <c r="A92" s="214" t="str">
        <f t="shared" si="2"/>
        <v>I-013-WS-21</v>
      </c>
      <c r="B92" s="21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VLOOKUP(E92, 'S11 Work Stations'!$A$2:$B$45, 2, 0)</f>
        <v>MIL-U1-605</v>
      </c>
      <c r="G92" s="45">
        <v>360</v>
      </c>
      <c r="H92" s="3">
        <v>200</v>
      </c>
    </row>
    <row r="93" spans="1:8" s="44" customFormat="1">
      <c r="A93" s="214" t="str">
        <f t="shared" si="2"/>
        <v>I-013-WS-30</v>
      </c>
      <c r="B93" s="21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VLOOKUP(E93, 'S11 Work Stations'!$A$2:$B$45, 2, 0)</f>
        <v>DR-3A-206</v>
      </c>
      <c r="G93" s="45">
        <v>360</v>
      </c>
      <c r="H93" s="3">
        <v>200</v>
      </c>
    </row>
    <row r="94" spans="1:8" s="44" customFormat="1">
      <c r="A94" s="214" t="str">
        <f t="shared" si="2"/>
        <v>I-013-WS-34</v>
      </c>
      <c r="B94" s="21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VLOOKUP(E94, 'S11 Work Stations'!$A$2:$B$45, 2, 0)</f>
        <v>SAW-30-160-252</v>
      </c>
      <c r="G94" s="45">
        <v>540</v>
      </c>
      <c r="H94" s="3">
        <v>200</v>
      </c>
    </row>
    <row r="95" spans="1:8" s="44" customFormat="1">
      <c r="A95" s="214" t="str">
        <f t="shared" si="2"/>
        <v>I-013-WS-37</v>
      </c>
      <c r="B95" s="21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VLOOKUP(E95, 'S11 Work Stations'!$A$2:$B$45, 2, 0)</f>
        <v>SAW-50-422</v>
      </c>
      <c r="G95" s="45">
        <v>120</v>
      </c>
      <c r="H95" s="3">
        <v>200</v>
      </c>
    </row>
    <row r="96" spans="1:8" s="44" customFormat="1">
      <c r="A96" s="214" t="str">
        <f t="shared" si="2"/>
        <v>I-013-WS-43</v>
      </c>
      <c r="B96" s="21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VLOOKUP(E96, 'S11 Work Stations'!$A$2:$B$45, 2, 0)</f>
        <v>RAW-MAT-INV</v>
      </c>
      <c r="G96" s="45">
        <v>0</v>
      </c>
      <c r="H96" s="3">
        <v>200</v>
      </c>
    </row>
    <row r="97" spans="1:8" s="44" customFormat="1">
      <c r="A97" s="214" t="str">
        <f t="shared" si="2"/>
        <v>I-013-WS-44</v>
      </c>
      <c r="B97" s="21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VLOOKUP(E97, 'S11 Work Stations'!$A$2:$B$45, 2, 0)</f>
        <v>FIN-GOOD-INV</v>
      </c>
      <c r="G97" s="45">
        <v>0</v>
      </c>
      <c r="H97" s="3">
        <v>200</v>
      </c>
    </row>
    <row r="98" spans="1:8" s="44" customFormat="1">
      <c r="A98" s="214" t="str">
        <f t="shared" si="2"/>
        <v>I-014-WS-11</v>
      </c>
      <c r="B98" s="21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VLOOKUP(E98, 'S11 Work Stations'!$A$2:$B$45, 2, 0)</f>
        <v>TUR-40-100-404</v>
      </c>
      <c r="G98" s="45">
        <v>600</v>
      </c>
      <c r="H98" s="3">
        <v>200</v>
      </c>
    </row>
    <row r="99" spans="1:8" s="44" customFormat="1">
      <c r="A99" s="214" t="str">
        <f t="shared" si="2"/>
        <v>I-014-WS-21</v>
      </c>
      <c r="B99" s="21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VLOOKUP(E99, 'S11 Work Stations'!$A$2:$B$45, 2, 0)</f>
        <v>MIL-U1-605</v>
      </c>
      <c r="G99" s="45">
        <v>540</v>
      </c>
      <c r="H99" s="3">
        <v>200</v>
      </c>
    </row>
    <row r="100" spans="1:8" s="44" customFormat="1">
      <c r="A100" s="214" t="str">
        <f t="shared" si="2"/>
        <v>I-014-WS-30</v>
      </c>
      <c r="B100" s="21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VLOOKUP(E100, 'S11 Work Stations'!$A$2:$B$45, 2, 0)</f>
        <v>DR-3A-206</v>
      </c>
      <c r="G100" s="45">
        <v>360</v>
      </c>
      <c r="H100" s="3">
        <v>200</v>
      </c>
    </row>
    <row r="101" spans="1:8" s="44" customFormat="1">
      <c r="A101" s="214" t="str">
        <f t="shared" si="2"/>
        <v>I-014-WS-34</v>
      </c>
      <c r="B101" s="21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VLOOKUP(E101, 'S11 Work Stations'!$A$2:$B$45, 2, 0)</f>
        <v>SAW-30-160-252</v>
      </c>
      <c r="G101" s="45">
        <v>540</v>
      </c>
      <c r="H101" s="3">
        <v>200</v>
      </c>
    </row>
    <row r="102" spans="1:8" s="44" customFormat="1">
      <c r="A102" s="214" t="str">
        <f t="shared" si="2"/>
        <v>I-014-WS-37</v>
      </c>
      <c r="B102" s="21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VLOOKUP(E102, 'S11 Work Stations'!$A$2:$B$45, 2, 0)</f>
        <v>SAW-50-422</v>
      </c>
      <c r="G102" s="45">
        <v>120</v>
      </c>
      <c r="H102" s="3">
        <v>200</v>
      </c>
    </row>
    <row r="103" spans="1:8" s="44" customFormat="1">
      <c r="A103" s="214" t="str">
        <f t="shared" si="2"/>
        <v>I-014-WS-43</v>
      </c>
      <c r="B103" s="21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VLOOKUP(E103, 'S11 Work Stations'!$A$2:$B$45, 2, 0)</f>
        <v>RAW-MAT-INV</v>
      </c>
      <c r="G103" s="45">
        <v>0</v>
      </c>
      <c r="H103" s="3">
        <v>200</v>
      </c>
    </row>
    <row r="104" spans="1:8" s="44" customFormat="1">
      <c r="A104" s="214" t="str">
        <f t="shared" si="2"/>
        <v>I-014-WS-44</v>
      </c>
      <c r="B104" s="21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VLOOKUP(E104, 'S11 Work Stations'!$A$2:$B$45, 2, 0)</f>
        <v>FIN-GOOD-INV</v>
      </c>
      <c r="G104" s="45">
        <v>0</v>
      </c>
      <c r="H104" s="3">
        <v>200</v>
      </c>
    </row>
    <row r="105" spans="1:8" s="44" customFormat="1">
      <c r="A105" s="214" t="str">
        <f t="shared" si="2"/>
        <v>I-015-WS-11</v>
      </c>
      <c r="B105" s="21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VLOOKUP(E105, 'S11 Work Stations'!$A$2:$B$45, 2, 0)</f>
        <v>TUR-40-100-404</v>
      </c>
      <c r="G105" s="45">
        <v>600</v>
      </c>
      <c r="H105" s="3">
        <v>200</v>
      </c>
    </row>
    <row r="106" spans="1:8" s="44" customFormat="1">
      <c r="A106" s="214" t="str">
        <f t="shared" si="2"/>
        <v>I-015-WS-21</v>
      </c>
      <c r="B106" s="21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VLOOKUP(E106, 'S11 Work Stations'!$A$2:$B$45, 2, 0)</f>
        <v>MIL-U1-605</v>
      </c>
      <c r="G106" s="45">
        <v>540</v>
      </c>
      <c r="H106" s="3">
        <v>200</v>
      </c>
    </row>
    <row r="107" spans="1:8" s="44" customFormat="1">
      <c r="A107" s="214" t="str">
        <f t="shared" si="2"/>
        <v>I-015-WS-30</v>
      </c>
      <c r="B107" s="21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VLOOKUP(E107, 'S11 Work Stations'!$A$2:$B$45, 2, 0)</f>
        <v>DR-3A-206</v>
      </c>
      <c r="G107" s="45">
        <v>420</v>
      </c>
      <c r="H107" s="3">
        <v>200</v>
      </c>
    </row>
    <row r="108" spans="1:8" s="44" customFormat="1">
      <c r="A108" s="214" t="str">
        <f t="shared" si="2"/>
        <v>I-015-WS-34</v>
      </c>
      <c r="B108" s="21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VLOOKUP(E108, 'S11 Work Stations'!$A$2:$B$45, 2, 0)</f>
        <v>SAW-30-160-252</v>
      </c>
      <c r="G108" s="45">
        <v>480</v>
      </c>
      <c r="H108" s="3">
        <v>200</v>
      </c>
    </row>
    <row r="109" spans="1:8" s="44" customFormat="1">
      <c r="A109" s="214" t="str">
        <f t="shared" si="2"/>
        <v>I-015-WS-37</v>
      </c>
      <c r="B109" s="21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VLOOKUP(E109, 'S11 Work Stations'!$A$2:$B$45, 2, 0)</f>
        <v>SAW-50-422</v>
      </c>
      <c r="G109" s="45">
        <v>120</v>
      </c>
      <c r="H109" s="3">
        <v>200</v>
      </c>
    </row>
    <row r="110" spans="1:8" s="44" customFormat="1">
      <c r="A110" s="214" t="str">
        <f t="shared" si="2"/>
        <v>I-015-WS-43</v>
      </c>
      <c r="B110" s="21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VLOOKUP(E110, 'S11 Work Stations'!$A$2:$B$45, 2, 0)</f>
        <v>RAW-MAT-INV</v>
      </c>
      <c r="G110" s="45">
        <v>0</v>
      </c>
      <c r="H110" s="3">
        <v>200</v>
      </c>
    </row>
    <row r="111" spans="1:8" s="44" customFormat="1">
      <c r="A111" s="214" t="str">
        <f t="shared" si="2"/>
        <v>I-015-WS-44</v>
      </c>
      <c r="B111" s="21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VLOOKUP(E111, 'S11 Work Stations'!$A$2:$B$45, 2, 0)</f>
        <v>FIN-GOOD-INV</v>
      </c>
      <c r="G111" s="45">
        <v>0</v>
      </c>
      <c r="H111" s="3">
        <v>200</v>
      </c>
    </row>
    <row r="112" spans="1:8" s="44" customFormat="1">
      <c r="A112" s="214" t="str">
        <f t="shared" si="2"/>
        <v>I-016-WS-11</v>
      </c>
      <c r="B112" s="21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VLOOKUP(E112, 'S11 Work Stations'!$A$2:$B$45, 2, 0)</f>
        <v>TUR-40-100-404</v>
      </c>
      <c r="G112" s="45">
        <v>600</v>
      </c>
      <c r="H112" s="3">
        <v>200</v>
      </c>
    </row>
    <row r="113" spans="1:8" s="44" customFormat="1">
      <c r="A113" s="214" t="str">
        <f t="shared" si="2"/>
        <v>I-016-WS-22</v>
      </c>
      <c r="B113" s="21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VLOOKUP(E113, 'S11 Work Stations'!$A$2:$B$45, 2, 0)</f>
        <v>MIL-H2-606</v>
      </c>
      <c r="G113" s="45">
        <v>1020</v>
      </c>
      <c r="H113" s="3">
        <v>200</v>
      </c>
    </row>
    <row r="114" spans="1:8" s="44" customFormat="1">
      <c r="A114" s="214" t="str">
        <f t="shared" si="2"/>
        <v>I-016-WS-30</v>
      </c>
      <c r="B114" s="21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VLOOKUP(E114, 'S11 Work Stations'!$A$2:$B$45, 2, 0)</f>
        <v>DR-3A-206</v>
      </c>
      <c r="G114" s="45">
        <v>420</v>
      </c>
      <c r="H114" s="3">
        <v>200</v>
      </c>
    </row>
    <row r="115" spans="1:8" s="44" customFormat="1">
      <c r="A115" s="214" t="str">
        <f t="shared" si="2"/>
        <v>I-016-WS-34</v>
      </c>
      <c r="B115" s="21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VLOOKUP(E115, 'S11 Work Stations'!$A$2:$B$45, 2, 0)</f>
        <v>SAW-30-160-252</v>
      </c>
      <c r="G115" s="45">
        <v>420</v>
      </c>
      <c r="H115" s="3">
        <v>200</v>
      </c>
    </row>
    <row r="116" spans="1:8" s="44" customFormat="1">
      <c r="A116" s="214" t="str">
        <f t="shared" si="2"/>
        <v>I-016-WS-37</v>
      </c>
      <c r="B116" s="21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VLOOKUP(E116, 'S11 Work Stations'!$A$2:$B$45, 2, 0)</f>
        <v>SAW-50-422</v>
      </c>
      <c r="G116" s="45">
        <v>120</v>
      </c>
      <c r="H116" s="3">
        <v>200</v>
      </c>
    </row>
    <row r="117" spans="1:8" s="44" customFormat="1">
      <c r="A117" s="214" t="str">
        <f t="shared" si="2"/>
        <v>I-016-WS-43</v>
      </c>
      <c r="B117" s="21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VLOOKUP(E117, 'S11 Work Stations'!$A$2:$B$45, 2, 0)</f>
        <v>RAW-MAT-INV</v>
      </c>
      <c r="G117" s="45">
        <v>0</v>
      </c>
      <c r="H117" s="3">
        <v>200</v>
      </c>
    </row>
    <row r="118" spans="1:8" s="44" customFormat="1">
      <c r="A118" s="214" t="str">
        <f t="shared" si="2"/>
        <v>I-016-WS-44</v>
      </c>
      <c r="B118" s="21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VLOOKUP(E118, 'S11 Work Stations'!$A$2:$B$45, 2, 0)</f>
        <v>FIN-GOOD-INV</v>
      </c>
      <c r="G118" s="45">
        <v>0</v>
      </c>
      <c r="H118" s="3">
        <v>200</v>
      </c>
    </row>
    <row r="119" spans="1:8" s="44" customFormat="1">
      <c r="A119" s="214" t="str">
        <f t="shared" si="2"/>
        <v>I-017-WS-13</v>
      </c>
      <c r="B119" s="21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VLOOKUP(E119, 'S11 Work Stations'!$A$2:$B$45, 2, 0)</f>
        <v>TUR-6-Sp1-406</v>
      </c>
      <c r="G119" s="45">
        <v>540</v>
      </c>
      <c r="H119" s="3">
        <v>200</v>
      </c>
    </row>
    <row r="120" spans="1:8" s="44" customFormat="1">
      <c r="A120" s="214" t="str">
        <f t="shared" si="2"/>
        <v>I-017-WS-22</v>
      </c>
      <c r="B120" s="21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VLOOKUP(E120, 'S11 Work Stations'!$A$2:$B$45, 2, 0)</f>
        <v>MIL-H2-606</v>
      </c>
      <c r="G120" s="45">
        <v>480</v>
      </c>
      <c r="H120" s="3">
        <v>200</v>
      </c>
    </row>
    <row r="121" spans="1:8" s="44" customFormat="1">
      <c r="A121" s="214" t="str">
        <f t="shared" si="2"/>
        <v>I-017-WS-30</v>
      </c>
      <c r="B121" s="21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VLOOKUP(E121, 'S11 Work Stations'!$A$2:$B$45, 2, 0)</f>
        <v>DR-3A-206</v>
      </c>
      <c r="G121" s="45">
        <v>360</v>
      </c>
      <c r="H121" s="3">
        <v>200</v>
      </c>
    </row>
    <row r="122" spans="1:8" s="44" customFormat="1">
      <c r="A122" s="214" t="str">
        <f t="shared" si="2"/>
        <v>I-017-WS-34</v>
      </c>
      <c r="B122" s="21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VLOOKUP(E122, 'S11 Work Stations'!$A$2:$B$45, 2, 0)</f>
        <v>SAW-30-160-252</v>
      </c>
      <c r="G122" s="45">
        <v>480</v>
      </c>
      <c r="H122" s="3">
        <v>200</v>
      </c>
    </row>
    <row r="123" spans="1:8" s="44" customFormat="1">
      <c r="A123" s="214" t="str">
        <f t="shared" si="2"/>
        <v>I-017-WS-37</v>
      </c>
      <c r="B123" s="21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VLOOKUP(E123, 'S11 Work Stations'!$A$2:$B$45, 2, 0)</f>
        <v>SAW-50-422</v>
      </c>
      <c r="G123" s="45">
        <v>120</v>
      </c>
      <c r="H123" s="3">
        <v>200</v>
      </c>
    </row>
    <row r="124" spans="1:8" s="44" customFormat="1">
      <c r="A124" s="214" t="str">
        <f t="shared" si="2"/>
        <v>I-017-WS-43</v>
      </c>
      <c r="B124" s="21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VLOOKUP(E124, 'S11 Work Stations'!$A$2:$B$45, 2, 0)</f>
        <v>RAW-MAT-INV</v>
      </c>
      <c r="G124" s="45">
        <v>0</v>
      </c>
      <c r="H124" s="3">
        <v>200</v>
      </c>
    </row>
    <row r="125" spans="1:8" s="44" customFormat="1">
      <c r="A125" s="214" t="str">
        <f t="shared" si="2"/>
        <v>I-017-WS-44</v>
      </c>
      <c r="B125" s="21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VLOOKUP(E125, 'S11 Work Stations'!$A$2:$B$45, 2, 0)</f>
        <v>FIN-GOOD-INV</v>
      </c>
      <c r="G125" s="45">
        <v>0</v>
      </c>
      <c r="H125" s="3">
        <v>200</v>
      </c>
    </row>
    <row r="126" spans="1:8" s="44" customFormat="1">
      <c r="A126" s="214" t="str">
        <f t="shared" si="2"/>
        <v>I-018-WS-04</v>
      </c>
      <c r="B126" s="21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VLOOKUP(E126, 'S11 Work Stations'!$A$2:$B$45, 2, 0)</f>
        <v>TUR-A4-364</v>
      </c>
      <c r="G126" s="45">
        <v>780</v>
      </c>
      <c r="H126" s="3">
        <v>200</v>
      </c>
    </row>
    <row r="127" spans="1:8" s="44" customFormat="1">
      <c r="A127" s="214" t="str">
        <f t="shared" si="2"/>
        <v>I-018-WS-22</v>
      </c>
      <c r="B127" s="21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VLOOKUP(E127, 'S11 Work Stations'!$A$2:$B$45, 2, 0)</f>
        <v>MIL-H2-606</v>
      </c>
      <c r="G127" s="45">
        <v>480</v>
      </c>
      <c r="H127" s="3">
        <v>200</v>
      </c>
    </row>
    <row r="128" spans="1:8" s="44" customFormat="1">
      <c r="A128" s="214" t="str">
        <f t="shared" si="2"/>
        <v>I-018-WS-29</v>
      </c>
      <c r="B128" s="21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VLOOKUP(E128, 'S11 Work Stations'!$A$2:$B$45, 2, 0)</f>
        <v>GR-T11-250</v>
      </c>
      <c r="G128" s="45">
        <v>420</v>
      </c>
      <c r="H128" s="3">
        <v>200</v>
      </c>
    </row>
    <row r="129" spans="1:8" s="44" customFormat="1">
      <c r="A129" s="214" t="str">
        <f t="shared" si="2"/>
        <v>I-018-WS-34</v>
      </c>
      <c r="B129" s="21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VLOOKUP(E129, 'S11 Work Stations'!$A$2:$B$45, 2, 0)</f>
        <v>SAW-30-160-252</v>
      </c>
      <c r="G129" s="45">
        <v>600</v>
      </c>
      <c r="H129" s="3">
        <v>200</v>
      </c>
    </row>
    <row r="130" spans="1:8" s="44" customFormat="1">
      <c r="A130" s="214" t="str">
        <f t="shared" ref="A130:A193" si="4">C130&amp;"-"&amp;E130</f>
        <v>I-018-WS-37</v>
      </c>
      <c r="B130" s="214" t="str">
        <f t="shared" ref="B130:B193" si="5">C130&amp;"-"&amp;D130</f>
        <v>I-018-20</v>
      </c>
      <c r="C130" s="45" t="s">
        <v>518</v>
      </c>
      <c r="D130" s="45">
        <v>20</v>
      </c>
      <c r="E130" s="45" t="s">
        <v>610</v>
      </c>
      <c r="F130" s="42" t="str">
        <f>VLOOKUP(E130, 'S11 Work Stations'!$A$2:$B$45, 2, 0)</f>
        <v>SAW-50-422</v>
      </c>
      <c r="G130" s="45">
        <v>120</v>
      </c>
      <c r="H130" s="3">
        <v>200</v>
      </c>
    </row>
    <row r="131" spans="1:8" s="44" customFormat="1">
      <c r="A131" s="214" t="str">
        <f t="shared" si="4"/>
        <v>I-018-WS-43</v>
      </c>
      <c r="B131" s="214" t="str">
        <f t="shared" si="5"/>
        <v>I-018-10</v>
      </c>
      <c r="C131" s="45" t="s">
        <v>518</v>
      </c>
      <c r="D131" s="45">
        <v>10</v>
      </c>
      <c r="E131" s="45" t="s">
        <v>616</v>
      </c>
      <c r="F131" s="42" t="str">
        <f>VLOOKUP(E131, 'S11 Work Stations'!$A$2:$B$45, 2, 0)</f>
        <v>RAW-MAT-INV</v>
      </c>
      <c r="G131" s="45">
        <v>0</v>
      </c>
      <c r="H131" s="3">
        <v>200</v>
      </c>
    </row>
    <row r="132" spans="1:8" s="44" customFormat="1">
      <c r="A132" s="214" t="str">
        <f t="shared" si="4"/>
        <v>I-018-WS-44</v>
      </c>
      <c r="B132" s="21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VLOOKUP(E132, 'S11 Work Stations'!$A$2:$B$45, 2, 0)</f>
        <v>FIN-GOOD-INV</v>
      </c>
      <c r="G132" s="45">
        <v>0</v>
      </c>
      <c r="H132" s="3">
        <v>200</v>
      </c>
    </row>
    <row r="133" spans="1:8" s="44" customFormat="1">
      <c r="A133" s="214" t="str">
        <f t="shared" si="4"/>
        <v>I-019-WS-04</v>
      </c>
      <c r="B133" s="21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VLOOKUP(E133, 'S11 Work Stations'!$A$2:$B$45, 2, 0)</f>
        <v>TUR-A4-364</v>
      </c>
      <c r="G133" s="45">
        <v>780</v>
      </c>
      <c r="H133" s="3">
        <v>200</v>
      </c>
    </row>
    <row r="134" spans="1:8" s="44" customFormat="1">
      <c r="A134" s="214" t="str">
        <f t="shared" si="4"/>
        <v>I-019-WS-23</v>
      </c>
      <c r="B134" s="21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VLOOKUP(E134, 'S11 Work Stations'!$A$2:$B$45, 2, 0)</f>
        <v>MIL-U2-607</v>
      </c>
      <c r="G134" s="45">
        <v>840</v>
      </c>
      <c r="H134" s="3">
        <v>200</v>
      </c>
    </row>
    <row r="135" spans="1:8" s="44" customFormat="1">
      <c r="A135" s="214" t="str">
        <f t="shared" si="4"/>
        <v>I-019-WS-30</v>
      </c>
      <c r="B135" s="21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VLOOKUP(E135, 'S11 Work Stations'!$A$2:$B$45, 2, 0)</f>
        <v>DR-3A-206</v>
      </c>
      <c r="G135" s="45">
        <v>360</v>
      </c>
      <c r="H135" s="3">
        <v>200</v>
      </c>
    </row>
    <row r="136" spans="1:8" s="44" customFormat="1">
      <c r="A136" s="214" t="str">
        <f t="shared" si="4"/>
        <v>I-019-WS-35</v>
      </c>
      <c r="B136" s="21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VLOOKUP(E136, 'S11 Work Stations'!$A$2:$B$45, 2, 0)</f>
        <v>SAW-35-100-254</v>
      </c>
      <c r="G136" s="45">
        <v>720</v>
      </c>
      <c r="H136" s="3">
        <v>200</v>
      </c>
    </row>
    <row r="137" spans="1:8" s="44" customFormat="1">
      <c r="A137" s="214" t="str">
        <f t="shared" si="4"/>
        <v>I-019-WS-37</v>
      </c>
      <c r="B137" s="21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VLOOKUP(E137, 'S11 Work Stations'!$A$2:$B$45, 2, 0)</f>
        <v>SAW-50-422</v>
      </c>
      <c r="G137" s="45">
        <v>180</v>
      </c>
      <c r="H137" s="3">
        <v>200</v>
      </c>
    </row>
    <row r="138" spans="1:8" s="44" customFormat="1">
      <c r="A138" s="214" t="str">
        <f t="shared" si="4"/>
        <v>I-019-WS-43</v>
      </c>
      <c r="B138" s="21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VLOOKUP(E138, 'S11 Work Stations'!$A$2:$B$45, 2, 0)</f>
        <v>RAW-MAT-INV</v>
      </c>
      <c r="G138" s="45">
        <v>0</v>
      </c>
      <c r="H138" s="3">
        <v>200</v>
      </c>
    </row>
    <row r="139" spans="1:8" s="44" customFormat="1">
      <c r="A139" s="214" t="str">
        <f t="shared" si="4"/>
        <v>I-019-WS-44</v>
      </c>
      <c r="B139" s="21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VLOOKUP(E139, 'S11 Work Stations'!$A$2:$B$45, 2, 0)</f>
        <v>FIN-GOOD-INV</v>
      </c>
      <c r="G139" s="45">
        <v>0</v>
      </c>
      <c r="H139" s="3">
        <v>200</v>
      </c>
    </row>
    <row r="140" spans="1:8" s="44" customFormat="1">
      <c r="A140" s="214" t="str">
        <f t="shared" si="4"/>
        <v>I-020-WS-05</v>
      </c>
      <c r="B140" s="21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VLOOKUP(E140, 'S11 Work Stations'!$A$2:$B$45, 2, 0)</f>
        <v>MIL-A2-365</v>
      </c>
      <c r="G140" s="45">
        <v>960</v>
      </c>
      <c r="H140" s="3">
        <v>200</v>
      </c>
    </row>
    <row r="141" spans="1:8" s="44" customFormat="1">
      <c r="A141" s="214" t="str">
        <f t="shared" si="4"/>
        <v>I-020-WS-22</v>
      </c>
      <c r="B141" s="21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VLOOKUP(E141, 'S11 Work Stations'!$A$2:$B$45, 2, 0)</f>
        <v>MIL-H2-606</v>
      </c>
      <c r="G141" s="45">
        <v>720</v>
      </c>
      <c r="H141" s="3">
        <v>200</v>
      </c>
    </row>
    <row r="142" spans="1:8" s="44" customFormat="1">
      <c r="A142" s="214" t="str">
        <f t="shared" si="4"/>
        <v>I-020-WS-30</v>
      </c>
      <c r="B142" s="21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VLOOKUP(E142, 'S11 Work Stations'!$A$2:$B$45, 2, 0)</f>
        <v>DR-3A-206</v>
      </c>
      <c r="G142" s="45">
        <v>360</v>
      </c>
      <c r="H142" s="3">
        <v>200</v>
      </c>
    </row>
    <row r="143" spans="1:8" s="44" customFormat="1">
      <c r="A143" s="214" t="str">
        <f t="shared" si="4"/>
        <v>I-020-WS-34</v>
      </c>
      <c r="B143" s="21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VLOOKUP(E143, 'S11 Work Stations'!$A$2:$B$45, 2, 0)</f>
        <v>SAW-30-160-252</v>
      </c>
      <c r="G143" s="45">
        <v>660</v>
      </c>
      <c r="H143" s="3">
        <v>200</v>
      </c>
    </row>
    <row r="144" spans="1:8" s="44" customFormat="1">
      <c r="A144" s="214" t="str">
        <f t="shared" si="4"/>
        <v>I-020-WS-38</v>
      </c>
      <c r="B144" s="21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VLOOKUP(E144, 'S11 Work Stations'!$A$2:$B$45, 2, 0)</f>
        <v>SAW-150-423</v>
      </c>
      <c r="G144" s="45">
        <v>180</v>
      </c>
      <c r="H144" s="3">
        <v>200</v>
      </c>
    </row>
    <row r="145" spans="1:8" s="44" customFormat="1">
      <c r="A145" s="214" t="str">
        <f t="shared" si="4"/>
        <v>I-020-WS-43</v>
      </c>
      <c r="B145" s="21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VLOOKUP(E145, 'S11 Work Stations'!$A$2:$B$45, 2, 0)</f>
        <v>RAW-MAT-INV</v>
      </c>
      <c r="G145" s="45">
        <v>0</v>
      </c>
      <c r="H145" s="3">
        <v>200</v>
      </c>
    </row>
    <row r="146" spans="1:8" s="44" customFormat="1">
      <c r="A146" s="214" t="str">
        <f t="shared" si="4"/>
        <v>I-020-WS-44</v>
      </c>
      <c r="B146" s="21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VLOOKUP(E146, 'S11 Work Stations'!$A$2:$B$45, 2, 0)</f>
        <v>FIN-GOOD-INV</v>
      </c>
      <c r="G146" s="45">
        <v>0</v>
      </c>
      <c r="H146" s="3">
        <v>200</v>
      </c>
    </row>
    <row r="147" spans="1:8" s="44" customFormat="1">
      <c r="A147" s="214" t="str">
        <f t="shared" si="4"/>
        <v>I-021-WS-04</v>
      </c>
      <c r="B147" s="21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VLOOKUP(E147, 'S11 Work Stations'!$A$2:$B$45, 2, 0)</f>
        <v>TUR-A4-364</v>
      </c>
      <c r="G147" s="45">
        <v>780</v>
      </c>
      <c r="H147" s="3">
        <v>200</v>
      </c>
    </row>
    <row r="148" spans="1:8" s="44" customFormat="1">
      <c r="A148" s="214" t="str">
        <f t="shared" si="4"/>
        <v>I-021-WS-24</v>
      </c>
      <c r="B148" s="21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VLOOKUP(E148, 'S11 Work Stations'!$A$2:$B$45, 2, 0)</f>
        <v>MIL-V5-608</v>
      </c>
      <c r="G148" s="45">
        <v>720</v>
      </c>
      <c r="H148" s="3">
        <v>200</v>
      </c>
    </row>
    <row r="149" spans="1:8" s="44" customFormat="1">
      <c r="A149" s="214" t="str">
        <f t="shared" si="4"/>
        <v>I-021-WS-30</v>
      </c>
      <c r="B149" s="21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VLOOKUP(E149, 'S11 Work Stations'!$A$2:$B$45, 2, 0)</f>
        <v>DR-3A-206</v>
      </c>
      <c r="G149" s="45">
        <v>420</v>
      </c>
      <c r="H149" s="3">
        <v>200</v>
      </c>
    </row>
    <row r="150" spans="1:8" s="44" customFormat="1">
      <c r="A150" s="214" t="str">
        <f t="shared" si="4"/>
        <v>I-021-WS-35</v>
      </c>
      <c r="B150" s="21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VLOOKUP(E150, 'S11 Work Stations'!$A$2:$B$45, 2, 0)</f>
        <v>SAW-35-100-254</v>
      </c>
      <c r="G150" s="45">
        <v>720</v>
      </c>
      <c r="H150" s="3">
        <v>200</v>
      </c>
    </row>
    <row r="151" spans="1:8" s="44" customFormat="1">
      <c r="A151" s="214" t="str">
        <f t="shared" si="4"/>
        <v>I-021-WS-38</v>
      </c>
      <c r="B151" s="21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VLOOKUP(E151, 'S11 Work Stations'!$A$2:$B$45, 2, 0)</f>
        <v>SAW-150-423</v>
      </c>
      <c r="G151" s="45">
        <v>180</v>
      </c>
      <c r="H151" s="3">
        <v>200</v>
      </c>
    </row>
    <row r="152" spans="1:8" s="44" customFormat="1">
      <c r="A152" s="214" t="str">
        <f t="shared" si="4"/>
        <v>I-021-WS-42</v>
      </c>
      <c r="B152" s="21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VLOOKUP(E152, 'S11 Work Stations'!$A$2:$B$45, 2, 0)</f>
        <v>TEMP-A01-202</v>
      </c>
      <c r="G152" s="45">
        <v>300</v>
      </c>
      <c r="H152" s="3">
        <v>200</v>
      </c>
    </row>
    <row r="153" spans="1:8" s="44" customFormat="1">
      <c r="A153" s="214" t="str">
        <f t="shared" si="4"/>
        <v>I-021-WS-43</v>
      </c>
      <c r="B153" s="21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VLOOKUP(E153, 'S11 Work Stations'!$A$2:$B$45, 2, 0)</f>
        <v>RAW-MAT-INV</v>
      </c>
      <c r="G153" s="45">
        <v>0</v>
      </c>
      <c r="H153" s="3">
        <v>200</v>
      </c>
    </row>
    <row r="154" spans="1:8" s="44" customFormat="1">
      <c r="A154" s="214" t="str">
        <f t="shared" si="4"/>
        <v>I-021-WS-44</v>
      </c>
      <c r="B154" s="21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VLOOKUP(E154, 'S11 Work Stations'!$A$2:$B$45, 2, 0)</f>
        <v>FIN-GOOD-INV</v>
      </c>
      <c r="G154" s="45">
        <v>0</v>
      </c>
      <c r="H154" s="3">
        <v>200</v>
      </c>
    </row>
    <row r="155" spans="1:8" s="44" customFormat="1">
      <c r="A155" s="214" t="str">
        <f t="shared" si="4"/>
        <v>I-022-WS-05</v>
      </c>
      <c r="B155" s="21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VLOOKUP(E155, 'S11 Work Stations'!$A$2:$B$45, 2, 0)</f>
        <v>MIL-A2-365</v>
      </c>
      <c r="G155" s="45">
        <v>900</v>
      </c>
      <c r="H155" s="3">
        <v>200</v>
      </c>
    </row>
    <row r="156" spans="1:8" s="44" customFormat="1">
      <c r="A156" s="214" t="str">
        <f t="shared" si="4"/>
        <v>I-022-WS-22</v>
      </c>
      <c r="B156" s="21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VLOOKUP(E156, 'S11 Work Stations'!$A$2:$B$45, 2, 0)</f>
        <v>MIL-H2-606</v>
      </c>
      <c r="G156" s="45">
        <v>480</v>
      </c>
      <c r="H156" s="3">
        <v>200</v>
      </c>
    </row>
    <row r="157" spans="1:8" s="44" customFormat="1">
      <c r="A157" s="214" t="str">
        <f t="shared" si="4"/>
        <v>I-022-WS-25</v>
      </c>
      <c r="B157" s="21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VLOOKUP(E157, 'S11 Work Stations'!$A$2:$B$45, 2, 0)</f>
        <v>DR-2A-201</v>
      </c>
      <c r="G157" s="45">
        <v>360</v>
      </c>
      <c r="H157" s="3">
        <v>200</v>
      </c>
    </row>
    <row r="158" spans="1:8" s="44" customFormat="1">
      <c r="A158" s="214" t="str">
        <f t="shared" si="4"/>
        <v>I-022-WS-36</v>
      </c>
      <c r="B158" s="21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VLOOKUP(E158, 'S11 Work Stations'!$A$2:$B$45, 2, 0)</f>
        <v>SAW-10-421</v>
      </c>
      <c r="G158" s="45">
        <v>720</v>
      </c>
      <c r="H158" s="3">
        <v>200</v>
      </c>
    </row>
    <row r="159" spans="1:8" s="44" customFormat="1">
      <c r="A159" s="214" t="str">
        <f t="shared" si="4"/>
        <v>I-022-WS-38</v>
      </c>
      <c r="B159" s="21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VLOOKUP(E159, 'S11 Work Stations'!$A$2:$B$45, 2, 0)</f>
        <v>SAW-150-423</v>
      </c>
      <c r="G159" s="45">
        <v>240</v>
      </c>
      <c r="H159" s="3">
        <v>200</v>
      </c>
    </row>
    <row r="160" spans="1:8" s="44" customFormat="1">
      <c r="A160" s="214" t="str">
        <f t="shared" si="4"/>
        <v>I-022-WS-42</v>
      </c>
      <c r="B160" s="21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VLOOKUP(E160, 'S11 Work Stations'!$A$2:$B$45, 2, 0)</f>
        <v>TEMP-A01-202</v>
      </c>
      <c r="G160" s="45">
        <v>300</v>
      </c>
      <c r="H160" s="3">
        <v>200</v>
      </c>
    </row>
    <row r="161" spans="1:8" s="44" customFormat="1">
      <c r="A161" s="214" t="str">
        <f t="shared" si="4"/>
        <v>I-022-WS-43</v>
      </c>
      <c r="B161" s="21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VLOOKUP(E161, 'S11 Work Stations'!$A$2:$B$45, 2, 0)</f>
        <v>RAW-MAT-INV</v>
      </c>
      <c r="G161" s="45">
        <v>0</v>
      </c>
      <c r="H161" s="3">
        <v>200</v>
      </c>
    </row>
    <row r="162" spans="1:8" s="44" customFormat="1">
      <c r="A162" s="214" t="str">
        <f t="shared" si="4"/>
        <v>I-022-WS-44</v>
      </c>
      <c r="B162" s="21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VLOOKUP(E162, 'S11 Work Stations'!$A$2:$B$45, 2, 0)</f>
        <v>FIN-GOOD-INV</v>
      </c>
      <c r="G162" s="45">
        <v>0</v>
      </c>
      <c r="H162" s="3">
        <v>200</v>
      </c>
    </row>
    <row r="163" spans="1:8" s="44" customFormat="1">
      <c r="A163" s="214" t="str">
        <f t="shared" si="4"/>
        <v>I-023-WS-15</v>
      </c>
      <c r="B163" s="21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VLOOKUP(E163, 'S11 Work Stations'!$A$2:$B$45, 2, 0)</f>
        <v>TUR-6-Sp3-408</v>
      </c>
      <c r="G163" s="45">
        <v>240</v>
      </c>
      <c r="H163" s="3">
        <v>200</v>
      </c>
    </row>
    <row r="164" spans="1:8" s="44" customFormat="1">
      <c r="A164" s="214" t="str">
        <f t="shared" si="4"/>
        <v>I-023-WS-28</v>
      </c>
      <c r="B164" s="21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VLOOKUP(E164, 'S11 Work Stations'!$A$2:$B$45, 2, 0)</f>
        <v>DR-T3-204</v>
      </c>
      <c r="G164" s="45">
        <v>300</v>
      </c>
      <c r="H164" s="3">
        <v>200</v>
      </c>
    </row>
    <row r="165" spans="1:8" s="44" customFormat="1">
      <c r="A165" s="214" t="str">
        <f t="shared" si="4"/>
        <v>I-023-WS-41</v>
      </c>
      <c r="B165" s="21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VLOOKUP(E165, 'S11 Work Stations'!$A$2:$B$45, 2, 0)</f>
        <v>SAW-CNC-60-425</v>
      </c>
      <c r="G165" s="45">
        <v>60</v>
      </c>
      <c r="H165" s="3">
        <v>200</v>
      </c>
    </row>
    <row r="166" spans="1:8" s="44" customFormat="1">
      <c r="A166" s="214" t="str">
        <f t="shared" si="4"/>
        <v>I-023-WS-43</v>
      </c>
      <c r="B166" s="21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VLOOKUP(E166, 'S11 Work Stations'!$A$2:$B$45, 2, 0)</f>
        <v>RAW-MAT-INV</v>
      </c>
      <c r="G166" s="45">
        <v>0</v>
      </c>
      <c r="H166" s="3">
        <v>200</v>
      </c>
    </row>
    <row r="167" spans="1:8" s="44" customFormat="1">
      <c r="A167" s="214" t="str">
        <f t="shared" si="4"/>
        <v>I-023-WS-44</v>
      </c>
      <c r="B167" s="21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VLOOKUP(E167, 'S11 Work Stations'!$A$2:$B$45, 2, 0)</f>
        <v>FIN-GOOD-INV</v>
      </c>
      <c r="G167" s="45">
        <v>0</v>
      </c>
      <c r="H167" s="3">
        <v>200</v>
      </c>
    </row>
    <row r="168" spans="1:8" s="44" customFormat="1">
      <c r="A168" s="214" t="str">
        <f t="shared" si="4"/>
        <v>I-024-WS-15</v>
      </c>
      <c r="B168" s="21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VLOOKUP(E168, 'S11 Work Stations'!$A$2:$B$45, 2, 0)</f>
        <v>TUR-6-Sp3-408</v>
      </c>
      <c r="G168" s="45">
        <v>360</v>
      </c>
      <c r="H168" s="3">
        <v>200</v>
      </c>
    </row>
    <row r="169" spans="1:8" s="44" customFormat="1">
      <c r="A169" s="214" t="str">
        <f t="shared" si="4"/>
        <v>I-024-WS-28</v>
      </c>
      <c r="B169" s="21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VLOOKUP(E169, 'S11 Work Stations'!$A$2:$B$45, 2, 0)</f>
        <v>DR-T3-204</v>
      </c>
      <c r="G169" s="45">
        <v>300</v>
      </c>
      <c r="H169" s="3">
        <v>200</v>
      </c>
    </row>
    <row r="170" spans="1:8" s="44" customFormat="1">
      <c r="A170" s="214" t="str">
        <f t="shared" si="4"/>
        <v>I-024-WS-41</v>
      </c>
      <c r="B170" s="21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VLOOKUP(E170, 'S11 Work Stations'!$A$2:$B$45, 2, 0)</f>
        <v>SAW-CNC-60-425</v>
      </c>
      <c r="G170" s="45">
        <v>60</v>
      </c>
      <c r="H170" s="3">
        <v>200</v>
      </c>
    </row>
    <row r="171" spans="1:8" s="44" customFormat="1">
      <c r="A171" s="214" t="str">
        <f t="shared" si="4"/>
        <v>I-024-WS-43</v>
      </c>
      <c r="B171" s="21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VLOOKUP(E171, 'S11 Work Stations'!$A$2:$B$45, 2, 0)</f>
        <v>RAW-MAT-INV</v>
      </c>
      <c r="G171" s="45">
        <v>0</v>
      </c>
      <c r="H171" s="3">
        <v>200</v>
      </c>
    </row>
    <row r="172" spans="1:8" s="44" customFormat="1">
      <c r="A172" s="214" t="str">
        <f t="shared" si="4"/>
        <v>I-024-WS-44</v>
      </c>
      <c r="B172" s="21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VLOOKUP(E172, 'S11 Work Stations'!$A$2:$B$45, 2, 0)</f>
        <v>FIN-GOOD-INV</v>
      </c>
      <c r="G172" s="45">
        <v>0</v>
      </c>
      <c r="H172" s="3">
        <v>200</v>
      </c>
    </row>
    <row r="173" spans="1:8" s="44" customFormat="1">
      <c r="A173" s="214" t="str">
        <f t="shared" si="4"/>
        <v>I-025-WS-15</v>
      </c>
      <c r="B173" s="21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VLOOKUP(E173, 'S11 Work Stations'!$A$2:$B$45, 2, 0)</f>
        <v>TUR-6-Sp3-408</v>
      </c>
      <c r="G173" s="45">
        <v>240</v>
      </c>
      <c r="H173" s="3">
        <v>200</v>
      </c>
    </row>
    <row r="174" spans="1:8" s="44" customFormat="1">
      <c r="A174" s="214" t="str">
        <f t="shared" si="4"/>
        <v>I-025-WS-29</v>
      </c>
      <c r="B174" s="21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VLOOKUP(E174, 'S11 Work Stations'!$A$2:$B$45, 2, 0)</f>
        <v>GR-T11-250</v>
      </c>
      <c r="G174" s="45">
        <v>300</v>
      </c>
      <c r="H174" s="3">
        <v>200</v>
      </c>
    </row>
    <row r="175" spans="1:8" s="44" customFormat="1">
      <c r="A175" s="214" t="str">
        <f t="shared" si="4"/>
        <v>I-025-WS-41</v>
      </c>
      <c r="B175" s="21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VLOOKUP(E175, 'S11 Work Stations'!$A$2:$B$45, 2, 0)</f>
        <v>SAW-CNC-60-425</v>
      </c>
      <c r="G175" s="45">
        <v>60</v>
      </c>
      <c r="H175" s="3">
        <v>200</v>
      </c>
    </row>
    <row r="176" spans="1:8" s="44" customFormat="1">
      <c r="A176" s="214" t="str">
        <f t="shared" si="4"/>
        <v>I-025-WS-43</v>
      </c>
      <c r="B176" s="21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VLOOKUP(E176, 'S11 Work Stations'!$A$2:$B$45, 2, 0)</f>
        <v>RAW-MAT-INV</v>
      </c>
      <c r="G176" s="45">
        <v>0</v>
      </c>
      <c r="H176" s="3">
        <v>200</v>
      </c>
    </row>
    <row r="177" spans="1:8" s="44" customFormat="1">
      <c r="A177" s="214" t="str">
        <f t="shared" si="4"/>
        <v>I-025-WS-44</v>
      </c>
      <c r="B177" s="21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VLOOKUP(E177, 'S11 Work Stations'!$A$2:$B$45, 2, 0)</f>
        <v>FIN-GOOD-INV</v>
      </c>
      <c r="G177" s="45">
        <v>0</v>
      </c>
      <c r="H177" s="3">
        <v>200</v>
      </c>
    </row>
    <row r="178" spans="1:8" s="44" customFormat="1">
      <c r="A178" s="214" t="str">
        <f t="shared" si="4"/>
        <v>I-026-WS-15</v>
      </c>
      <c r="B178" s="21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VLOOKUP(E178, 'S11 Work Stations'!$A$2:$B$45, 2, 0)</f>
        <v>TUR-6-Sp3-408</v>
      </c>
      <c r="G178" s="45">
        <v>300</v>
      </c>
      <c r="H178" s="3">
        <v>200</v>
      </c>
    </row>
    <row r="179" spans="1:8" s="44" customFormat="1">
      <c r="A179" s="214" t="str">
        <f t="shared" si="4"/>
        <v>I-026-WS-29</v>
      </c>
      <c r="B179" s="21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VLOOKUP(E179, 'S11 Work Stations'!$A$2:$B$45, 2, 0)</f>
        <v>GR-T11-250</v>
      </c>
      <c r="G179" s="45">
        <v>300</v>
      </c>
      <c r="H179" s="3">
        <v>200</v>
      </c>
    </row>
    <row r="180" spans="1:8" s="44" customFormat="1">
      <c r="A180" s="214" t="str">
        <f t="shared" si="4"/>
        <v>I-026-WS-41</v>
      </c>
      <c r="B180" s="21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VLOOKUP(E180, 'S11 Work Stations'!$A$2:$B$45, 2, 0)</f>
        <v>SAW-CNC-60-425</v>
      </c>
      <c r="G180" s="45">
        <v>60</v>
      </c>
      <c r="H180" s="3">
        <v>200</v>
      </c>
    </row>
    <row r="181" spans="1:8" s="44" customFormat="1">
      <c r="A181" s="214" t="str">
        <f t="shared" si="4"/>
        <v>I-026-WS-43</v>
      </c>
      <c r="B181" s="21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VLOOKUP(E181, 'S11 Work Stations'!$A$2:$B$45, 2, 0)</f>
        <v>RAW-MAT-INV</v>
      </c>
      <c r="G181" s="45">
        <v>0</v>
      </c>
      <c r="H181" s="3">
        <v>200</v>
      </c>
    </row>
    <row r="182" spans="1:8" s="44" customFormat="1">
      <c r="A182" s="214" t="str">
        <f t="shared" si="4"/>
        <v>I-026-WS-44</v>
      </c>
      <c r="B182" s="21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VLOOKUP(E182, 'S11 Work Stations'!$A$2:$B$45, 2, 0)</f>
        <v>FIN-GOOD-INV</v>
      </c>
      <c r="G182" s="45">
        <v>0</v>
      </c>
      <c r="H182" s="3">
        <v>200</v>
      </c>
    </row>
    <row r="183" spans="1:8" s="44" customFormat="1">
      <c r="A183" s="214" t="str">
        <f t="shared" si="4"/>
        <v>I-027-WS-15</v>
      </c>
      <c r="B183" s="21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VLOOKUP(E183, 'S11 Work Stations'!$A$2:$B$45, 2, 0)</f>
        <v>TUR-6-Sp3-408</v>
      </c>
      <c r="G183" s="45">
        <v>300</v>
      </c>
      <c r="H183" s="3">
        <v>200</v>
      </c>
    </row>
    <row r="184" spans="1:8" s="44" customFormat="1">
      <c r="A184" s="214" t="str">
        <f t="shared" si="4"/>
        <v>I-027-WS-29</v>
      </c>
      <c r="B184" s="21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VLOOKUP(E184, 'S11 Work Stations'!$A$2:$B$45, 2, 0)</f>
        <v>GR-T11-250</v>
      </c>
      <c r="G184" s="45">
        <v>360</v>
      </c>
      <c r="H184" s="3">
        <v>200</v>
      </c>
    </row>
    <row r="185" spans="1:8" s="44" customFormat="1">
      <c r="A185" s="214" t="str">
        <f t="shared" si="4"/>
        <v>I-027-WS-41</v>
      </c>
      <c r="B185" s="21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VLOOKUP(E185, 'S11 Work Stations'!$A$2:$B$45, 2, 0)</f>
        <v>SAW-CNC-60-425</v>
      </c>
      <c r="G185" s="45">
        <v>120</v>
      </c>
      <c r="H185" s="3">
        <v>200</v>
      </c>
    </row>
    <row r="186" spans="1:8" s="44" customFormat="1">
      <c r="A186" s="214" t="str">
        <f t="shared" si="4"/>
        <v>I-027-WS-43</v>
      </c>
      <c r="B186" s="21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VLOOKUP(E186, 'S11 Work Stations'!$A$2:$B$45, 2, 0)</f>
        <v>RAW-MAT-INV</v>
      </c>
      <c r="G186" s="45">
        <v>0</v>
      </c>
      <c r="H186" s="3">
        <v>200</v>
      </c>
    </row>
    <row r="187" spans="1:8" s="44" customFormat="1">
      <c r="A187" s="214" t="str">
        <f t="shared" si="4"/>
        <v>I-027-WS-44</v>
      </c>
      <c r="B187" s="21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VLOOKUP(E187, 'S11 Work Stations'!$A$2:$B$45, 2, 0)</f>
        <v>FIN-GOOD-INV</v>
      </c>
      <c r="G187" s="45">
        <v>0</v>
      </c>
      <c r="H187" s="3">
        <v>200</v>
      </c>
    </row>
    <row r="188" spans="1:8" s="44" customFormat="1">
      <c r="A188" s="214" t="str">
        <f t="shared" si="4"/>
        <v>I-028-WS-15</v>
      </c>
      <c r="B188" s="21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VLOOKUP(E188, 'S11 Work Stations'!$A$2:$B$45, 2, 0)</f>
        <v>TUR-6-Sp3-408</v>
      </c>
      <c r="G188" s="45">
        <v>360</v>
      </c>
      <c r="H188" s="3">
        <v>200</v>
      </c>
    </row>
    <row r="189" spans="1:8" s="44" customFormat="1">
      <c r="A189" s="214" t="str">
        <f t="shared" si="4"/>
        <v>I-028-WS-25</v>
      </c>
      <c r="B189" s="21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VLOOKUP(E189, 'S11 Work Stations'!$A$2:$B$45, 2, 0)</f>
        <v>DR-2A-201</v>
      </c>
      <c r="G189" s="45">
        <v>780</v>
      </c>
      <c r="H189" s="3">
        <v>200</v>
      </c>
    </row>
    <row r="190" spans="1:8" s="44" customFormat="1">
      <c r="A190" s="214" t="str">
        <f t="shared" si="4"/>
        <v>I-028-WS-29</v>
      </c>
      <c r="B190" s="21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VLOOKUP(E190, 'S11 Work Stations'!$A$2:$B$45, 2, 0)</f>
        <v>GR-T11-250</v>
      </c>
      <c r="G190" s="45">
        <v>360</v>
      </c>
      <c r="H190" s="3">
        <v>200</v>
      </c>
    </row>
    <row r="191" spans="1:8" s="44" customFormat="1">
      <c r="A191" s="214" t="str">
        <f t="shared" si="4"/>
        <v>I-028-WS-41</v>
      </c>
      <c r="B191" s="21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VLOOKUP(E191, 'S11 Work Stations'!$A$2:$B$45, 2, 0)</f>
        <v>SAW-CNC-60-425</v>
      </c>
      <c r="G191" s="45">
        <v>60</v>
      </c>
      <c r="H191" s="3">
        <v>200</v>
      </c>
    </row>
    <row r="192" spans="1:8" s="44" customFormat="1">
      <c r="A192" s="214" t="str">
        <f t="shared" si="4"/>
        <v>I-028-WS-43</v>
      </c>
      <c r="B192" s="21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VLOOKUP(E192, 'S11 Work Stations'!$A$2:$B$45, 2, 0)</f>
        <v>RAW-MAT-INV</v>
      </c>
      <c r="G192" s="45">
        <v>0</v>
      </c>
      <c r="H192" s="3">
        <v>200</v>
      </c>
    </row>
    <row r="193" spans="1:8" s="44" customFormat="1">
      <c r="A193" s="214" t="str">
        <f t="shared" si="4"/>
        <v>I-028-WS-44</v>
      </c>
      <c r="B193" s="21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VLOOKUP(E193, 'S11 Work Stations'!$A$2:$B$45, 2, 0)</f>
        <v>FIN-GOOD-INV</v>
      </c>
      <c r="G193" s="45">
        <v>0</v>
      </c>
      <c r="H193" s="3">
        <v>200</v>
      </c>
    </row>
    <row r="194" spans="1:8" s="44" customFormat="1">
      <c r="A194" s="214" t="str">
        <f t="shared" ref="A194:A257" si="6">C194&amp;"-"&amp;E194</f>
        <v>I-029-WS-15</v>
      </c>
      <c r="B194" s="214" t="str">
        <f t="shared" ref="B194:B257" si="7">C194&amp;"-"&amp;D194</f>
        <v>I-029-30</v>
      </c>
      <c r="C194" s="45" t="s">
        <v>529</v>
      </c>
      <c r="D194" s="45">
        <v>30</v>
      </c>
      <c r="E194" s="45" t="s">
        <v>588</v>
      </c>
      <c r="F194" s="42" t="str">
        <f>VLOOKUP(E194, 'S11 Work Stations'!$A$2:$B$45, 2, 0)</f>
        <v>TUR-6-Sp3-408</v>
      </c>
      <c r="G194" s="45">
        <v>420</v>
      </c>
      <c r="H194" s="3">
        <v>200</v>
      </c>
    </row>
    <row r="195" spans="1:8" s="44" customFormat="1">
      <c r="A195" s="214" t="str">
        <f t="shared" si="6"/>
        <v>I-029-WS-29</v>
      </c>
      <c r="B195" s="214" t="str">
        <f t="shared" si="7"/>
        <v>I-029-40</v>
      </c>
      <c r="C195" s="45" t="s">
        <v>529</v>
      </c>
      <c r="D195" s="45">
        <v>40</v>
      </c>
      <c r="E195" s="45" t="s">
        <v>602</v>
      </c>
      <c r="F195" s="42" t="str">
        <f>VLOOKUP(E195, 'S11 Work Stations'!$A$2:$B$45, 2, 0)</f>
        <v>GR-T11-250</v>
      </c>
      <c r="G195" s="45">
        <v>360</v>
      </c>
      <c r="H195" s="3">
        <v>200</v>
      </c>
    </row>
    <row r="196" spans="1:8" s="44" customFormat="1">
      <c r="A196" s="214" t="str">
        <f t="shared" si="6"/>
        <v>I-029-WS-41</v>
      </c>
      <c r="B196" s="21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VLOOKUP(E196, 'S11 Work Stations'!$A$2:$B$45, 2, 0)</f>
        <v>SAW-CNC-60-425</v>
      </c>
      <c r="G196" s="45">
        <v>120</v>
      </c>
      <c r="H196" s="3">
        <v>200</v>
      </c>
    </row>
    <row r="197" spans="1:8" s="44" customFormat="1">
      <c r="A197" s="214" t="str">
        <f t="shared" si="6"/>
        <v>I-029-WS-43</v>
      </c>
      <c r="B197" s="21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VLOOKUP(E197, 'S11 Work Stations'!$A$2:$B$45, 2, 0)</f>
        <v>RAW-MAT-INV</v>
      </c>
      <c r="G197" s="45">
        <v>0</v>
      </c>
      <c r="H197" s="3">
        <v>200</v>
      </c>
    </row>
    <row r="198" spans="1:8" s="44" customFormat="1">
      <c r="A198" s="214" t="str">
        <f t="shared" si="6"/>
        <v>I-029-WS-44</v>
      </c>
      <c r="B198" s="21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VLOOKUP(E198, 'S11 Work Stations'!$A$2:$B$45, 2, 0)</f>
        <v>FIN-GOOD-INV</v>
      </c>
      <c r="G198" s="45">
        <v>0</v>
      </c>
      <c r="H198" s="3">
        <v>200</v>
      </c>
    </row>
    <row r="199" spans="1:8" s="44" customFormat="1">
      <c r="A199" s="214" t="str">
        <f t="shared" si="6"/>
        <v>I-030-WS-12</v>
      </c>
      <c r="B199" s="21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VLOOKUP(E199, 'S11 Work Stations'!$A$2:$B$45, 2, 0)</f>
        <v>TUR-15-250-405</v>
      </c>
      <c r="G199" s="45">
        <v>420</v>
      </c>
      <c r="H199" s="3">
        <v>200</v>
      </c>
    </row>
    <row r="200" spans="1:8" s="44" customFormat="1">
      <c r="A200" s="214" t="str">
        <f t="shared" si="6"/>
        <v>I-030-WS-28</v>
      </c>
      <c r="B200" s="21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VLOOKUP(E200, 'S11 Work Stations'!$A$2:$B$45, 2, 0)</f>
        <v>DR-T3-204</v>
      </c>
      <c r="G200" s="45">
        <v>300</v>
      </c>
      <c r="H200" s="3">
        <v>200</v>
      </c>
    </row>
    <row r="201" spans="1:8" s="44" customFormat="1">
      <c r="A201" s="214" t="str">
        <f t="shared" si="6"/>
        <v>I-030-WS-41</v>
      </c>
      <c r="B201" s="21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VLOOKUP(E201, 'S11 Work Stations'!$A$2:$B$45, 2, 0)</f>
        <v>SAW-CNC-60-425</v>
      </c>
      <c r="G201" s="45">
        <v>60</v>
      </c>
      <c r="H201" s="3">
        <v>200</v>
      </c>
    </row>
    <row r="202" spans="1:8" s="44" customFormat="1">
      <c r="A202" s="214" t="str">
        <f t="shared" si="6"/>
        <v>I-030-WS-43</v>
      </c>
      <c r="B202" s="21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VLOOKUP(E202, 'S11 Work Stations'!$A$2:$B$45, 2, 0)</f>
        <v>RAW-MAT-INV</v>
      </c>
      <c r="G202" s="45">
        <v>0</v>
      </c>
      <c r="H202" s="3">
        <v>200</v>
      </c>
    </row>
    <row r="203" spans="1:8" s="44" customFormat="1">
      <c r="A203" s="214" t="str">
        <f t="shared" si="6"/>
        <v>I-030-WS-44</v>
      </c>
      <c r="B203" s="21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VLOOKUP(E203, 'S11 Work Stations'!$A$2:$B$45, 2, 0)</f>
        <v>FIN-GOOD-INV</v>
      </c>
      <c r="G203" s="45">
        <v>0</v>
      </c>
      <c r="H203" s="3">
        <v>200</v>
      </c>
    </row>
    <row r="204" spans="1:8" s="44" customFormat="1">
      <c r="A204" s="214" t="str">
        <f t="shared" si="6"/>
        <v>I-031-WS-15</v>
      </c>
      <c r="B204" s="21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VLOOKUP(E204, 'S11 Work Stations'!$A$2:$B$45, 2, 0)</f>
        <v>TUR-6-Sp3-408</v>
      </c>
      <c r="G204" s="45">
        <v>480</v>
      </c>
      <c r="H204" s="3">
        <v>200</v>
      </c>
    </row>
    <row r="205" spans="1:8" s="44" customFormat="1">
      <c r="A205" s="214" t="str">
        <f t="shared" si="6"/>
        <v>I-031-WS-25</v>
      </c>
      <c r="B205" s="21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VLOOKUP(E205, 'S11 Work Stations'!$A$2:$B$45, 2, 0)</f>
        <v>DR-2A-201</v>
      </c>
      <c r="G205" s="45">
        <v>780</v>
      </c>
      <c r="H205" s="3">
        <v>200</v>
      </c>
    </row>
    <row r="206" spans="1:8" s="44" customFormat="1">
      <c r="A206" s="214" t="str">
        <f t="shared" si="6"/>
        <v>I-031-WS-29</v>
      </c>
      <c r="B206" s="21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VLOOKUP(E206, 'S11 Work Stations'!$A$2:$B$45, 2, 0)</f>
        <v>GR-T11-250</v>
      </c>
      <c r="G206" s="45">
        <v>300</v>
      </c>
      <c r="H206" s="3">
        <v>200</v>
      </c>
    </row>
    <row r="207" spans="1:8" s="44" customFormat="1">
      <c r="A207" s="214" t="str">
        <f t="shared" si="6"/>
        <v>I-031-WS-41</v>
      </c>
      <c r="B207" s="21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VLOOKUP(E207, 'S11 Work Stations'!$A$2:$B$45, 2, 0)</f>
        <v>SAW-CNC-60-425</v>
      </c>
      <c r="G207" s="45">
        <v>60</v>
      </c>
      <c r="H207" s="3">
        <v>200</v>
      </c>
    </row>
    <row r="208" spans="1:8" s="44" customFormat="1">
      <c r="A208" s="214" t="str">
        <f t="shared" si="6"/>
        <v>I-031-WS-42</v>
      </c>
      <c r="B208" s="21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VLOOKUP(E208, 'S11 Work Stations'!$A$2:$B$45, 2, 0)</f>
        <v>TEMP-A01-202</v>
      </c>
      <c r="G208" s="45">
        <v>300</v>
      </c>
      <c r="H208" s="3">
        <v>200</v>
      </c>
    </row>
    <row r="209" spans="1:8" s="44" customFormat="1">
      <c r="A209" s="214" t="str">
        <f t="shared" si="6"/>
        <v>I-031-WS-43</v>
      </c>
      <c r="B209" s="21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VLOOKUP(E209, 'S11 Work Stations'!$A$2:$B$45, 2, 0)</f>
        <v>RAW-MAT-INV</v>
      </c>
      <c r="G209" s="45">
        <v>0</v>
      </c>
      <c r="H209" s="3">
        <v>200</v>
      </c>
    </row>
    <row r="210" spans="1:8" s="44" customFormat="1">
      <c r="A210" s="214" t="str">
        <f t="shared" si="6"/>
        <v>I-031-WS-44</v>
      </c>
      <c r="B210" s="21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VLOOKUP(E210, 'S11 Work Stations'!$A$2:$B$45, 2, 0)</f>
        <v>FIN-GOOD-INV</v>
      </c>
      <c r="G210" s="45">
        <v>0</v>
      </c>
      <c r="H210" s="3">
        <v>200</v>
      </c>
    </row>
    <row r="211" spans="1:8" s="44" customFormat="1">
      <c r="A211" s="214" t="str">
        <f t="shared" si="6"/>
        <v>I-032-WS-15</v>
      </c>
      <c r="B211" s="21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VLOOKUP(E211, 'S11 Work Stations'!$A$2:$B$45, 2, 0)</f>
        <v>TUR-6-Sp3-408</v>
      </c>
      <c r="G211" s="45">
        <v>180</v>
      </c>
      <c r="H211" s="3">
        <v>200</v>
      </c>
    </row>
    <row r="212" spans="1:8" s="44" customFormat="1">
      <c r="A212" s="214" t="str">
        <f t="shared" si="6"/>
        <v>I-032-WS-27</v>
      </c>
      <c r="B212" s="21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VLOOKUP(E212, 'S11 Work Stations'!$A$2:$B$45, 2, 0)</f>
        <v>GR-T1-203</v>
      </c>
      <c r="G212" s="45">
        <v>360</v>
      </c>
      <c r="H212" s="3">
        <v>200</v>
      </c>
    </row>
    <row r="213" spans="1:8" s="44" customFormat="1">
      <c r="A213" s="214" t="str">
        <f t="shared" si="6"/>
        <v>I-032-WS-41</v>
      </c>
      <c r="B213" s="21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VLOOKUP(E213, 'S11 Work Stations'!$A$2:$B$45, 2, 0)</f>
        <v>SAW-CNC-60-425</v>
      </c>
      <c r="G213" s="45">
        <v>60</v>
      </c>
      <c r="H213" s="3">
        <v>200</v>
      </c>
    </row>
    <row r="214" spans="1:8" s="44" customFormat="1">
      <c r="A214" s="214" t="str">
        <f t="shared" si="6"/>
        <v>I-032-WS-43</v>
      </c>
      <c r="B214" s="21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VLOOKUP(E214, 'S11 Work Stations'!$A$2:$B$45, 2, 0)</f>
        <v>RAW-MAT-INV</v>
      </c>
      <c r="G214" s="45">
        <v>0</v>
      </c>
      <c r="H214" s="3">
        <v>200</v>
      </c>
    </row>
    <row r="215" spans="1:8" s="44" customFormat="1">
      <c r="A215" s="214" t="str">
        <f t="shared" si="6"/>
        <v>I-032-WS-44</v>
      </c>
      <c r="B215" s="21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VLOOKUP(E215, 'S11 Work Stations'!$A$2:$B$45, 2, 0)</f>
        <v>FIN-GOOD-INV</v>
      </c>
      <c r="G215" s="45">
        <v>0</v>
      </c>
      <c r="H215" s="3">
        <v>200</v>
      </c>
    </row>
    <row r="216" spans="1:8" s="44" customFormat="1">
      <c r="A216" s="214" t="str">
        <f t="shared" si="6"/>
        <v>I-033-WS-16</v>
      </c>
      <c r="B216" s="21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VLOOKUP(E216, 'S11 Work Stations'!$A$2:$B$45, 2, 0)</f>
        <v>TUR-6-Sp4-409</v>
      </c>
      <c r="G216" s="45">
        <v>540</v>
      </c>
      <c r="H216" s="3">
        <v>200</v>
      </c>
    </row>
    <row r="217" spans="1:8" s="44" customFormat="1">
      <c r="A217" s="214" t="str">
        <f t="shared" si="6"/>
        <v>I-033-WS-25</v>
      </c>
      <c r="B217" s="21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VLOOKUP(E217, 'S11 Work Stations'!$A$2:$B$45, 2, 0)</f>
        <v>DR-2A-201</v>
      </c>
      <c r="G217" s="45">
        <v>480</v>
      </c>
      <c r="H217" s="3">
        <v>200</v>
      </c>
    </row>
    <row r="218" spans="1:8" s="44" customFormat="1">
      <c r="A218" s="214" t="str">
        <f t="shared" si="6"/>
        <v>I-033-WS-27</v>
      </c>
      <c r="B218" s="21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VLOOKUP(E218, 'S11 Work Stations'!$A$2:$B$45, 2, 0)</f>
        <v>GR-T1-203</v>
      </c>
      <c r="G218" s="45">
        <v>360</v>
      </c>
      <c r="H218" s="3">
        <v>200</v>
      </c>
    </row>
    <row r="219" spans="1:8" s="44" customFormat="1">
      <c r="A219" s="214" t="str">
        <f t="shared" si="6"/>
        <v>I-033-WS-41</v>
      </c>
      <c r="B219" s="21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VLOOKUP(E219, 'S11 Work Stations'!$A$2:$B$45, 2, 0)</f>
        <v>SAW-CNC-60-425</v>
      </c>
      <c r="G219" s="45">
        <v>60</v>
      </c>
      <c r="H219" s="3">
        <v>200</v>
      </c>
    </row>
    <row r="220" spans="1:8" s="44" customFormat="1">
      <c r="A220" s="214" t="str">
        <f t="shared" si="6"/>
        <v>I-033-WS-42</v>
      </c>
      <c r="B220" s="21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VLOOKUP(E220, 'S11 Work Stations'!$A$2:$B$45, 2, 0)</f>
        <v>TEMP-A01-202</v>
      </c>
      <c r="G220" s="45">
        <v>300</v>
      </c>
      <c r="H220" s="3">
        <v>200</v>
      </c>
    </row>
    <row r="221" spans="1:8" s="44" customFormat="1">
      <c r="A221" s="214" t="str">
        <f t="shared" si="6"/>
        <v>I-033-WS-43</v>
      </c>
      <c r="B221" s="21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VLOOKUP(E221, 'S11 Work Stations'!$A$2:$B$45, 2, 0)</f>
        <v>RAW-MAT-INV</v>
      </c>
      <c r="G221" s="45">
        <v>0</v>
      </c>
      <c r="H221" s="3">
        <v>200</v>
      </c>
    </row>
    <row r="222" spans="1:8" s="44" customFormat="1">
      <c r="A222" s="214" t="str">
        <f t="shared" si="6"/>
        <v>I-033-WS-44</v>
      </c>
      <c r="B222" s="21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VLOOKUP(E222, 'S11 Work Stations'!$A$2:$B$45, 2, 0)</f>
        <v>FIN-GOOD-INV</v>
      </c>
      <c r="G222" s="45">
        <v>0</v>
      </c>
      <c r="H222" s="3">
        <v>200</v>
      </c>
    </row>
    <row r="223" spans="1:8" s="44" customFormat="1">
      <c r="A223" s="214" t="str">
        <f t="shared" si="6"/>
        <v>I-034-WS-16</v>
      </c>
      <c r="B223" s="21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VLOOKUP(E223, 'S11 Work Stations'!$A$2:$B$45, 2, 0)</f>
        <v>TUR-6-Sp4-409</v>
      </c>
      <c r="G223" s="45">
        <v>540</v>
      </c>
      <c r="H223" s="3">
        <v>200</v>
      </c>
    </row>
    <row r="224" spans="1:8" s="44" customFormat="1">
      <c r="A224" s="214" t="str">
        <f t="shared" si="6"/>
        <v>I-034-WS-27</v>
      </c>
      <c r="B224" s="21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VLOOKUP(E224, 'S11 Work Stations'!$A$2:$B$45, 2, 0)</f>
        <v>GR-T1-203</v>
      </c>
      <c r="G224" s="45">
        <v>360</v>
      </c>
      <c r="H224" s="3">
        <v>200</v>
      </c>
    </row>
    <row r="225" spans="1:8" s="44" customFormat="1">
      <c r="A225" s="214" t="str">
        <f t="shared" si="6"/>
        <v>I-034-WS-35</v>
      </c>
      <c r="B225" s="21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VLOOKUP(E225, 'S11 Work Stations'!$A$2:$B$45, 2, 0)</f>
        <v>SAW-35-100-254</v>
      </c>
      <c r="G225" s="45">
        <v>720</v>
      </c>
      <c r="H225" s="3">
        <v>200</v>
      </c>
    </row>
    <row r="226" spans="1:8" s="44" customFormat="1">
      <c r="A226" s="214" t="str">
        <f t="shared" si="6"/>
        <v>I-034-WS-41</v>
      </c>
      <c r="B226" s="21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VLOOKUP(E226, 'S11 Work Stations'!$A$2:$B$45, 2, 0)</f>
        <v>SAW-CNC-60-425</v>
      </c>
      <c r="G226" s="45">
        <v>60</v>
      </c>
      <c r="H226" s="3">
        <v>200</v>
      </c>
    </row>
    <row r="227" spans="1:8" s="44" customFormat="1">
      <c r="A227" s="214" t="str">
        <f t="shared" si="6"/>
        <v>I-034-WS-42</v>
      </c>
      <c r="B227" s="21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VLOOKUP(E227, 'S11 Work Stations'!$A$2:$B$45, 2, 0)</f>
        <v>TEMP-A01-202</v>
      </c>
      <c r="G227" s="45">
        <v>300</v>
      </c>
      <c r="H227" s="3">
        <v>200</v>
      </c>
    </row>
    <row r="228" spans="1:8" s="44" customFormat="1">
      <c r="A228" s="214" t="str">
        <f t="shared" si="6"/>
        <v>I-034-WS-43</v>
      </c>
      <c r="B228" s="21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VLOOKUP(E228, 'S11 Work Stations'!$A$2:$B$45, 2, 0)</f>
        <v>RAW-MAT-INV</v>
      </c>
      <c r="G228" s="45">
        <v>0</v>
      </c>
      <c r="H228" s="3">
        <v>200</v>
      </c>
    </row>
    <row r="229" spans="1:8" s="44" customFormat="1">
      <c r="A229" s="214" t="str">
        <f t="shared" si="6"/>
        <v>I-034-WS-44</v>
      </c>
      <c r="B229" s="21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VLOOKUP(E229, 'S11 Work Stations'!$A$2:$B$45, 2, 0)</f>
        <v>FIN-GOOD-INV</v>
      </c>
      <c r="G229" s="45">
        <v>0</v>
      </c>
      <c r="H229" s="3">
        <v>200</v>
      </c>
    </row>
    <row r="230" spans="1:8" s="44" customFormat="1">
      <c r="A230" s="214" t="str">
        <f t="shared" si="6"/>
        <v>I-035-WS-07</v>
      </c>
      <c r="B230" s="21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VLOOKUP(E230, 'S11 Work Stations'!$A$2:$B$45, 2, 0)</f>
        <v>TUR-C2-367</v>
      </c>
      <c r="G230" s="45">
        <v>420</v>
      </c>
      <c r="H230" s="3">
        <v>200</v>
      </c>
    </row>
    <row r="231" spans="1:8" s="44" customFormat="1">
      <c r="A231" s="214" t="str">
        <f t="shared" si="6"/>
        <v>I-035-WS-25</v>
      </c>
      <c r="B231" s="21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VLOOKUP(E231, 'S11 Work Stations'!$A$2:$B$45, 2, 0)</f>
        <v>DR-2A-201</v>
      </c>
      <c r="G231" s="45">
        <v>480</v>
      </c>
      <c r="H231" s="3">
        <v>200</v>
      </c>
    </row>
    <row r="232" spans="1:8" s="44" customFormat="1">
      <c r="A232" s="214" t="str">
        <f t="shared" si="6"/>
        <v>I-035-WS-35</v>
      </c>
      <c r="B232" s="21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VLOOKUP(E232, 'S11 Work Stations'!$A$2:$B$45, 2, 0)</f>
        <v>SAW-35-100-254</v>
      </c>
      <c r="G232" s="45">
        <v>720</v>
      </c>
      <c r="H232" s="3">
        <v>200</v>
      </c>
    </row>
    <row r="233" spans="1:8" s="44" customFormat="1">
      <c r="A233" s="214" t="str">
        <f t="shared" si="6"/>
        <v>I-035-WS-38</v>
      </c>
      <c r="B233" s="21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VLOOKUP(E233, 'S11 Work Stations'!$A$2:$B$45, 2, 0)</f>
        <v>SAW-150-423</v>
      </c>
      <c r="G233" s="45">
        <v>120</v>
      </c>
      <c r="H233" s="3">
        <v>200</v>
      </c>
    </row>
    <row r="234" spans="1:8" s="44" customFormat="1">
      <c r="A234" s="214" t="str">
        <f t="shared" si="6"/>
        <v>I-035-WS-43</v>
      </c>
      <c r="B234" s="21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VLOOKUP(E234, 'S11 Work Stations'!$A$2:$B$45, 2, 0)</f>
        <v>RAW-MAT-INV</v>
      </c>
      <c r="G234" s="45">
        <v>0</v>
      </c>
      <c r="H234" s="3">
        <v>200</v>
      </c>
    </row>
    <row r="235" spans="1:8" s="44" customFormat="1">
      <c r="A235" s="214" t="str">
        <f t="shared" si="6"/>
        <v>I-035-WS-44</v>
      </c>
      <c r="B235" s="21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VLOOKUP(E235, 'S11 Work Stations'!$A$2:$B$45, 2, 0)</f>
        <v>FIN-GOOD-INV</v>
      </c>
      <c r="G235" s="45">
        <v>0</v>
      </c>
      <c r="H235" s="3">
        <v>200</v>
      </c>
    </row>
    <row r="236" spans="1:8" s="44" customFormat="1">
      <c r="A236" s="214" t="str">
        <f t="shared" si="6"/>
        <v>I-036-WS-07</v>
      </c>
      <c r="B236" s="21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VLOOKUP(E236, 'S11 Work Stations'!$A$2:$B$45, 2, 0)</f>
        <v>TUR-C2-367</v>
      </c>
      <c r="G236" s="45">
        <v>240</v>
      </c>
      <c r="H236" s="3">
        <v>200</v>
      </c>
    </row>
    <row r="237" spans="1:8" s="44" customFormat="1">
      <c r="A237" s="214" t="str">
        <f t="shared" si="6"/>
        <v>I-036-WS-31</v>
      </c>
      <c r="B237" s="21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VLOOKUP(E237, 'S11 Work Stations'!$A$2:$B$45, 2, 0)</f>
        <v>DR-3AW-207</v>
      </c>
      <c r="G237" s="45">
        <v>240</v>
      </c>
      <c r="H237" s="3">
        <v>200</v>
      </c>
    </row>
    <row r="238" spans="1:8" s="44" customFormat="1">
      <c r="A238" s="214" t="str">
        <f t="shared" si="6"/>
        <v>I-036-WS-38</v>
      </c>
      <c r="B238" s="21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VLOOKUP(E238, 'S11 Work Stations'!$A$2:$B$45, 2, 0)</f>
        <v>SAW-150-423</v>
      </c>
      <c r="G238" s="45">
        <v>120</v>
      </c>
      <c r="H238" s="3">
        <v>200</v>
      </c>
    </row>
    <row r="239" spans="1:8" s="44" customFormat="1">
      <c r="A239" s="214" t="str">
        <f t="shared" si="6"/>
        <v>I-036-WS-43</v>
      </c>
      <c r="B239" s="21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VLOOKUP(E239, 'S11 Work Stations'!$A$2:$B$45, 2, 0)</f>
        <v>RAW-MAT-INV</v>
      </c>
      <c r="G239" s="45">
        <v>0</v>
      </c>
      <c r="H239" s="3">
        <v>200</v>
      </c>
    </row>
    <row r="240" spans="1:8" s="44" customFormat="1">
      <c r="A240" s="214" t="str">
        <f t="shared" si="6"/>
        <v>I-036-WS-44</v>
      </c>
      <c r="B240" s="21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VLOOKUP(E240, 'S11 Work Stations'!$A$2:$B$45, 2, 0)</f>
        <v>FIN-GOOD-INV</v>
      </c>
      <c r="G240" s="45">
        <v>0</v>
      </c>
      <c r="H240" s="3">
        <v>200</v>
      </c>
    </row>
    <row r="241" spans="1:8" s="44" customFormat="1">
      <c r="A241" s="214" t="str">
        <f t="shared" si="6"/>
        <v>I-037-WS-07</v>
      </c>
      <c r="B241" s="21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VLOOKUP(E241, 'S11 Work Stations'!$A$2:$B$45, 2, 0)</f>
        <v>TUR-C2-367</v>
      </c>
      <c r="G241" s="45">
        <v>300</v>
      </c>
      <c r="H241" s="3">
        <v>200</v>
      </c>
    </row>
    <row r="242" spans="1:8" s="44" customFormat="1">
      <c r="A242" s="214" t="str">
        <f t="shared" si="6"/>
        <v>I-037-WS-21</v>
      </c>
      <c r="B242" s="21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VLOOKUP(E242, 'S11 Work Stations'!$A$2:$B$45, 2, 0)</f>
        <v>MIL-U1-605</v>
      </c>
      <c r="G242" s="45">
        <v>300</v>
      </c>
      <c r="H242" s="3">
        <v>200</v>
      </c>
    </row>
    <row r="243" spans="1:8" s="44" customFormat="1">
      <c r="A243" s="214" t="str">
        <f t="shared" si="6"/>
        <v>I-037-WS-27</v>
      </c>
      <c r="B243" s="21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VLOOKUP(E243, 'S11 Work Stations'!$A$2:$B$45, 2, 0)</f>
        <v>GR-T1-203</v>
      </c>
      <c r="G243" s="45">
        <v>300</v>
      </c>
      <c r="H243" s="3">
        <v>200</v>
      </c>
    </row>
    <row r="244" spans="1:8" s="44" customFormat="1">
      <c r="A244" s="214" t="str">
        <f t="shared" si="6"/>
        <v>I-037-WS-28</v>
      </c>
      <c r="B244" s="21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VLOOKUP(E244, 'S11 Work Stations'!$A$2:$B$45, 2, 0)</f>
        <v>DR-T3-204</v>
      </c>
      <c r="G244" s="45">
        <v>480</v>
      </c>
      <c r="H244" s="3">
        <v>200</v>
      </c>
    </row>
    <row r="245" spans="1:8" s="44" customFormat="1">
      <c r="A245" s="214" t="str">
        <f t="shared" si="6"/>
        <v>I-037-WS-32</v>
      </c>
      <c r="B245" s="21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VLOOKUP(E245, 'S11 Work Stations'!$A$2:$B$45, 2, 0)</f>
        <v>SAW-30-150-251</v>
      </c>
      <c r="G245" s="45">
        <v>480</v>
      </c>
      <c r="H245" s="3">
        <v>200</v>
      </c>
    </row>
    <row r="246" spans="1:8" s="44" customFormat="1">
      <c r="A246" s="214" t="str">
        <f t="shared" si="6"/>
        <v>I-037-WS-38</v>
      </c>
      <c r="B246" s="21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VLOOKUP(E246, 'S11 Work Stations'!$A$2:$B$45, 2, 0)</f>
        <v>SAW-150-423</v>
      </c>
      <c r="G246" s="45">
        <v>120</v>
      </c>
      <c r="H246" s="3">
        <v>200</v>
      </c>
    </row>
    <row r="247" spans="1:8" s="44" customFormat="1">
      <c r="A247" s="214" t="str">
        <f t="shared" si="6"/>
        <v>I-037-WS-43</v>
      </c>
      <c r="B247" s="21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VLOOKUP(E247, 'S11 Work Stations'!$A$2:$B$45, 2, 0)</f>
        <v>RAW-MAT-INV</v>
      </c>
      <c r="G247" s="45">
        <v>0</v>
      </c>
      <c r="H247" s="3">
        <v>200</v>
      </c>
    </row>
    <row r="248" spans="1:8" s="44" customFormat="1">
      <c r="A248" s="214" t="str">
        <f t="shared" si="6"/>
        <v>I-037-WS-44</v>
      </c>
      <c r="B248" s="21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VLOOKUP(E248, 'S11 Work Stations'!$A$2:$B$45, 2, 0)</f>
        <v>FIN-GOOD-INV</v>
      </c>
      <c r="G248" s="45">
        <v>0</v>
      </c>
      <c r="H248" s="3">
        <v>200</v>
      </c>
    </row>
    <row r="249" spans="1:8" s="44" customFormat="1">
      <c r="A249" s="214" t="str">
        <f t="shared" si="6"/>
        <v>I-038-WS-07</v>
      </c>
      <c r="B249" s="21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VLOOKUP(E249, 'S11 Work Stations'!$A$2:$B$45, 2, 0)</f>
        <v>TUR-C2-367</v>
      </c>
      <c r="G249" s="45">
        <v>360</v>
      </c>
      <c r="H249" s="3">
        <v>200</v>
      </c>
    </row>
    <row r="250" spans="1:8" s="44" customFormat="1">
      <c r="A250" s="214" t="str">
        <f t="shared" si="6"/>
        <v>I-038-WS-31</v>
      </c>
      <c r="B250" s="21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VLOOKUP(E250, 'S11 Work Stations'!$A$2:$B$45, 2, 0)</f>
        <v>DR-3AW-207</v>
      </c>
      <c r="G250" s="45">
        <v>360</v>
      </c>
      <c r="H250" s="3">
        <v>200</v>
      </c>
    </row>
    <row r="251" spans="1:8" s="44" customFormat="1">
      <c r="A251" s="214" t="str">
        <f t="shared" si="6"/>
        <v>I-038-WS-35</v>
      </c>
      <c r="B251" s="21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VLOOKUP(E251, 'S11 Work Stations'!$A$2:$B$45, 2, 0)</f>
        <v>SAW-35-100-254</v>
      </c>
      <c r="G251" s="45">
        <v>720</v>
      </c>
      <c r="H251" s="3">
        <v>200</v>
      </c>
    </row>
    <row r="252" spans="1:8" s="44" customFormat="1">
      <c r="A252" s="214" t="str">
        <f t="shared" si="6"/>
        <v>I-038-WS-38</v>
      </c>
      <c r="B252" s="21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VLOOKUP(E252, 'S11 Work Stations'!$A$2:$B$45, 2, 0)</f>
        <v>SAW-150-423</v>
      </c>
      <c r="G252" s="45">
        <v>120</v>
      </c>
      <c r="H252" s="3">
        <v>200</v>
      </c>
    </row>
    <row r="253" spans="1:8" s="44" customFormat="1">
      <c r="A253" s="214" t="str">
        <f t="shared" si="6"/>
        <v>I-038-WS-43</v>
      </c>
      <c r="B253" s="21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VLOOKUP(E253, 'S11 Work Stations'!$A$2:$B$45, 2, 0)</f>
        <v>RAW-MAT-INV</v>
      </c>
      <c r="G253" s="45">
        <v>0</v>
      </c>
      <c r="H253" s="3">
        <v>200</v>
      </c>
    </row>
    <row r="254" spans="1:8" s="44" customFormat="1">
      <c r="A254" s="214" t="str">
        <f t="shared" si="6"/>
        <v>I-038-WS-44</v>
      </c>
      <c r="B254" s="21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VLOOKUP(E254, 'S11 Work Stations'!$A$2:$B$45, 2, 0)</f>
        <v>FIN-GOOD-INV</v>
      </c>
      <c r="G254" s="45">
        <v>0</v>
      </c>
      <c r="H254" s="3">
        <v>200</v>
      </c>
    </row>
    <row r="255" spans="1:8" s="44" customFormat="1">
      <c r="A255" s="214" t="str">
        <f t="shared" si="6"/>
        <v>I-039-WS-06</v>
      </c>
      <c r="B255" s="21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VLOOKUP(E255, 'S11 Work Stations'!$A$2:$B$45, 2, 0)</f>
        <v>TUR-C1-366</v>
      </c>
      <c r="G255" s="45">
        <v>180</v>
      </c>
      <c r="H255" s="3">
        <v>200</v>
      </c>
    </row>
    <row r="256" spans="1:8" s="44" customFormat="1">
      <c r="A256" s="214" t="str">
        <f t="shared" si="6"/>
        <v>I-039-WS-31</v>
      </c>
      <c r="B256" s="21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VLOOKUP(E256, 'S11 Work Stations'!$A$2:$B$45, 2, 0)</f>
        <v>DR-3AW-207</v>
      </c>
      <c r="G256" s="45">
        <v>360</v>
      </c>
      <c r="H256" s="3">
        <v>200</v>
      </c>
    </row>
    <row r="257" spans="1:8" s="44" customFormat="1">
      <c r="A257" s="214" t="str">
        <f t="shared" si="6"/>
        <v>I-039-WS-33</v>
      </c>
      <c r="B257" s="21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VLOOKUP(E257, 'S11 Work Stations'!$A$2:$B$45, 2, 0)</f>
        <v>SAW-50-150-252</v>
      </c>
      <c r="G257" s="45">
        <v>180</v>
      </c>
      <c r="H257" s="3">
        <v>200</v>
      </c>
    </row>
    <row r="258" spans="1:8" s="44" customFormat="1">
      <c r="A258" s="214" t="str">
        <f t="shared" ref="A258:A321" si="8">C258&amp;"-"&amp;E258</f>
        <v>I-039-WS-38</v>
      </c>
      <c r="B258" s="214" t="str">
        <f t="shared" ref="B258:B321" si="9">C258&amp;"-"&amp;D258</f>
        <v>I-039-20</v>
      </c>
      <c r="C258" s="45" t="s">
        <v>538</v>
      </c>
      <c r="D258" s="45">
        <v>20</v>
      </c>
      <c r="E258" s="45" t="s">
        <v>611</v>
      </c>
      <c r="F258" s="42" t="str">
        <f>VLOOKUP(E258, 'S11 Work Stations'!$A$2:$B$45, 2, 0)</f>
        <v>SAW-150-423</v>
      </c>
      <c r="G258" s="45">
        <v>120</v>
      </c>
      <c r="H258" s="3">
        <v>200</v>
      </c>
    </row>
    <row r="259" spans="1:8" s="44" customFormat="1">
      <c r="A259" s="214" t="str">
        <f t="shared" si="8"/>
        <v>I-039-WS-43</v>
      </c>
      <c r="B259" s="214" t="str">
        <f t="shared" si="9"/>
        <v>I-039-10</v>
      </c>
      <c r="C259" s="45" t="s">
        <v>538</v>
      </c>
      <c r="D259" s="45">
        <v>10</v>
      </c>
      <c r="E259" s="45" t="s">
        <v>616</v>
      </c>
      <c r="F259" s="42" t="str">
        <f>VLOOKUP(E259, 'S11 Work Stations'!$A$2:$B$45, 2, 0)</f>
        <v>RAW-MAT-INV</v>
      </c>
      <c r="G259" s="45">
        <v>0</v>
      </c>
      <c r="H259" s="3">
        <v>200</v>
      </c>
    </row>
    <row r="260" spans="1:8" s="44" customFormat="1">
      <c r="A260" s="214" t="str">
        <f t="shared" si="8"/>
        <v>I-039-WS-44</v>
      </c>
      <c r="B260" s="21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VLOOKUP(E260, 'S11 Work Stations'!$A$2:$B$45, 2, 0)</f>
        <v>FIN-GOOD-INV</v>
      </c>
      <c r="G260" s="45">
        <v>0</v>
      </c>
      <c r="H260" s="3">
        <v>200</v>
      </c>
    </row>
    <row r="261" spans="1:8" s="44" customFormat="1">
      <c r="A261" s="214" t="str">
        <f t="shared" si="8"/>
        <v>I-040-WS-06</v>
      </c>
      <c r="B261" s="21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VLOOKUP(E261, 'S11 Work Stations'!$A$2:$B$45, 2, 0)</f>
        <v>TUR-C1-366</v>
      </c>
      <c r="G261" s="45">
        <v>240</v>
      </c>
      <c r="H261" s="3">
        <v>200</v>
      </c>
    </row>
    <row r="262" spans="1:8" s="44" customFormat="1">
      <c r="A262" s="214" t="str">
        <f t="shared" si="8"/>
        <v>I-040-WS-29</v>
      </c>
      <c r="B262" s="21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VLOOKUP(E262, 'S11 Work Stations'!$A$2:$B$45, 2, 0)</f>
        <v>GR-T11-250</v>
      </c>
      <c r="G262" s="45">
        <v>420</v>
      </c>
      <c r="H262" s="3">
        <v>200</v>
      </c>
    </row>
    <row r="263" spans="1:8" s="44" customFormat="1">
      <c r="A263" s="214" t="str">
        <f t="shared" si="8"/>
        <v>I-040-WS-33</v>
      </c>
      <c r="B263" s="21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VLOOKUP(E263, 'S11 Work Stations'!$A$2:$B$45, 2, 0)</f>
        <v>SAW-50-150-252</v>
      </c>
      <c r="G263" s="45">
        <v>180</v>
      </c>
      <c r="H263" s="3">
        <v>200</v>
      </c>
    </row>
    <row r="264" spans="1:8" s="44" customFormat="1">
      <c r="A264" s="214" t="str">
        <f t="shared" si="8"/>
        <v>I-040-WS-38</v>
      </c>
      <c r="B264" s="21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VLOOKUP(E264, 'S11 Work Stations'!$A$2:$B$45, 2, 0)</f>
        <v>SAW-150-423</v>
      </c>
      <c r="G264" s="45">
        <v>120</v>
      </c>
      <c r="H264" s="3">
        <v>200</v>
      </c>
    </row>
    <row r="265" spans="1:8" s="44" customFormat="1">
      <c r="A265" s="214" t="str">
        <f t="shared" si="8"/>
        <v>I-040-WS-43</v>
      </c>
      <c r="B265" s="21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VLOOKUP(E265, 'S11 Work Stations'!$A$2:$B$45, 2, 0)</f>
        <v>RAW-MAT-INV</v>
      </c>
      <c r="G265" s="45">
        <v>0</v>
      </c>
      <c r="H265" s="3">
        <v>200</v>
      </c>
    </row>
    <row r="266" spans="1:8" s="44" customFormat="1">
      <c r="A266" s="214" t="str">
        <f t="shared" si="8"/>
        <v>I-040-WS-44</v>
      </c>
      <c r="B266" s="21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VLOOKUP(E266, 'S11 Work Stations'!$A$2:$B$45, 2, 0)</f>
        <v>FIN-GOOD-INV</v>
      </c>
      <c r="G266" s="45">
        <v>0</v>
      </c>
      <c r="H266" s="3">
        <v>200</v>
      </c>
    </row>
    <row r="267" spans="1:8" s="44" customFormat="1">
      <c r="A267" s="214" t="str">
        <f t="shared" si="8"/>
        <v>I-041-WS-06</v>
      </c>
      <c r="B267" s="21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VLOOKUP(E267, 'S11 Work Stations'!$A$2:$B$45, 2, 0)</f>
        <v>TUR-C1-366</v>
      </c>
      <c r="G267" s="45">
        <v>180</v>
      </c>
      <c r="H267" s="3">
        <v>200</v>
      </c>
    </row>
    <row r="268" spans="1:8" s="44" customFormat="1">
      <c r="A268" s="214" t="str">
        <f t="shared" si="8"/>
        <v>I-041-WS-31</v>
      </c>
      <c r="B268" s="21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VLOOKUP(E268, 'S11 Work Stations'!$A$2:$B$45, 2, 0)</f>
        <v>DR-3AW-207</v>
      </c>
      <c r="G268" s="45">
        <v>300</v>
      </c>
      <c r="H268" s="3">
        <v>200</v>
      </c>
    </row>
    <row r="269" spans="1:8" s="44" customFormat="1">
      <c r="A269" s="214" t="str">
        <f t="shared" si="8"/>
        <v>I-041-WS-33</v>
      </c>
      <c r="B269" s="21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VLOOKUP(E269, 'S11 Work Stations'!$A$2:$B$45, 2, 0)</f>
        <v>SAW-50-150-252</v>
      </c>
      <c r="G269" s="45">
        <v>180</v>
      </c>
      <c r="H269" s="3">
        <v>200</v>
      </c>
    </row>
    <row r="270" spans="1:8" s="44" customFormat="1">
      <c r="A270" s="214" t="str">
        <f t="shared" si="8"/>
        <v>I-041-WS-38</v>
      </c>
      <c r="B270" s="21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VLOOKUP(E270, 'S11 Work Stations'!$A$2:$B$45, 2, 0)</f>
        <v>SAW-150-423</v>
      </c>
      <c r="G270" s="45">
        <v>120</v>
      </c>
      <c r="H270" s="3">
        <v>200</v>
      </c>
    </row>
    <row r="271" spans="1:8" s="44" customFormat="1">
      <c r="A271" s="214" t="str">
        <f t="shared" si="8"/>
        <v>I-041-WS-43</v>
      </c>
      <c r="B271" s="21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VLOOKUP(E271, 'S11 Work Stations'!$A$2:$B$45, 2, 0)</f>
        <v>RAW-MAT-INV</v>
      </c>
      <c r="G271" s="45">
        <v>0</v>
      </c>
      <c r="H271" s="3">
        <v>200</v>
      </c>
    </row>
    <row r="272" spans="1:8" s="44" customFormat="1">
      <c r="A272" s="214" t="str">
        <f t="shared" si="8"/>
        <v>I-041-WS-44</v>
      </c>
      <c r="B272" s="21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VLOOKUP(E272, 'S11 Work Stations'!$A$2:$B$45, 2, 0)</f>
        <v>FIN-GOOD-INV</v>
      </c>
      <c r="G272" s="45">
        <v>0</v>
      </c>
      <c r="H272" s="3">
        <v>200</v>
      </c>
    </row>
    <row r="273" spans="1:8" s="44" customFormat="1">
      <c r="A273" s="214" t="str">
        <f t="shared" si="8"/>
        <v>I-042-WS-06</v>
      </c>
      <c r="B273" s="21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VLOOKUP(E273, 'S11 Work Stations'!$A$2:$B$45, 2, 0)</f>
        <v>TUR-C1-366</v>
      </c>
      <c r="G273" s="45">
        <v>180</v>
      </c>
      <c r="H273" s="3">
        <v>200</v>
      </c>
    </row>
    <row r="274" spans="1:8" s="44" customFormat="1">
      <c r="A274" s="214" t="str">
        <f t="shared" si="8"/>
        <v>I-042-WS-26</v>
      </c>
      <c r="B274" s="21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VLOOKUP(E274, 'S11 Work Stations'!$A$2:$B$45, 2, 0)</f>
        <v>DR-2A2-202</v>
      </c>
      <c r="G274" s="45">
        <v>240</v>
      </c>
      <c r="H274" s="3">
        <v>200</v>
      </c>
    </row>
    <row r="275" spans="1:8" s="44" customFormat="1">
      <c r="A275" s="214" t="str">
        <f t="shared" si="8"/>
        <v>I-042-WS-33</v>
      </c>
      <c r="B275" s="21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VLOOKUP(E275, 'S11 Work Stations'!$A$2:$B$45, 2, 0)</f>
        <v>SAW-50-150-252</v>
      </c>
      <c r="G275" s="45">
        <v>180</v>
      </c>
      <c r="H275" s="3">
        <v>200</v>
      </c>
    </row>
    <row r="276" spans="1:8" s="44" customFormat="1">
      <c r="A276" s="214" t="str">
        <f t="shared" si="8"/>
        <v>I-042-WS-38</v>
      </c>
      <c r="B276" s="21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VLOOKUP(E276, 'S11 Work Stations'!$A$2:$B$45, 2, 0)</f>
        <v>SAW-150-423</v>
      </c>
      <c r="G276" s="45">
        <v>120</v>
      </c>
      <c r="H276" s="3">
        <v>200</v>
      </c>
    </row>
    <row r="277" spans="1:8" s="44" customFormat="1">
      <c r="A277" s="214" t="str">
        <f t="shared" si="8"/>
        <v>I-042-WS-43</v>
      </c>
      <c r="B277" s="21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VLOOKUP(E277, 'S11 Work Stations'!$A$2:$B$45, 2, 0)</f>
        <v>RAW-MAT-INV</v>
      </c>
      <c r="G277" s="45">
        <v>0</v>
      </c>
      <c r="H277" s="3">
        <v>200</v>
      </c>
    </row>
    <row r="278" spans="1:8" s="44" customFormat="1">
      <c r="A278" s="214" t="str">
        <f t="shared" si="8"/>
        <v>I-042-WS-44</v>
      </c>
      <c r="B278" s="21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VLOOKUP(E278, 'S11 Work Stations'!$A$2:$B$45, 2, 0)</f>
        <v>FIN-GOOD-INV</v>
      </c>
      <c r="G278" s="45">
        <v>0</v>
      </c>
      <c r="H278" s="3">
        <v>200</v>
      </c>
    </row>
    <row r="279" spans="1:8" s="44" customFormat="1">
      <c r="A279" s="214" t="str">
        <f t="shared" si="8"/>
        <v>I-043-WS-06</v>
      </c>
      <c r="B279" s="21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VLOOKUP(E279, 'S11 Work Stations'!$A$2:$B$45, 2, 0)</f>
        <v>TUR-C1-366</v>
      </c>
      <c r="G279" s="45">
        <v>240</v>
      </c>
      <c r="H279" s="3">
        <v>200</v>
      </c>
    </row>
    <row r="280" spans="1:8" s="44" customFormat="1">
      <c r="A280" s="214" t="str">
        <f t="shared" si="8"/>
        <v>I-043-WS-07</v>
      </c>
      <c r="B280" s="21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VLOOKUP(E280, 'S11 Work Stations'!$A$2:$B$45, 2, 0)</f>
        <v>TUR-C2-367</v>
      </c>
      <c r="G280" s="45">
        <v>240</v>
      </c>
      <c r="H280" s="3">
        <v>200</v>
      </c>
    </row>
    <row r="281" spans="1:8" s="44" customFormat="1">
      <c r="A281" s="214" t="str">
        <f t="shared" si="8"/>
        <v>I-043-WS-21</v>
      </c>
      <c r="B281" s="21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VLOOKUP(E281, 'S11 Work Stations'!$A$2:$B$45, 2, 0)</f>
        <v>MIL-U1-605</v>
      </c>
      <c r="G281" s="45">
        <v>240</v>
      </c>
      <c r="H281" s="3">
        <v>200</v>
      </c>
    </row>
    <row r="282" spans="1:8" s="44" customFormat="1">
      <c r="A282" s="214" t="str">
        <f t="shared" si="8"/>
        <v>I-043-WS-27</v>
      </c>
      <c r="B282" s="21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VLOOKUP(E282, 'S11 Work Stations'!$A$2:$B$45, 2, 0)</f>
        <v>GR-T1-203</v>
      </c>
      <c r="G282" s="45">
        <v>240</v>
      </c>
      <c r="H282" s="3">
        <v>200</v>
      </c>
    </row>
    <row r="283" spans="1:8" s="44" customFormat="1">
      <c r="A283" s="214" t="str">
        <f t="shared" si="8"/>
        <v>I-043-WS-28</v>
      </c>
      <c r="B283" s="21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VLOOKUP(E283, 'S11 Work Stations'!$A$2:$B$45, 2, 0)</f>
        <v>DR-T3-204</v>
      </c>
      <c r="G283" s="45">
        <v>120</v>
      </c>
      <c r="H283" s="3">
        <v>200</v>
      </c>
    </row>
    <row r="284" spans="1:8" s="44" customFormat="1">
      <c r="A284" s="214" t="str">
        <f t="shared" si="8"/>
        <v>I-043-WS-32</v>
      </c>
      <c r="B284" s="21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VLOOKUP(E284, 'S11 Work Stations'!$A$2:$B$45, 2, 0)</f>
        <v>SAW-30-150-251</v>
      </c>
      <c r="G284" s="45">
        <v>180</v>
      </c>
      <c r="H284" s="3">
        <v>200</v>
      </c>
    </row>
    <row r="285" spans="1:8" s="44" customFormat="1">
      <c r="A285" s="214" t="str">
        <f t="shared" si="8"/>
        <v>I-043-WS-38</v>
      </c>
      <c r="B285" s="21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VLOOKUP(E285, 'S11 Work Stations'!$A$2:$B$45, 2, 0)</f>
        <v>SAW-150-423</v>
      </c>
      <c r="G285" s="45">
        <v>120</v>
      </c>
      <c r="H285" s="3">
        <v>200</v>
      </c>
    </row>
    <row r="286" spans="1:8" s="44" customFormat="1">
      <c r="A286" s="214" t="str">
        <f t="shared" si="8"/>
        <v>I-043-WS-43</v>
      </c>
      <c r="B286" s="21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VLOOKUP(E286, 'S11 Work Stations'!$A$2:$B$45, 2, 0)</f>
        <v>RAW-MAT-INV</v>
      </c>
      <c r="G286" s="45">
        <v>0</v>
      </c>
      <c r="H286" s="3">
        <v>200</v>
      </c>
    </row>
    <row r="287" spans="1:8" s="44" customFormat="1">
      <c r="A287" s="214" t="str">
        <f t="shared" si="8"/>
        <v>I-043-WS-44</v>
      </c>
      <c r="B287" s="21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VLOOKUP(E287, 'S11 Work Stations'!$A$2:$B$45, 2, 0)</f>
        <v>FIN-GOOD-INV</v>
      </c>
      <c r="G287" s="45">
        <v>0</v>
      </c>
      <c r="H287" s="3">
        <v>200</v>
      </c>
    </row>
    <row r="288" spans="1:8" s="44" customFormat="1">
      <c r="A288" s="214" t="str">
        <f t="shared" si="8"/>
        <v>I-044-WS-06</v>
      </c>
      <c r="B288" s="21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VLOOKUP(E288, 'S11 Work Stations'!$A$2:$B$45, 2, 0)</f>
        <v>TUR-C1-366</v>
      </c>
      <c r="G288" s="45">
        <v>240</v>
      </c>
      <c r="H288" s="3">
        <v>200</v>
      </c>
    </row>
    <row r="289" spans="1:8" s="44" customFormat="1">
      <c r="A289" s="214" t="str">
        <f t="shared" si="8"/>
        <v>I-044-WS-26</v>
      </c>
      <c r="B289" s="21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VLOOKUP(E289, 'S11 Work Stations'!$A$2:$B$45, 2, 0)</f>
        <v>DR-2A2-202</v>
      </c>
      <c r="G289" s="45">
        <v>240</v>
      </c>
      <c r="H289" s="3">
        <v>200</v>
      </c>
    </row>
    <row r="290" spans="1:8" s="44" customFormat="1">
      <c r="A290" s="214" t="str">
        <f t="shared" si="8"/>
        <v>I-044-WS-34</v>
      </c>
      <c r="B290" s="21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VLOOKUP(E290, 'S11 Work Stations'!$A$2:$B$45, 2, 0)</f>
        <v>SAW-30-160-252</v>
      </c>
      <c r="G290" s="45">
        <v>180</v>
      </c>
      <c r="H290" s="3">
        <v>200</v>
      </c>
    </row>
    <row r="291" spans="1:8" s="44" customFormat="1">
      <c r="A291" s="214" t="str">
        <f t="shared" si="8"/>
        <v>I-044-WS-38</v>
      </c>
      <c r="B291" s="21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VLOOKUP(E291, 'S11 Work Stations'!$A$2:$B$45, 2, 0)</f>
        <v>SAW-150-423</v>
      </c>
      <c r="G291" s="45">
        <v>120</v>
      </c>
      <c r="H291" s="3">
        <v>200</v>
      </c>
    </row>
    <row r="292" spans="1:8" s="44" customFormat="1">
      <c r="A292" s="214" t="str">
        <f t="shared" si="8"/>
        <v>I-044-WS-43</v>
      </c>
      <c r="B292" s="21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VLOOKUP(E292, 'S11 Work Stations'!$A$2:$B$45, 2, 0)</f>
        <v>RAW-MAT-INV</v>
      </c>
      <c r="G292" s="45">
        <v>0</v>
      </c>
      <c r="H292" s="3">
        <v>200</v>
      </c>
    </row>
    <row r="293" spans="1:8" s="44" customFormat="1">
      <c r="A293" s="214" t="str">
        <f t="shared" si="8"/>
        <v>I-044-WS-44</v>
      </c>
      <c r="B293" s="21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VLOOKUP(E293, 'S11 Work Stations'!$A$2:$B$45, 2, 0)</f>
        <v>FIN-GOOD-INV</v>
      </c>
      <c r="G293" s="45">
        <v>0</v>
      </c>
      <c r="H293" s="3">
        <v>200</v>
      </c>
    </row>
    <row r="294" spans="1:8" s="44" customFormat="1">
      <c r="A294" s="214" t="str">
        <f t="shared" si="8"/>
        <v>I-045-WS-06</v>
      </c>
      <c r="B294" s="21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VLOOKUP(E294, 'S11 Work Stations'!$A$2:$B$45, 2, 0)</f>
        <v>TUR-C1-366</v>
      </c>
      <c r="G294" s="45">
        <v>540</v>
      </c>
      <c r="H294" s="3">
        <v>200</v>
      </c>
    </row>
    <row r="295" spans="1:8" s="44" customFormat="1">
      <c r="A295" s="214" t="str">
        <f t="shared" si="8"/>
        <v>I-045-WS-26</v>
      </c>
      <c r="B295" s="21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VLOOKUP(E295, 'S11 Work Stations'!$A$2:$B$45, 2, 0)</f>
        <v>DR-2A2-202</v>
      </c>
      <c r="G295" s="45">
        <v>180</v>
      </c>
      <c r="H295" s="3">
        <v>200</v>
      </c>
    </row>
    <row r="296" spans="1:8" s="44" customFormat="1">
      <c r="A296" s="214" t="str">
        <f t="shared" si="8"/>
        <v>I-045-WS-34</v>
      </c>
      <c r="B296" s="21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VLOOKUP(E296, 'S11 Work Stations'!$A$2:$B$45, 2, 0)</f>
        <v>SAW-30-160-252</v>
      </c>
      <c r="G296" s="45">
        <v>180</v>
      </c>
      <c r="H296" s="3">
        <v>200</v>
      </c>
    </row>
    <row r="297" spans="1:8" s="44" customFormat="1">
      <c r="A297" s="214" t="str">
        <f t="shared" si="8"/>
        <v>I-045-WS-38</v>
      </c>
      <c r="B297" s="21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VLOOKUP(E297, 'S11 Work Stations'!$A$2:$B$45, 2, 0)</f>
        <v>SAW-150-423</v>
      </c>
      <c r="G297" s="45">
        <v>120</v>
      </c>
      <c r="H297" s="3">
        <v>200</v>
      </c>
    </row>
    <row r="298" spans="1:8" s="44" customFormat="1">
      <c r="A298" s="214" t="str">
        <f t="shared" si="8"/>
        <v>I-045-WS-43</v>
      </c>
      <c r="B298" s="21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VLOOKUP(E298, 'S11 Work Stations'!$A$2:$B$45, 2, 0)</f>
        <v>RAW-MAT-INV</v>
      </c>
      <c r="G298" s="45">
        <v>0</v>
      </c>
      <c r="H298" s="3">
        <v>200</v>
      </c>
    </row>
    <row r="299" spans="1:8" s="44" customFormat="1">
      <c r="A299" s="214" t="str">
        <f t="shared" si="8"/>
        <v>I-045-WS-44</v>
      </c>
      <c r="B299" s="21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VLOOKUP(E299, 'S11 Work Stations'!$A$2:$B$45, 2, 0)</f>
        <v>FIN-GOOD-INV</v>
      </c>
      <c r="G299" s="45">
        <v>0</v>
      </c>
      <c r="H299" s="3">
        <v>200</v>
      </c>
    </row>
    <row r="300" spans="1:8" s="44" customFormat="1">
      <c r="A300" s="214" t="str">
        <f t="shared" si="8"/>
        <v>I-046-WS-06</v>
      </c>
      <c r="B300" s="21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VLOOKUP(E300, 'S11 Work Stations'!$A$2:$B$45, 2, 0)</f>
        <v>TUR-C1-366</v>
      </c>
      <c r="G300" s="45">
        <v>480</v>
      </c>
      <c r="H300" s="3">
        <v>200</v>
      </c>
    </row>
    <row r="301" spans="1:8" s="44" customFormat="1">
      <c r="A301" s="214" t="str">
        <f t="shared" si="8"/>
        <v>I-046-WS-26</v>
      </c>
      <c r="B301" s="21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VLOOKUP(E301, 'S11 Work Stations'!$A$2:$B$45, 2, 0)</f>
        <v>DR-2A2-202</v>
      </c>
      <c r="G301" s="45">
        <v>180</v>
      </c>
      <c r="H301" s="3">
        <v>200</v>
      </c>
    </row>
    <row r="302" spans="1:8" s="44" customFormat="1">
      <c r="A302" s="214" t="str">
        <f t="shared" si="8"/>
        <v>I-046-WS-34</v>
      </c>
      <c r="B302" s="21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VLOOKUP(E302, 'S11 Work Stations'!$A$2:$B$45, 2, 0)</f>
        <v>SAW-30-160-252</v>
      </c>
      <c r="G302" s="45">
        <v>180</v>
      </c>
      <c r="H302" s="3">
        <v>200</v>
      </c>
    </row>
    <row r="303" spans="1:8" s="44" customFormat="1">
      <c r="A303" s="214" t="str">
        <f t="shared" si="8"/>
        <v>I-046-WS-39</v>
      </c>
      <c r="B303" s="21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VLOOKUP(E303, 'S11 Work Stations'!$A$2:$B$45, 2, 0)</f>
        <v>SAW-400-424</v>
      </c>
      <c r="G303" s="45">
        <v>120</v>
      </c>
      <c r="H303" s="3">
        <v>200</v>
      </c>
    </row>
    <row r="304" spans="1:8" s="44" customFormat="1">
      <c r="A304" s="214" t="str">
        <f t="shared" si="8"/>
        <v>I-046-WS-43</v>
      </c>
      <c r="B304" s="21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VLOOKUP(E304, 'S11 Work Stations'!$A$2:$B$45, 2, 0)</f>
        <v>RAW-MAT-INV</v>
      </c>
      <c r="G304" s="45">
        <v>0</v>
      </c>
      <c r="H304" s="3">
        <v>200</v>
      </c>
    </row>
    <row r="305" spans="1:8" s="44" customFormat="1">
      <c r="A305" s="214" t="str">
        <f t="shared" si="8"/>
        <v>I-046-WS-44</v>
      </c>
      <c r="B305" s="21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VLOOKUP(E305, 'S11 Work Stations'!$A$2:$B$45, 2, 0)</f>
        <v>FIN-GOOD-INV</v>
      </c>
      <c r="G305" s="45">
        <v>0</v>
      </c>
      <c r="H305" s="3">
        <v>200</v>
      </c>
    </row>
    <row r="306" spans="1:8" s="44" customFormat="1">
      <c r="A306" s="214" t="str">
        <f t="shared" si="8"/>
        <v>I-047-WS-06</v>
      </c>
      <c r="B306" s="21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VLOOKUP(E306, 'S11 Work Stations'!$A$2:$B$45, 2, 0)</f>
        <v>TUR-C1-366</v>
      </c>
      <c r="G306" s="45">
        <v>480</v>
      </c>
      <c r="H306" s="3">
        <v>200</v>
      </c>
    </row>
    <row r="307" spans="1:8" s="44" customFormat="1">
      <c r="A307" s="214" t="str">
        <f t="shared" si="8"/>
        <v>I-047-WS-23</v>
      </c>
      <c r="B307" s="21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VLOOKUP(E307, 'S11 Work Stations'!$A$2:$B$45, 2, 0)</f>
        <v>MIL-U2-607</v>
      </c>
      <c r="G307" s="45">
        <v>180</v>
      </c>
      <c r="H307" s="3">
        <v>200</v>
      </c>
    </row>
    <row r="308" spans="1:8" s="44" customFormat="1">
      <c r="A308" s="214" t="str">
        <f t="shared" si="8"/>
        <v>I-047-WS-26</v>
      </c>
      <c r="B308" s="21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VLOOKUP(E308, 'S11 Work Stations'!$A$2:$B$45, 2, 0)</f>
        <v>DR-2A2-202</v>
      </c>
      <c r="G308" s="45">
        <v>120</v>
      </c>
      <c r="H308" s="3">
        <v>200</v>
      </c>
    </row>
    <row r="309" spans="1:8" s="44" customFormat="1">
      <c r="A309" s="214" t="str">
        <f t="shared" si="8"/>
        <v>I-047-WS-33</v>
      </c>
      <c r="B309" s="21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VLOOKUP(E309, 'S11 Work Stations'!$A$2:$B$45, 2, 0)</f>
        <v>SAW-50-150-252</v>
      </c>
      <c r="G309" s="45">
        <v>360</v>
      </c>
      <c r="H309" s="3">
        <v>200</v>
      </c>
    </row>
    <row r="310" spans="1:8" s="44" customFormat="1">
      <c r="A310" s="214" t="str">
        <f t="shared" si="8"/>
        <v>I-047-WS-39</v>
      </c>
      <c r="B310" s="21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VLOOKUP(E310, 'S11 Work Stations'!$A$2:$B$45, 2, 0)</f>
        <v>SAW-400-424</v>
      </c>
      <c r="G310" s="45">
        <v>120</v>
      </c>
      <c r="H310" s="3">
        <v>200</v>
      </c>
    </row>
    <row r="311" spans="1:8" s="44" customFormat="1">
      <c r="A311" s="214" t="str">
        <f t="shared" si="8"/>
        <v>I-047-WS-43</v>
      </c>
      <c r="B311" s="21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VLOOKUP(E311, 'S11 Work Stations'!$A$2:$B$45, 2, 0)</f>
        <v>RAW-MAT-INV</v>
      </c>
      <c r="G311" s="45">
        <v>0</v>
      </c>
      <c r="H311" s="3">
        <v>200</v>
      </c>
    </row>
    <row r="312" spans="1:8" s="44" customFormat="1">
      <c r="A312" s="214" t="str">
        <f t="shared" si="8"/>
        <v>I-047-WS-44</v>
      </c>
      <c r="B312" s="21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VLOOKUP(E312, 'S11 Work Stations'!$A$2:$B$45, 2, 0)</f>
        <v>FIN-GOOD-INV</v>
      </c>
      <c r="G312" s="45">
        <v>0</v>
      </c>
      <c r="H312" s="3">
        <v>200</v>
      </c>
    </row>
    <row r="313" spans="1:8" s="44" customFormat="1">
      <c r="A313" s="214" t="str">
        <f t="shared" si="8"/>
        <v>I-048-WS-06</v>
      </c>
      <c r="B313" s="21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VLOOKUP(E313, 'S11 Work Stations'!$A$2:$B$45, 2, 0)</f>
        <v>TUR-C1-366</v>
      </c>
      <c r="G313" s="45">
        <v>360</v>
      </c>
      <c r="H313" s="3">
        <v>200</v>
      </c>
    </row>
    <row r="314" spans="1:8" s="44" customFormat="1">
      <c r="A314" s="214" t="str">
        <f t="shared" si="8"/>
        <v>I-048-WS-25</v>
      </c>
      <c r="B314" s="21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VLOOKUP(E314, 'S11 Work Stations'!$A$2:$B$45, 2, 0)</f>
        <v>DR-2A-201</v>
      </c>
      <c r="G314" s="45">
        <v>1440</v>
      </c>
      <c r="H314" s="3">
        <v>200</v>
      </c>
    </row>
    <row r="315" spans="1:8" s="44" customFormat="1">
      <c r="A315" s="214" t="str">
        <f t="shared" si="8"/>
        <v>I-048-WS-30</v>
      </c>
      <c r="B315" s="21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VLOOKUP(E315, 'S11 Work Stations'!$A$2:$B$45, 2, 0)</f>
        <v>DR-3A-206</v>
      </c>
      <c r="G315" s="45">
        <v>300</v>
      </c>
      <c r="H315" s="3">
        <v>200</v>
      </c>
    </row>
    <row r="316" spans="1:8" s="44" customFormat="1">
      <c r="A316" s="214" t="str">
        <f t="shared" si="8"/>
        <v>I-048-WS-33</v>
      </c>
      <c r="B316" s="21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VLOOKUP(E316, 'S11 Work Stations'!$A$2:$B$45, 2, 0)</f>
        <v>SAW-50-150-252</v>
      </c>
      <c r="G316" s="45">
        <v>420</v>
      </c>
      <c r="H316" s="3">
        <v>200</v>
      </c>
    </row>
    <row r="317" spans="1:8" s="44" customFormat="1">
      <c r="A317" s="214" t="str">
        <f t="shared" si="8"/>
        <v>I-048-WS-39</v>
      </c>
      <c r="B317" s="21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VLOOKUP(E317, 'S11 Work Stations'!$A$2:$B$45, 2, 0)</f>
        <v>SAW-400-424</v>
      </c>
      <c r="G317" s="45">
        <v>120</v>
      </c>
      <c r="H317" s="3">
        <v>200</v>
      </c>
    </row>
    <row r="318" spans="1:8" s="44" customFormat="1">
      <c r="A318" s="214" t="str">
        <f t="shared" si="8"/>
        <v>I-048-WS-43</v>
      </c>
      <c r="B318" s="21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VLOOKUP(E318, 'S11 Work Stations'!$A$2:$B$45, 2, 0)</f>
        <v>RAW-MAT-INV</v>
      </c>
      <c r="G318" s="45">
        <v>0</v>
      </c>
      <c r="H318" s="3">
        <v>200</v>
      </c>
    </row>
    <row r="319" spans="1:8" s="44" customFormat="1">
      <c r="A319" s="214" t="str">
        <f t="shared" si="8"/>
        <v>I-048-WS-44</v>
      </c>
      <c r="B319" s="21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VLOOKUP(E319, 'S11 Work Stations'!$A$2:$B$45, 2, 0)</f>
        <v>FIN-GOOD-INV</v>
      </c>
      <c r="G319" s="45">
        <v>0</v>
      </c>
      <c r="H319" s="3">
        <v>200</v>
      </c>
    </row>
    <row r="320" spans="1:8" s="44" customFormat="1">
      <c r="A320" s="214" t="str">
        <f t="shared" si="8"/>
        <v>I-049-WS-06</v>
      </c>
      <c r="B320" s="21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VLOOKUP(E320, 'S11 Work Stations'!$A$2:$B$45, 2, 0)</f>
        <v>TUR-C1-366</v>
      </c>
      <c r="G320" s="45">
        <v>360</v>
      </c>
      <c r="H320" s="3">
        <v>200</v>
      </c>
    </row>
    <row r="321" spans="1:8" s="44" customFormat="1">
      <c r="A321" s="214" t="str">
        <f t="shared" si="8"/>
        <v>I-049-WS-23</v>
      </c>
      <c r="B321" s="21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VLOOKUP(E321, 'S11 Work Stations'!$A$2:$B$45, 2, 0)</f>
        <v>MIL-U2-607</v>
      </c>
      <c r="G321" s="45">
        <v>180</v>
      </c>
      <c r="H321" s="3">
        <v>200</v>
      </c>
    </row>
    <row r="322" spans="1:8" s="44" customFormat="1">
      <c r="A322" s="214" t="str">
        <f t="shared" ref="A322:A385" si="10">C322&amp;"-"&amp;E322</f>
        <v>I-049-WS-30</v>
      </c>
      <c r="B322" s="214" t="str">
        <f t="shared" ref="B322:B385" si="11">C322&amp;"-"&amp;D322</f>
        <v>I-049-40</v>
      </c>
      <c r="C322" s="45" t="s">
        <v>545</v>
      </c>
      <c r="D322" s="45">
        <v>40</v>
      </c>
      <c r="E322" s="45" t="s">
        <v>603</v>
      </c>
      <c r="F322" s="42" t="str">
        <f>VLOOKUP(E322, 'S11 Work Stations'!$A$2:$B$45, 2, 0)</f>
        <v>DR-3A-206</v>
      </c>
      <c r="G322" s="45">
        <v>300</v>
      </c>
      <c r="H322" s="3">
        <v>200</v>
      </c>
    </row>
    <row r="323" spans="1:8" s="44" customFormat="1">
      <c r="A323" s="214" t="str">
        <f t="shared" si="10"/>
        <v>I-049-WS-35</v>
      </c>
      <c r="B323" s="214" t="str">
        <f t="shared" si="11"/>
        <v>I-049-50</v>
      </c>
      <c r="C323" s="45" t="s">
        <v>545</v>
      </c>
      <c r="D323" s="45">
        <v>50</v>
      </c>
      <c r="E323" s="45" t="s">
        <v>608</v>
      </c>
      <c r="F323" s="42" t="str">
        <f>VLOOKUP(E323, 'S11 Work Stations'!$A$2:$B$45, 2, 0)</f>
        <v>SAW-35-100-254</v>
      </c>
      <c r="G323" s="45">
        <v>480</v>
      </c>
      <c r="H323" s="3">
        <v>200</v>
      </c>
    </row>
    <row r="324" spans="1:8" s="44" customFormat="1">
      <c r="A324" s="214" t="str">
        <f t="shared" si="10"/>
        <v>I-049-WS-39</v>
      </c>
      <c r="B324" s="21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VLOOKUP(E324, 'S11 Work Stations'!$A$2:$B$45, 2, 0)</f>
        <v>SAW-400-424</v>
      </c>
      <c r="G324" s="45">
        <v>120</v>
      </c>
      <c r="H324" s="3">
        <v>200</v>
      </c>
    </row>
    <row r="325" spans="1:8" s="44" customFormat="1">
      <c r="A325" s="214" t="str">
        <f t="shared" si="10"/>
        <v>I-049-WS-43</v>
      </c>
      <c r="B325" s="21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VLOOKUP(E325, 'S11 Work Stations'!$A$2:$B$45, 2, 0)</f>
        <v>RAW-MAT-INV</v>
      </c>
      <c r="G325" s="45">
        <v>0</v>
      </c>
      <c r="H325" s="3">
        <v>200</v>
      </c>
    </row>
    <row r="326" spans="1:8" s="44" customFormat="1">
      <c r="A326" s="214" t="str">
        <f t="shared" si="10"/>
        <v>I-049-WS-44</v>
      </c>
      <c r="B326" s="21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VLOOKUP(E326, 'S11 Work Stations'!$A$2:$B$45, 2, 0)</f>
        <v>FIN-GOOD-INV</v>
      </c>
      <c r="G326" s="45">
        <v>0</v>
      </c>
      <c r="H326" s="3">
        <v>200</v>
      </c>
    </row>
    <row r="327" spans="1:8" s="44" customFormat="1">
      <c r="A327" s="214" t="str">
        <f t="shared" si="10"/>
        <v>I-050-WS-07</v>
      </c>
      <c r="B327" s="21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VLOOKUP(E327, 'S11 Work Stations'!$A$2:$B$45, 2, 0)</f>
        <v>TUR-C2-367</v>
      </c>
      <c r="G327" s="45">
        <v>300</v>
      </c>
      <c r="H327" s="3">
        <v>200</v>
      </c>
    </row>
    <row r="328" spans="1:8" s="44" customFormat="1">
      <c r="A328" s="214" t="str">
        <f t="shared" si="10"/>
        <v>I-050-WS-25</v>
      </c>
      <c r="B328" s="21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VLOOKUP(E328, 'S11 Work Stations'!$A$2:$B$45, 2, 0)</f>
        <v>DR-2A-201</v>
      </c>
      <c r="G328" s="45">
        <v>420</v>
      </c>
      <c r="H328" s="3">
        <v>200</v>
      </c>
    </row>
    <row r="329" spans="1:8" s="44" customFormat="1">
      <c r="A329" s="214" t="str">
        <f t="shared" si="10"/>
        <v>I-050-WS-30</v>
      </c>
      <c r="B329" s="21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VLOOKUP(E329, 'S11 Work Stations'!$A$2:$B$45, 2, 0)</f>
        <v>DR-3A-206</v>
      </c>
      <c r="G329" s="45">
        <v>300</v>
      </c>
      <c r="H329" s="3">
        <v>200</v>
      </c>
    </row>
    <row r="330" spans="1:8" s="44" customFormat="1">
      <c r="A330" s="214" t="str">
        <f t="shared" si="10"/>
        <v>I-050-WS-35</v>
      </c>
      <c r="B330" s="21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VLOOKUP(E330, 'S11 Work Stations'!$A$2:$B$45, 2, 0)</f>
        <v>SAW-35-100-254</v>
      </c>
      <c r="G330" s="45">
        <v>180</v>
      </c>
      <c r="H330" s="3">
        <v>200</v>
      </c>
    </row>
    <row r="331" spans="1:8" s="44" customFormat="1">
      <c r="A331" s="214" t="str">
        <f t="shared" si="10"/>
        <v>I-050-WS-39</v>
      </c>
      <c r="B331" s="21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VLOOKUP(E331, 'S11 Work Stations'!$A$2:$B$45, 2, 0)</f>
        <v>SAW-400-424</v>
      </c>
      <c r="G331" s="45">
        <v>120</v>
      </c>
      <c r="H331" s="3">
        <v>200</v>
      </c>
    </row>
    <row r="332" spans="1:8" s="44" customFormat="1">
      <c r="A332" s="214" t="str">
        <f t="shared" si="10"/>
        <v>I-050-WS-43</v>
      </c>
      <c r="B332" s="21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VLOOKUP(E332, 'S11 Work Stations'!$A$2:$B$45, 2, 0)</f>
        <v>RAW-MAT-INV</v>
      </c>
      <c r="G332" s="45">
        <v>0</v>
      </c>
      <c r="H332" s="3">
        <v>200</v>
      </c>
    </row>
    <row r="333" spans="1:8" s="44" customFormat="1">
      <c r="A333" s="214" t="str">
        <f t="shared" si="10"/>
        <v>I-050-WS-44</v>
      </c>
      <c r="B333" s="21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VLOOKUP(E333, 'S11 Work Stations'!$A$2:$B$45, 2, 0)</f>
        <v>FIN-GOOD-INV</v>
      </c>
      <c r="G333" s="45">
        <v>0</v>
      </c>
      <c r="H333" s="3">
        <v>200</v>
      </c>
    </row>
    <row r="334" spans="1:8" s="44" customFormat="1">
      <c r="A334" s="214" t="str">
        <f t="shared" si="10"/>
        <v>I-051-WS-07</v>
      </c>
      <c r="B334" s="21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VLOOKUP(E334, 'S11 Work Stations'!$A$2:$B$45, 2, 0)</f>
        <v>TUR-C2-367</v>
      </c>
      <c r="G334" s="45">
        <v>420</v>
      </c>
      <c r="H334" s="3">
        <v>200</v>
      </c>
    </row>
    <row r="335" spans="1:8" s="44" customFormat="1">
      <c r="A335" s="214" t="str">
        <f t="shared" si="10"/>
        <v>I-051-WS-40</v>
      </c>
      <c r="B335" s="21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VLOOKUP(E335, 'S11 Work Stations'!$A$2:$B$45, 2, 0)</f>
        <v>SAW-CNC-40-425</v>
      </c>
      <c r="G335" s="45">
        <v>120</v>
      </c>
      <c r="H335" s="3">
        <v>200</v>
      </c>
    </row>
    <row r="336" spans="1:8" s="44" customFormat="1">
      <c r="A336" s="214" t="str">
        <f t="shared" si="10"/>
        <v>I-051-WS-43</v>
      </c>
      <c r="B336" s="21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VLOOKUP(E336, 'S11 Work Stations'!$A$2:$B$45, 2, 0)</f>
        <v>RAW-MAT-INV</v>
      </c>
      <c r="G336" s="45">
        <v>0</v>
      </c>
      <c r="H336" s="3">
        <v>200</v>
      </c>
    </row>
    <row r="337" spans="1:8" s="44" customFormat="1">
      <c r="A337" s="214" t="str">
        <f t="shared" si="10"/>
        <v>I-051-WS-44</v>
      </c>
      <c r="B337" s="21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VLOOKUP(E337, 'S11 Work Stations'!$A$2:$B$45, 2, 0)</f>
        <v>FIN-GOOD-INV</v>
      </c>
      <c r="G337" s="45">
        <v>0</v>
      </c>
      <c r="H337" s="3">
        <v>200</v>
      </c>
    </row>
    <row r="338" spans="1:8" s="44" customFormat="1">
      <c r="A338" s="214" t="str">
        <f t="shared" si="10"/>
        <v>I-052-WS-07</v>
      </c>
      <c r="B338" s="21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VLOOKUP(E338, 'S11 Work Stations'!$A$2:$B$45, 2, 0)</f>
        <v>TUR-C2-367</v>
      </c>
      <c r="G338" s="45">
        <v>420</v>
      </c>
      <c r="H338" s="3">
        <v>200</v>
      </c>
    </row>
    <row r="339" spans="1:8" s="44" customFormat="1">
      <c r="A339" s="214" t="str">
        <f t="shared" si="10"/>
        <v>I-052-WS-08</v>
      </c>
      <c r="B339" s="21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VLOOKUP(E339, 'S11 Work Stations'!$A$2:$B$45, 2, 0)</f>
        <v>MIL-10-150-401</v>
      </c>
      <c r="G339" s="45">
        <v>480</v>
      </c>
      <c r="H339" s="3">
        <v>200</v>
      </c>
    </row>
    <row r="340" spans="1:8" s="44" customFormat="1">
      <c r="A340" s="214" t="str">
        <f t="shared" si="10"/>
        <v>I-052-WS-20</v>
      </c>
      <c r="B340" s="21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VLOOKUP(E340, 'S11 Work Stations'!$A$2:$B$45, 2, 0)</f>
        <v>MIL-H21-604</v>
      </c>
      <c r="G340" s="45">
        <v>180</v>
      </c>
      <c r="H340" s="3">
        <v>200</v>
      </c>
    </row>
    <row r="341" spans="1:8" s="44" customFormat="1">
      <c r="A341" s="214" t="str">
        <f t="shared" si="10"/>
        <v>I-052-WS-26</v>
      </c>
      <c r="B341" s="21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VLOOKUP(E341, 'S11 Work Stations'!$A$2:$B$45, 2, 0)</f>
        <v>DR-2A2-202</v>
      </c>
      <c r="G341" s="45">
        <v>180</v>
      </c>
      <c r="H341" s="3">
        <v>200</v>
      </c>
    </row>
    <row r="342" spans="1:8" s="44" customFormat="1">
      <c r="A342" s="214" t="str">
        <f t="shared" si="10"/>
        <v>I-052-WS-32</v>
      </c>
      <c r="B342" s="21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VLOOKUP(E342, 'S11 Work Stations'!$A$2:$B$45, 2, 0)</f>
        <v>SAW-30-150-251</v>
      </c>
      <c r="G342" s="45">
        <v>180</v>
      </c>
      <c r="H342" s="3">
        <v>200</v>
      </c>
    </row>
    <row r="343" spans="1:8" s="44" customFormat="1">
      <c r="A343" s="214" t="str">
        <f t="shared" si="10"/>
        <v>I-052-WS-40</v>
      </c>
      <c r="B343" s="21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VLOOKUP(E343, 'S11 Work Stations'!$A$2:$B$45, 2, 0)</f>
        <v>SAW-CNC-40-425</v>
      </c>
      <c r="G343" s="45">
        <v>120</v>
      </c>
      <c r="H343" s="3">
        <v>200</v>
      </c>
    </row>
    <row r="344" spans="1:8" s="44" customFormat="1">
      <c r="A344" s="214" t="str">
        <f t="shared" si="10"/>
        <v>I-052-WS-43</v>
      </c>
      <c r="B344" s="21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VLOOKUP(E344, 'S11 Work Stations'!$A$2:$B$45, 2, 0)</f>
        <v>RAW-MAT-INV</v>
      </c>
      <c r="G344" s="45">
        <v>0</v>
      </c>
      <c r="H344" s="3">
        <v>200</v>
      </c>
    </row>
    <row r="345" spans="1:8" s="44" customFormat="1">
      <c r="A345" s="214" t="str">
        <f t="shared" si="10"/>
        <v>I-052-WS-44</v>
      </c>
      <c r="B345" s="21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VLOOKUP(E345, 'S11 Work Stations'!$A$2:$B$45, 2, 0)</f>
        <v>FIN-GOOD-INV</v>
      </c>
      <c r="G345" s="45">
        <v>0</v>
      </c>
      <c r="H345" s="3">
        <v>200</v>
      </c>
    </row>
    <row r="346" spans="1:8" s="44" customFormat="1">
      <c r="A346" s="214" t="str">
        <f t="shared" si="10"/>
        <v>I-053-WS-03</v>
      </c>
      <c r="B346" s="21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VLOOKUP(E346, 'S11 Work Stations'!$A$2:$B$45, 2, 0)</f>
        <v>MIL-A31-363</v>
      </c>
      <c r="G346" s="45">
        <v>420</v>
      </c>
      <c r="H346" s="3">
        <v>200</v>
      </c>
    </row>
    <row r="347" spans="1:8" s="44" customFormat="1">
      <c r="A347" s="214" t="str">
        <f t="shared" si="10"/>
        <v>I-053-WS-04</v>
      </c>
      <c r="B347" s="21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VLOOKUP(E347, 'S11 Work Stations'!$A$2:$B$45, 2, 0)</f>
        <v>TUR-A4-364</v>
      </c>
      <c r="G347" s="45">
        <v>180</v>
      </c>
      <c r="H347" s="3">
        <v>200</v>
      </c>
    </row>
    <row r="348" spans="1:8" s="44" customFormat="1">
      <c r="A348" s="214" t="str">
        <f t="shared" si="10"/>
        <v>I-053-WS-23</v>
      </c>
      <c r="B348" s="21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VLOOKUP(E348, 'S11 Work Stations'!$A$2:$B$45, 2, 0)</f>
        <v>MIL-U2-607</v>
      </c>
      <c r="G348" s="45">
        <v>420</v>
      </c>
      <c r="H348" s="3">
        <v>200</v>
      </c>
    </row>
    <row r="349" spans="1:8" s="44" customFormat="1">
      <c r="A349" s="214" t="str">
        <f t="shared" si="10"/>
        <v>I-053-WS-31</v>
      </c>
      <c r="B349" s="21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VLOOKUP(E349, 'S11 Work Stations'!$A$2:$B$45, 2, 0)</f>
        <v>DR-3AW-207</v>
      </c>
      <c r="G349" s="45">
        <v>180</v>
      </c>
      <c r="H349" s="3">
        <v>200</v>
      </c>
    </row>
    <row r="350" spans="1:8" s="44" customFormat="1">
      <c r="A350" s="214" t="str">
        <f t="shared" si="10"/>
        <v>I-053-WS-32</v>
      </c>
      <c r="B350" s="21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VLOOKUP(E350, 'S11 Work Stations'!$A$2:$B$45, 2, 0)</f>
        <v>SAW-30-150-251</v>
      </c>
      <c r="G350" s="45">
        <v>180</v>
      </c>
      <c r="H350" s="3">
        <v>200</v>
      </c>
    </row>
    <row r="351" spans="1:8" s="44" customFormat="1">
      <c r="A351" s="214" t="str">
        <f t="shared" si="10"/>
        <v>I-053-WS-40</v>
      </c>
      <c r="B351" s="21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VLOOKUP(E351, 'S11 Work Stations'!$A$2:$B$45, 2, 0)</f>
        <v>SAW-CNC-40-425</v>
      </c>
      <c r="G351" s="45">
        <v>180</v>
      </c>
      <c r="H351" s="3">
        <v>200</v>
      </c>
    </row>
    <row r="352" spans="1:8" s="44" customFormat="1">
      <c r="A352" s="214" t="str">
        <f t="shared" si="10"/>
        <v>I-053-WS-43</v>
      </c>
      <c r="B352" s="21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VLOOKUP(E352, 'S11 Work Stations'!$A$2:$B$45, 2, 0)</f>
        <v>RAW-MAT-INV</v>
      </c>
      <c r="G352" s="45">
        <v>0</v>
      </c>
      <c r="H352" s="3">
        <v>200</v>
      </c>
    </row>
    <row r="353" spans="1:8" s="44" customFormat="1">
      <c r="A353" s="214" t="str">
        <f t="shared" si="10"/>
        <v>I-053-WS-44</v>
      </c>
      <c r="B353" s="21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VLOOKUP(E353, 'S11 Work Stations'!$A$2:$B$45, 2, 0)</f>
        <v>FIN-GOOD-INV</v>
      </c>
      <c r="G353" s="45">
        <v>0</v>
      </c>
      <c r="H353" s="3">
        <v>200</v>
      </c>
    </row>
    <row r="354" spans="1:8" s="44" customFormat="1">
      <c r="A354" s="214" t="str">
        <f t="shared" si="10"/>
        <v>I-054-WS-03</v>
      </c>
      <c r="B354" s="21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VLOOKUP(E354, 'S11 Work Stations'!$A$2:$B$45, 2, 0)</f>
        <v>MIL-A31-363</v>
      </c>
      <c r="G354" s="45">
        <v>120</v>
      </c>
      <c r="H354" s="3">
        <v>200</v>
      </c>
    </row>
    <row r="355" spans="1:8" s="44" customFormat="1">
      <c r="A355" s="214" t="str">
        <f t="shared" si="10"/>
        <v>I-054-WS-04</v>
      </c>
      <c r="B355" s="21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VLOOKUP(E355, 'S11 Work Stations'!$A$2:$B$45, 2, 0)</f>
        <v>TUR-A4-364</v>
      </c>
      <c r="G355" s="45">
        <v>420</v>
      </c>
      <c r="H355" s="3">
        <v>200</v>
      </c>
    </row>
    <row r="356" spans="1:8" s="44" customFormat="1">
      <c r="A356" s="214" t="str">
        <f t="shared" si="10"/>
        <v>I-054-WS-23</v>
      </c>
      <c r="B356" s="21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VLOOKUP(E356, 'S11 Work Stations'!$A$2:$B$45, 2, 0)</f>
        <v>MIL-U2-607</v>
      </c>
      <c r="G356" s="45">
        <v>120</v>
      </c>
      <c r="H356" s="3">
        <v>200</v>
      </c>
    </row>
    <row r="357" spans="1:8" s="44" customFormat="1">
      <c r="A357" s="214" t="str">
        <f t="shared" si="10"/>
        <v>I-054-WS-31</v>
      </c>
      <c r="B357" s="21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VLOOKUP(E357, 'S11 Work Stations'!$A$2:$B$45, 2, 0)</f>
        <v>DR-3AW-207</v>
      </c>
      <c r="G357" s="45">
        <v>360</v>
      </c>
      <c r="H357" s="3">
        <v>200</v>
      </c>
    </row>
    <row r="358" spans="1:8" s="44" customFormat="1">
      <c r="A358" s="214" t="str">
        <f t="shared" si="10"/>
        <v>I-054-WS-32</v>
      </c>
      <c r="B358" s="21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VLOOKUP(E358, 'S11 Work Stations'!$A$2:$B$45, 2, 0)</f>
        <v>SAW-30-150-251</v>
      </c>
      <c r="G358" s="45">
        <v>120</v>
      </c>
      <c r="H358" s="3">
        <v>200</v>
      </c>
    </row>
    <row r="359" spans="1:8" s="44" customFormat="1">
      <c r="A359" s="214" t="str">
        <f t="shared" si="10"/>
        <v>I-054-WS-40</v>
      </c>
      <c r="B359" s="21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VLOOKUP(E359, 'S11 Work Stations'!$A$2:$B$45, 2, 0)</f>
        <v>SAW-CNC-40-425</v>
      </c>
      <c r="G359" s="45">
        <v>120</v>
      </c>
      <c r="H359" s="3">
        <v>200</v>
      </c>
    </row>
    <row r="360" spans="1:8" s="44" customFormat="1">
      <c r="A360" s="214" t="str">
        <f t="shared" si="10"/>
        <v>I-054-WS-42</v>
      </c>
      <c r="B360" s="21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VLOOKUP(E360, 'S11 Work Stations'!$A$2:$B$45, 2, 0)</f>
        <v>TEMP-A01-202</v>
      </c>
      <c r="G360" s="45">
        <v>360</v>
      </c>
      <c r="H360" s="3">
        <v>200</v>
      </c>
    </row>
    <row r="361" spans="1:8" s="44" customFormat="1">
      <c r="A361" s="214" t="str">
        <f t="shared" si="10"/>
        <v>I-054-WS-43</v>
      </c>
      <c r="B361" s="21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VLOOKUP(E361, 'S11 Work Stations'!$A$2:$B$45, 2, 0)</f>
        <v>RAW-MAT-INV</v>
      </c>
      <c r="G361" s="45">
        <v>0</v>
      </c>
      <c r="H361" s="3">
        <v>200</v>
      </c>
    </row>
    <row r="362" spans="1:8" s="44" customFormat="1">
      <c r="A362" s="214" t="str">
        <f t="shared" si="10"/>
        <v>I-054-WS-44</v>
      </c>
      <c r="B362" s="21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VLOOKUP(E362, 'S11 Work Stations'!$A$2:$B$45, 2, 0)</f>
        <v>FIN-GOOD-INV</v>
      </c>
      <c r="G362" s="45">
        <v>0</v>
      </c>
      <c r="H362" s="3">
        <v>200</v>
      </c>
    </row>
    <row r="363" spans="1:8" s="44" customFormat="1">
      <c r="A363" s="214" t="str">
        <f t="shared" si="10"/>
        <v>I-055-WS-12</v>
      </c>
      <c r="B363" s="21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VLOOKUP(E363, 'S11 Work Stations'!$A$2:$B$45, 2, 0)</f>
        <v>TUR-15-250-405</v>
      </c>
      <c r="G363" s="45">
        <v>540</v>
      </c>
      <c r="H363" s="3">
        <v>200</v>
      </c>
    </row>
    <row r="364" spans="1:8" s="44" customFormat="1">
      <c r="A364" s="214" t="str">
        <f t="shared" si="10"/>
        <v>I-055-WS-26</v>
      </c>
      <c r="B364" s="21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VLOOKUP(E364, 'S11 Work Stations'!$A$2:$B$45, 2, 0)</f>
        <v>DR-2A2-202</v>
      </c>
      <c r="G364" s="45">
        <v>360</v>
      </c>
      <c r="H364" s="3">
        <v>200</v>
      </c>
    </row>
    <row r="365" spans="1:8" s="44" customFormat="1">
      <c r="A365" s="214" t="str">
        <f t="shared" si="10"/>
        <v>I-055-WS-40</v>
      </c>
      <c r="B365" s="21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VLOOKUP(E365, 'S11 Work Stations'!$A$2:$B$45, 2, 0)</f>
        <v>SAW-CNC-40-425</v>
      </c>
      <c r="G365" s="45">
        <v>120</v>
      </c>
      <c r="H365" s="3">
        <v>200</v>
      </c>
    </row>
    <row r="366" spans="1:8" s="44" customFormat="1">
      <c r="A366" s="214" t="str">
        <f t="shared" si="10"/>
        <v>I-055-WS-43</v>
      </c>
      <c r="B366" s="21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VLOOKUP(E366, 'S11 Work Stations'!$A$2:$B$45, 2, 0)</f>
        <v>RAW-MAT-INV</v>
      </c>
      <c r="G366" s="45">
        <v>0</v>
      </c>
      <c r="H366" s="3">
        <v>200</v>
      </c>
    </row>
    <row r="367" spans="1:8" s="44" customFormat="1">
      <c r="A367" s="214" t="str">
        <f t="shared" si="10"/>
        <v>I-055-WS-44</v>
      </c>
      <c r="B367" s="21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VLOOKUP(E367, 'S11 Work Stations'!$A$2:$B$45, 2, 0)</f>
        <v>FIN-GOOD-INV</v>
      </c>
      <c r="G367" s="45">
        <v>0</v>
      </c>
      <c r="H367" s="3">
        <v>200</v>
      </c>
    </row>
    <row r="368" spans="1:8" s="44" customFormat="1">
      <c r="A368" s="214" t="str">
        <f t="shared" si="10"/>
        <v>I-056-WS-12</v>
      </c>
      <c r="B368" s="21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VLOOKUP(E368, 'S11 Work Stations'!$A$2:$B$45, 2, 0)</f>
        <v>TUR-15-250-405</v>
      </c>
      <c r="G368" s="45">
        <v>420</v>
      </c>
      <c r="H368" s="3">
        <v>200</v>
      </c>
    </row>
    <row r="369" spans="1:8" s="44" customFormat="1">
      <c r="A369" s="214" t="str">
        <f t="shared" si="10"/>
        <v>I-056-WS-27</v>
      </c>
      <c r="B369" s="21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VLOOKUP(E369, 'S11 Work Stations'!$A$2:$B$45, 2, 0)</f>
        <v>GR-T1-203</v>
      </c>
      <c r="G369" s="45">
        <v>300</v>
      </c>
      <c r="H369" s="3">
        <v>200</v>
      </c>
    </row>
    <row r="370" spans="1:8" s="44" customFormat="1">
      <c r="A370" s="214" t="str">
        <f t="shared" si="10"/>
        <v>I-056-WS-40</v>
      </c>
      <c r="B370" s="21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VLOOKUP(E370, 'S11 Work Stations'!$A$2:$B$45, 2, 0)</f>
        <v>SAW-CNC-40-425</v>
      </c>
      <c r="G370" s="45">
        <v>180</v>
      </c>
      <c r="H370" s="3">
        <v>200</v>
      </c>
    </row>
    <row r="371" spans="1:8" s="44" customFormat="1">
      <c r="A371" s="214" t="str">
        <f t="shared" si="10"/>
        <v>I-056-WS-43</v>
      </c>
      <c r="B371" s="21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VLOOKUP(E371, 'S11 Work Stations'!$A$2:$B$45, 2, 0)</f>
        <v>RAW-MAT-INV</v>
      </c>
      <c r="G371" s="45">
        <v>0</v>
      </c>
      <c r="H371" s="3">
        <v>200</v>
      </c>
    </row>
    <row r="372" spans="1:8" s="44" customFormat="1">
      <c r="A372" s="214" t="str">
        <f t="shared" si="10"/>
        <v>I-056-WS-44</v>
      </c>
      <c r="B372" s="21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VLOOKUP(E372, 'S11 Work Stations'!$A$2:$B$45, 2, 0)</f>
        <v>FIN-GOOD-INV</v>
      </c>
      <c r="G372" s="45">
        <v>0</v>
      </c>
      <c r="H372" s="3">
        <v>200</v>
      </c>
    </row>
    <row r="373" spans="1:8" s="44" customFormat="1">
      <c r="A373" s="214" t="str">
        <f t="shared" si="10"/>
        <v>I-057-WS-12</v>
      </c>
      <c r="B373" s="21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VLOOKUP(E373, 'S11 Work Stations'!$A$2:$B$45, 2, 0)</f>
        <v>TUR-15-250-405</v>
      </c>
      <c r="G373" s="45">
        <v>420</v>
      </c>
      <c r="H373" s="3">
        <v>200</v>
      </c>
    </row>
    <row r="374" spans="1:8" s="44" customFormat="1">
      <c r="A374" s="214" t="str">
        <f t="shared" si="10"/>
        <v>I-057-WS-27</v>
      </c>
      <c r="B374" s="21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VLOOKUP(E374, 'S11 Work Stations'!$A$2:$B$45, 2, 0)</f>
        <v>GR-T1-203</v>
      </c>
      <c r="G374" s="45">
        <v>300</v>
      </c>
      <c r="H374" s="3">
        <v>200</v>
      </c>
    </row>
    <row r="375" spans="1:8" s="44" customFormat="1">
      <c r="A375" s="214" t="str">
        <f t="shared" si="10"/>
        <v>I-057-WS-40</v>
      </c>
      <c r="B375" s="21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VLOOKUP(E375, 'S11 Work Stations'!$A$2:$B$45, 2, 0)</f>
        <v>SAW-CNC-40-425</v>
      </c>
      <c r="G375" s="45">
        <v>120</v>
      </c>
      <c r="H375" s="3">
        <v>200</v>
      </c>
    </row>
    <row r="376" spans="1:8" s="44" customFormat="1">
      <c r="A376" s="214" t="str">
        <f t="shared" si="10"/>
        <v>I-057-WS-43</v>
      </c>
      <c r="B376" s="21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VLOOKUP(E376, 'S11 Work Stations'!$A$2:$B$45, 2, 0)</f>
        <v>RAW-MAT-INV</v>
      </c>
      <c r="G376" s="45">
        <v>0</v>
      </c>
      <c r="H376" s="3">
        <v>200</v>
      </c>
    </row>
    <row r="377" spans="1:8" s="44" customFormat="1">
      <c r="A377" s="214" t="str">
        <f t="shared" si="10"/>
        <v>I-057-WS-44</v>
      </c>
      <c r="B377" s="21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VLOOKUP(E377, 'S11 Work Stations'!$A$2:$B$45, 2, 0)</f>
        <v>FIN-GOOD-INV</v>
      </c>
      <c r="G377" s="45">
        <v>0</v>
      </c>
      <c r="H377" s="3">
        <v>200</v>
      </c>
    </row>
    <row r="378" spans="1:8" s="44" customFormat="1">
      <c r="A378" s="214" t="str">
        <f t="shared" si="10"/>
        <v>I-058-WS-12</v>
      </c>
      <c r="B378" s="21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VLOOKUP(E378, 'S11 Work Stations'!$A$2:$B$45, 2, 0)</f>
        <v>TUR-15-250-405</v>
      </c>
      <c r="G378" s="45">
        <v>780</v>
      </c>
      <c r="H378" s="3">
        <v>200</v>
      </c>
    </row>
    <row r="379" spans="1:8" s="44" customFormat="1">
      <c r="A379" s="214" t="str">
        <f t="shared" si="10"/>
        <v>I-058-WS-27</v>
      </c>
      <c r="B379" s="21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VLOOKUP(E379, 'S11 Work Stations'!$A$2:$B$45, 2, 0)</f>
        <v>GR-T1-203</v>
      </c>
      <c r="G379" s="45">
        <v>240</v>
      </c>
      <c r="H379" s="3">
        <v>200</v>
      </c>
    </row>
    <row r="380" spans="1:8" s="44" customFormat="1">
      <c r="A380" s="214" t="str">
        <f t="shared" si="10"/>
        <v>I-058-WS-40</v>
      </c>
      <c r="B380" s="21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VLOOKUP(E380, 'S11 Work Stations'!$A$2:$B$45, 2, 0)</f>
        <v>SAW-CNC-40-425</v>
      </c>
      <c r="G380" s="45">
        <v>120</v>
      </c>
      <c r="H380" s="3">
        <v>200</v>
      </c>
    </row>
    <row r="381" spans="1:8" s="44" customFormat="1">
      <c r="A381" s="214" t="str">
        <f t="shared" si="10"/>
        <v>I-058-WS-43</v>
      </c>
      <c r="B381" s="21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VLOOKUP(E381, 'S11 Work Stations'!$A$2:$B$45, 2, 0)</f>
        <v>RAW-MAT-INV</v>
      </c>
      <c r="G381" s="45">
        <v>0</v>
      </c>
      <c r="H381" s="3">
        <v>200</v>
      </c>
    </row>
    <row r="382" spans="1:8" s="44" customFormat="1">
      <c r="A382" s="214" t="str">
        <f t="shared" si="10"/>
        <v>I-058-WS-44</v>
      </c>
      <c r="B382" s="21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VLOOKUP(E382, 'S11 Work Stations'!$A$2:$B$45, 2, 0)</f>
        <v>FIN-GOOD-INV</v>
      </c>
      <c r="G382" s="45">
        <v>0</v>
      </c>
      <c r="H382" s="3">
        <v>200</v>
      </c>
    </row>
    <row r="383" spans="1:8" s="44" customFormat="1">
      <c r="A383" s="214" t="str">
        <f t="shared" si="10"/>
        <v>I-059-WS-12</v>
      </c>
      <c r="B383" s="21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VLOOKUP(E383, 'S11 Work Stations'!$A$2:$B$45, 2, 0)</f>
        <v>TUR-15-250-405</v>
      </c>
      <c r="G383" s="45">
        <v>840</v>
      </c>
      <c r="H383" s="3">
        <v>200</v>
      </c>
    </row>
    <row r="384" spans="1:8" s="44" customFormat="1">
      <c r="A384" s="214" t="str">
        <f t="shared" si="10"/>
        <v>I-059-WS-40</v>
      </c>
      <c r="B384" s="21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VLOOKUP(E384, 'S11 Work Stations'!$A$2:$B$45, 2, 0)</f>
        <v>SAW-CNC-40-425</v>
      </c>
      <c r="G384" s="45">
        <v>180</v>
      </c>
      <c r="H384" s="3">
        <v>200</v>
      </c>
    </row>
    <row r="385" spans="1:8" s="44" customFormat="1">
      <c r="A385" s="214" t="str">
        <f t="shared" si="10"/>
        <v>I-059-WS-43</v>
      </c>
      <c r="B385" s="21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VLOOKUP(E385, 'S11 Work Stations'!$A$2:$B$45, 2, 0)</f>
        <v>RAW-MAT-INV</v>
      </c>
      <c r="G385" s="45">
        <v>0</v>
      </c>
      <c r="H385" s="3">
        <v>200</v>
      </c>
    </row>
    <row r="386" spans="1:8" s="44" customFormat="1">
      <c r="A386" s="214" t="str">
        <f t="shared" ref="A386:A449" si="12">C386&amp;"-"&amp;E386</f>
        <v>I-059-WS-44</v>
      </c>
      <c r="B386" s="214" t="str">
        <f t="shared" ref="B386:B449" si="13">C386&amp;"-"&amp;D386</f>
        <v>I-059-40</v>
      </c>
      <c r="C386" s="45" t="s">
        <v>552</v>
      </c>
      <c r="D386" s="45">
        <v>40</v>
      </c>
      <c r="E386" s="45" t="s">
        <v>617</v>
      </c>
      <c r="F386" s="42" t="str">
        <f>VLOOKUP(E386, 'S11 Work Stations'!$A$2:$B$45, 2, 0)</f>
        <v>FIN-GOOD-INV</v>
      </c>
      <c r="G386" s="45">
        <v>0</v>
      </c>
      <c r="H386" s="3">
        <v>200</v>
      </c>
    </row>
    <row r="387" spans="1:8" s="44" customFormat="1">
      <c r="A387" s="214" t="str">
        <f t="shared" si="12"/>
        <v>I-060-WS-11</v>
      </c>
      <c r="B387" s="214" t="str">
        <f t="shared" si="13"/>
        <v>I-060-30</v>
      </c>
      <c r="C387" s="45" t="s">
        <v>553</v>
      </c>
      <c r="D387" s="45">
        <v>30</v>
      </c>
      <c r="E387" s="45" t="s">
        <v>584</v>
      </c>
      <c r="F387" s="42" t="str">
        <f>VLOOKUP(E387, 'S11 Work Stations'!$A$2:$B$45, 2, 0)</f>
        <v>TUR-40-100-404</v>
      </c>
      <c r="G387" s="45">
        <v>840</v>
      </c>
      <c r="H387" s="3">
        <v>200</v>
      </c>
    </row>
    <row r="388" spans="1:8" s="44" customFormat="1">
      <c r="A388" s="214" t="str">
        <f t="shared" si="12"/>
        <v>I-060-WS-40</v>
      </c>
      <c r="B388" s="21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VLOOKUP(E388, 'S11 Work Stations'!$A$2:$B$45, 2, 0)</f>
        <v>SAW-CNC-40-425</v>
      </c>
      <c r="G388" s="45">
        <v>120</v>
      </c>
      <c r="H388" s="3">
        <v>200</v>
      </c>
    </row>
    <row r="389" spans="1:8" s="44" customFormat="1">
      <c r="A389" s="214" t="str">
        <f t="shared" si="12"/>
        <v>I-060-WS-43</v>
      </c>
      <c r="B389" s="21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VLOOKUP(E389, 'S11 Work Stations'!$A$2:$B$45, 2, 0)</f>
        <v>RAW-MAT-INV</v>
      </c>
      <c r="G389" s="45">
        <v>0</v>
      </c>
      <c r="H389" s="3">
        <v>200</v>
      </c>
    </row>
    <row r="390" spans="1:8" s="44" customFormat="1">
      <c r="A390" s="214" t="str">
        <f t="shared" si="12"/>
        <v>I-060-WS-44</v>
      </c>
      <c r="B390" s="21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VLOOKUP(E390, 'S11 Work Stations'!$A$2:$B$45, 2, 0)</f>
        <v>FIN-GOOD-INV</v>
      </c>
      <c r="G390" s="45">
        <v>0</v>
      </c>
      <c r="H390" s="3">
        <v>200</v>
      </c>
    </row>
    <row r="391" spans="1:8" s="44" customFormat="1">
      <c r="A391" s="214" t="str">
        <f t="shared" si="12"/>
        <v>I-061-WS-11</v>
      </c>
      <c r="B391" s="21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VLOOKUP(E391, 'S11 Work Stations'!$A$2:$B$45, 2, 0)</f>
        <v>TUR-40-100-404</v>
      </c>
      <c r="G391" s="45">
        <v>1080</v>
      </c>
      <c r="H391" s="3">
        <v>200</v>
      </c>
    </row>
    <row r="392" spans="1:8" s="44" customFormat="1">
      <c r="A392" s="214" t="str">
        <f t="shared" si="12"/>
        <v>I-061-WS-26</v>
      </c>
      <c r="B392" s="21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VLOOKUP(E392, 'S11 Work Stations'!$A$2:$B$45, 2, 0)</f>
        <v>DR-2A2-202</v>
      </c>
      <c r="G392" s="45">
        <v>480</v>
      </c>
      <c r="H392" s="3">
        <v>200</v>
      </c>
    </row>
    <row r="393" spans="1:8" s="44" customFormat="1">
      <c r="A393" s="214" t="str">
        <f t="shared" si="12"/>
        <v>I-061-WS-40</v>
      </c>
      <c r="B393" s="21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VLOOKUP(E393, 'S11 Work Stations'!$A$2:$B$45, 2, 0)</f>
        <v>SAW-CNC-40-425</v>
      </c>
      <c r="G393" s="45">
        <v>120</v>
      </c>
      <c r="H393" s="3">
        <v>200</v>
      </c>
    </row>
    <row r="394" spans="1:8" s="44" customFormat="1">
      <c r="A394" s="214" t="str">
        <f t="shared" si="12"/>
        <v>I-061-WS-43</v>
      </c>
      <c r="B394" s="21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VLOOKUP(E394, 'S11 Work Stations'!$A$2:$B$45, 2, 0)</f>
        <v>RAW-MAT-INV</v>
      </c>
      <c r="G394" s="45">
        <v>0</v>
      </c>
      <c r="H394" s="3">
        <v>200</v>
      </c>
    </row>
    <row r="395" spans="1:8" s="44" customFormat="1">
      <c r="A395" s="214" t="str">
        <f t="shared" si="12"/>
        <v>I-061-WS-44</v>
      </c>
      <c r="B395" s="21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VLOOKUP(E395, 'S11 Work Stations'!$A$2:$B$45, 2, 0)</f>
        <v>FIN-GOOD-INV</v>
      </c>
      <c r="G395" s="45">
        <v>0</v>
      </c>
      <c r="H395" s="3">
        <v>200</v>
      </c>
    </row>
    <row r="396" spans="1:8" s="44" customFormat="1">
      <c r="A396" s="214" t="str">
        <f t="shared" si="12"/>
        <v>I-062-WS-11</v>
      </c>
      <c r="B396" s="21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VLOOKUP(E396, 'S11 Work Stations'!$A$2:$B$45, 2, 0)</f>
        <v>TUR-40-100-404</v>
      </c>
      <c r="G396" s="45">
        <v>1080</v>
      </c>
      <c r="H396" s="3">
        <v>200</v>
      </c>
    </row>
    <row r="397" spans="1:8" s="44" customFormat="1">
      <c r="A397" s="214" t="str">
        <f t="shared" si="12"/>
        <v>I-062-WS-27</v>
      </c>
      <c r="B397" s="21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VLOOKUP(E397, 'S11 Work Stations'!$A$2:$B$45, 2, 0)</f>
        <v>GR-T1-203</v>
      </c>
      <c r="G397" s="45">
        <v>360</v>
      </c>
      <c r="H397" s="3">
        <v>200</v>
      </c>
    </row>
    <row r="398" spans="1:8" s="44" customFormat="1">
      <c r="A398" s="214" t="str">
        <f t="shared" si="12"/>
        <v>I-062-WS-34</v>
      </c>
      <c r="B398" s="21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VLOOKUP(E398, 'S11 Work Stations'!$A$2:$B$45, 2, 0)</f>
        <v>SAW-30-160-252</v>
      </c>
      <c r="G398" s="45">
        <v>420</v>
      </c>
      <c r="H398" s="3">
        <v>200</v>
      </c>
    </row>
    <row r="399" spans="1:8" s="44" customFormat="1">
      <c r="A399" s="214" t="str">
        <f t="shared" si="12"/>
        <v>I-062-WS-40</v>
      </c>
      <c r="B399" s="21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VLOOKUP(E399, 'S11 Work Stations'!$A$2:$B$45, 2, 0)</f>
        <v>SAW-CNC-40-425</v>
      </c>
      <c r="G399" s="45">
        <v>180</v>
      </c>
      <c r="H399" s="3">
        <v>200</v>
      </c>
    </row>
    <row r="400" spans="1:8" s="44" customFormat="1">
      <c r="A400" s="214" t="str">
        <f t="shared" si="12"/>
        <v>I-062-WS-43</v>
      </c>
      <c r="B400" s="21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VLOOKUP(E400, 'S11 Work Stations'!$A$2:$B$45, 2, 0)</f>
        <v>RAW-MAT-INV</v>
      </c>
      <c r="G400" s="45">
        <v>0</v>
      </c>
      <c r="H400" s="3">
        <v>200</v>
      </c>
    </row>
    <row r="401" spans="1:8" s="44" customFormat="1">
      <c r="A401" s="214" t="str">
        <f t="shared" si="12"/>
        <v>I-062-WS-44</v>
      </c>
      <c r="B401" s="21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VLOOKUP(E401, 'S11 Work Stations'!$A$2:$B$45, 2, 0)</f>
        <v>FIN-GOOD-INV</v>
      </c>
      <c r="G401" s="45">
        <v>0</v>
      </c>
      <c r="H401" s="3">
        <v>200</v>
      </c>
    </row>
    <row r="402" spans="1:8" s="44" customFormat="1">
      <c r="A402" s="214" t="str">
        <f t="shared" si="12"/>
        <v>I-063-WS-09</v>
      </c>
      <c r="B402" s="21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VLOOKUP(E402, 'S11 Work Stations'!$A$2:$B$45, 2, 0)</f>
        <v>TUR-20-120-402</v>
      </c>
      <c r="G402" s="45">
        <v>1080</v>
      </c>
      <c r="H402" s="3">
        <v>200</v>
      </c>
    </row>
    <row r="403" spans="1:8" s="44" customFormat="1">
      <c r="A403" s="214" t="str">
        <f t="shared" si="12"/>
        <v>I-063-WS-26</v>
      </c>
      <c r="B403" s="21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VLOOKUP(E403, 'S11 Work Stations'!$A$2:$B$45, 2, 0)</f>
        <v>DR-2A2-202</v>
      </c>
      <c r="G403" s="45">
        <v>360</v>
      </c>
      <c r="H403" s="3">
        <v>200</v>
      </c>
    </row>
    <row r="404" spans="1:8" s="44" customFormat="1">
      <c r="A404" s="214" t="str">
        <f t="shared" si="12"/>
        <v>I-063-WS-40</v>
      </c>
      <c r="B404" s="21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VLOOKUP(E404, 'S11 Work Stations'!$A$2:$B$45, 2, 0)</f>
        <v>SAW-CNC-40-425</v>
      </c>
      <c r="G404" s="45">
        <v>120</v>
      </c>
      <c r="H404" s="3">
        <v>200</v>
      </c>
    </row>
    <row r="405" spans="1:8" s="44" customFormat="1">
      <c r="A405" s="214" t="str">
        <f t="shared" si="12"/>
        <v>I-063-WS-43</v>
      </c>
      <c r="B405" s="21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VLOOKUP(E405, 'S11 Work Stations'!$A$2:$B$45, 2, 0)</f>
        <v>RAW-MAT-INV</v>
      </c>
      <c r="G405" s="45">
        <v>0</v>
      </c>
      <c r="H405" s="3">
        <v>200</v>
      </c>
    </row>
    <row r="406" spans="1:8" s="44" customFormat="1">
      <c r="A406" s="214" t="str">
        <f t="shared" si="12"/>
        <v>I-063-WS-44</v>
      </c>
      <c r="B406" s="21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VLOOKUP(E406, 'S11 Work Stations'!$A$2:$B$45, 2, 0)</f>
        <v>FIN-GOOD-INV</v>
      </c>
      <c r="G406" s="45">
        <v>0</v>
      </c>
      <c r="H406" s="3">
        <v>200</v>
      </c>
    </row>
    <row r="407" spans="1:8" s="44" customFormat="1">
      <c r="A407" s="214" t="str">
        <f t="shared" si="12"/>
        <v>I-064-WS-03</v>
      </c>
      <c r="B407" s="21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VLOOKUP(E407, 'S11 Work Stations'!$A$2:$B$45, 2, 0)</f>
        <v>MIL-A31-363</v>
      </c>
      <c r="G407" s="45">
        <v>120</v>
      </c>
      <c r="H407" s="3">
        <v>200</v>
      </c>
    </row>
    <row r="408" spans="1:8" s="44" customFormat="1">
      <c r="A408" s="214" t="str">
        <f t="shared" si="12"/>
        <v>I-064-WS-04</v>
      </c>
      <c r="B408" s="21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VLOOKUP(E408, 'S11 Work Stations'!$A$2:$B$45, 2, 0)</f>
        <v>TUR-A4-364</v>
      </c>
      <c r="G408" s="45">
        <v>120</v>
      </c>
      <c r="H408" s="3">
        <v>200</v>
      </c>
    </row>
    <row r="409" spans="1:8" s="44" customFormat="1">
      <c r="A409" s="214" t="str">
        <f t="shared" si="12"/>
        <v>I-064-WS-23</v>
      </c>
      <c r="B409" s="21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VLOOKUP(E409, 'S11 Work Stations'!$A$2:$B$45, 2, 0)</f>
        <v>MIL-U2-607</v>
      </c>
      <c r="G409" s="45">
        <v>180</v>
      </c>
      <c r="H409" s="3">
        <v>200</v>
      </c>
    </row>
    <row r="410" spans="1:8" s="44" customFormat="1">
      <c r="A410" s="214" t="str">
        <f t="shared" si="12"/>
        <v>I-064-WS-31</v>
      </c>
      <c r="B410" s="21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VLOOKUP(E410, 'S11 Work Stations'!$A$2:$B$45, 2, 0)</f>
        <v>DR-3AW-207</v>
      </c>
      <c r="G410" s="45">
        <v>180</v>
      </c>
      <c r="H410" s="3">
        <v>200</v>
      </c>
    </row>
    <row r="411" spans="1:8" s="44" customFormat="1">
      <c r="A411" s="214" t="str">
        <f t="shared" si="12"/>
        <v>I-064-WS-32</v>
      </c>
      <c r="B411" s="21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VLOOKUP(E411, 'S11 Work Stations'!$A$2:$B$45, 2, 0)</f>
        <v>SAW-30-150-251</v>
      </c>
      <c r="G411" s="45">
        <v>780</v>
      </c>
      <c r="H411" s="3">
        <v>200</v>
      </c>
    </row>
    <row r="412" spans="1:8" s="44" customFormat="1">
      <c r="A412" s="214" t="str">
        <f t="shared" si="12"/>
        <v>I-064-WS-40</v>
      </c>
      <c r="B412" s="21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VLOOKUP(E412, 'S11 Work Stations'!$A$2:$B$45, 2, 0)</f>
        <v>SAW-CNC-40-425</v>
      </c>
      <c r="G412" s="45">
        <v>180</v>
      </c>
      <c r="H412" s="3">
        <v>200</v>
      </c>
    </row>
    <row r="413" spans="1:8" s="44" customFormat="1">
      <c r="A413" s="214" t="str">
        <f t="shared" si="12"/>
        <v>I-064-WS-42</v>
      </c>
      <c r="B413" s="214" t="str">
        <f t="shared" si="13"/>
        <v>I-064-80</v>
      </c>
      <c r="C413" s="45" t="s">
        <v>182</v>
      </c>
      <c r="D413" s="45">
        <v>80</v>
      </c>
      <c r="E413" s="45" t="s">
        <v>615</v>
      </c>
      <c r="F413" s="42" t="str">
        <f>VLOOKUP(E413, 'S11 Work Stations'!$A$2:$B$45, 2, 0)</f>
        <v>TEMP-A01-202</v>
      </c>
      <c r="G413" s="45">
        <v>300</v>
      </c>
      <c r="H413" s="3">
        <v>200</v>
      </c>
    </row>
    <row r="414" spans="1:8" s="44" customFormat="1">
      <c r="A414" s="214" t="str">
        <f t="shared" si="12"/>
        <v>I-064-WS-43</v>
      </c>
      <c r="B414" s="214" t="str">
        <f t="shared" si="13"/>
        <v>I-064-10</v>
      </c>
      <c r="C414" s="45" t="s">
        <v>182</v>
      </c>
      <c r="D414" s="45">
        <v>10</v>
      </c>
      <c r="E414" s="45" t="s">
        <v>616</v>
      </c>
      <c r="F414" s="42" t="str">
        <f>VLOOKUP(E414, 'S11 Work Stations'!$A$2:$B$45, 2, 0)</f>
        <v>RAW-MAT-INV</v>
      </c>
      <c r="G414" s="45">
        <v>0</v>
      </c>
      <c r="H414" s="3">
        <v>200</v>
      </c>
    </row>
    <row r="415" spans="1:8" s="44" customFormat="1">
      <c r="A415" s="214" t="str">
        <f t="shared" si="12"/>
        <v>I-064-WS-44</v>
      </c>
      <c r="B415" s="214" t="str">
        <f t="shared" si="13"/>
        <v>I-064-90</v>
      </c>
      <c r="C415" s="45" t="s">
        <v>182</v>
      </c>
      <c r="D415" s="45">
        <v>90</v>
      </c>
      <c r="E415" s="45" t="s">
        <v>617</v>
      </c>
      <c r="F415" s="42" t="str">
        <f>VLOOKUP(E415, 'S11 Work Stations'!$A$2:$B$45, 2, 0)</f>
        <v>FIN-GOOD-INV</v>
      </c>
      <c r="G415" s="45">
        <v>0</v>
      </c>
      <c r="H415" s="3">
        <v>200</v>
      </c>
    </row>
    <row r="416" spans="1:8" s="44" customFormat="1">
      <c r="A416" s="214" t="str">
        <f t="shared" si="12"/>
        <v>I-065-WS-05</v>
      </c>
      <c r="B416" s="214" t="str">
        <f t="shared" si="13"/>
        <v>I-065-30</v>
      </c>
      <c r="C416" s="45" t="s">
        <v>557</v>
      </c>
      <c r="D416" s="45">
        <v>30</v>
      </c>
      <c r="E416" s="45" t="s">
        <v>578</v>
      </c>
      <c r="F416" s="42" t="str">
        <f>VLOOKUP(E416, 'S11 Work Stations'!$A$2:$B$45, 2, 0)</f>
        <v>MIL-A2-365</v>
      </c>
      <c r="G416" s="45">
        <v>720</v>
      </c>
      <c r="H416" s="3">
        <v>200</v>
      </c>
    </row>
    <row r="417" spans="1:8" s="44" customFormat="1">
      <c r="A417" s="214" t="str">
        <f t="shared" si="12"/>
        <v>I-065-WS-24</v>
      </c>
      <c r="B417" s="214" t="str">
        <f t="shared" si="13"/>
        <v>I-065-50</v>
      </c>
      <c r="C417" s="45" t="s">
        <v>557</v>
      </c>
      <c r="D417" s="45">
        <v>50</v>
      </c>
      <c r="E417" s="45" t="s">
        <v>597</v>
      </c>
      <c r="F417" s="42" t="str">
        <f>VLOOKUP(E417, 'S11 Work Stations'!$A$2:$B$45, 2, 0)</f>
        <v>MIL-V5-608</v>
      </c>
      <c r="G417" s="45">
        <v>720</v>
      </c>
      <c r="H417" s="3">
        <v>200</v>
      </c>
    </row>
    <row r="418" spans="1:8" s="44" customFormat="1">
      <c r="A418" s="214" t="str">
        <f t="shared" si="12"/>
        <v>I-065-WS-33</v>
      </c>
      <c r="B418" s="214" t="str">
        <f t="shared" si="13"/>
        <v>I-065-40</v>
      </c>
      <c r="C418" s="45" t="s">
        <v>557</v>
      </c>
      <c r="D418" s="45">
        <v>40</v>
      </c>
      <c r="E418" s="45" t="s">
        <v>606</v>
      </c>
      <c r="F418" s="42" t="str">
        <f>VLOOKUP(E418, 'S11 Work Stations'!$A$2:$B$45, 2, 0)</f>
        <v>SAW-50-150-252</v>
      </c>
      <c r="G418" s="45">
        <v>120</v>
      </c>
      <c r="H418" s="3">
        <v>200</v>
      </c>
    </row>
    <row r="419" spans="1:8" s="44" customFormat="1">
      <c r="A419" s="214" t="str">
        <f t="shared" si="12"/>
        <v>I-065-WS-36</v>
      </c>
      <c r="B419" s="214" t="str">
        <f t="shared" si="13"/>
        <v>I-065-20</v>
      </c>
      <c r="C419" s="45" t="s">
        <v>557</v>
      </c>
      <c r="D419" s="45">
        <v>20</v>
      </c>
      <c r="E419" s="45" t="s">
        <v>609</v>
      </c>
      <c r="F419" s="42" t="str">
        <f>VLOOKUP(E419, 'S11 Work Stations'!$A$2:$B$45, 2, 0)</f>
        <v>SAW-10-421</v>
      </c>
      <c r="G419" s="45">
        <v>240</v>
      </c>
      <c r="H419" s="3">
        <v>200</v>
      </c>
    </row>
    <row r="420" spans="1:8" s="44" customFormat="1">
      <c r="A420" s="214" t="str">
        <f t="shared" si="12"/>
        <v>I-065-WS-43</v>
      </c>
      <c r="B420" s="214" t="str">
        <f t="shared" si="13"/>
        <v>I-065-10</v>
      </c>
      <c r="C420" s="45" t="s">
        <v>557</v>
      </c>
      <c r="D420" s="45">
        <v>10</v>
      </c>
      <c r="E420" s="45" t="s">
        <v>616</v>
      </c>
      <c r="F420" s="42" t="str">
        <f>VLOOKUP(E420, 'S11 Work Stations'!$A$2:$B$45, 2, 0)</f>
        <v>RAW-MAT-INV</v>
      </c>
      <c r="G420" s="45">
        <v>0</v>
      </c>
      <c r="H420" s="3">
        <v>200</v>
      </c>
    </row>
    <row r="421" spans="1:8" s="44" customFormat="1">
      <c r="A421" s="214" t="str">
        <f t="shared" si="12"/>
        <v>I-065-WS-44</v>
      </c>
      <c r="B421" s="214" t="str">
        <f t="shared" si="13"/>
        <v>I-065-60</v>
      </c>
      <c r="C421" s="45" t="s">
        <v>557</v>
      </c>
      <c r="D421" s="45">
        <v>60</v>
      </c>
      <c r="E421" s="45" t="s">
        <v>617</v>
      </c>
      <c r="F421" s="42" t="str">
        <f>VLOOKUP(E421, 'S11 Work Stations'!$A$2:$B$45, 2, 0)</f>
        <v>FIN-GOOD-INV</v>
      </c>
      <c r="G421" s="45">
        <v>0</v>
      </c>
      <c r="H421" s="3">
        <v>200</v>
      </c>
    </row>
    <row r="422" spans="1:8" s="44" customFormat="1">
      <c r="A422" s="214" t="str">
        <f t="shared" si="12"/>
        <v>I-066-WS-05</v>
      </c>
      <c r="B422" s="214" t="str">
        <f t="shared" si="13"/>
        <v>I-066-30</v>
      </c>
      <c r="C422" s="45" t="s">
        <v>192</v>
      </c>
      <c r="D422" s="45">
        <v>30</v>
      </c>
      <c r="E422" s="45" t="s">
        <v>578</v>
      </c>
      <c r="F422" s="42" t="str">
        <f>VLOOKUP(E422, 'S11 Work Stations'!$A$2:$B$45, 2, 0)</f>
        <v>MIL-A2-365</v>
      </c>
      <c r="G422" s="45">
        <v>720</v>
      </c>
      <c r="H422" s="3">
        <v>200</v>
      </c>
    </row>
    <row r="423" spans="1:8" s="44" customFormat="1">
      <c r="A423" s="214" t="str">
        <f t="shared" si="12"/>
        <v>I-066-WS-25</v>
      </c>
      <c r="B423" s="214" t="str">
        <f t="shared" si="13"/>
        <v>I-066-40</v>
      </c>
      <c r="C423" s="45" t="s">
        <v>192</v>
      </c>
      <c r="D423" s="45">
        <v>40</v>
      </c>
      <c r="E423" s="45" t="s">
        <v>598</v>
      </c>
      <c r="F423" s="42" t="str">
        <f>VLOOKUP(E423, 'S11 Work Stations'!$A$2:$B$45, 2, 0)</f>
        <v>DR-2A-201</v>
      </c>
      <c r="G423" s="45">
        <v>120</v>
      </c>
      <c r="H423" s="3">
        <v>200</v>
      </c>
    </row>
    <row r="424" spans="1:8" s="44" customFormat="1">
      <c r="A424" s="214" t="str">
        <f t="shared" si="12"/>
        <v>I-066-WS-34</v>
      </c>
      <c r="B424" s="214" t="str">
        <f t="shared" si="13"/>
        <v>I-066-50</v>
      </c>
      <c r="C424" s="45" t="s">
        <v>192</v>
      </c>
      <c r="D424" s="45">
        <v>50</v>
      </c>
      <c r="E424" s="45" t="s">
        <v>607</v>
      </c>
      <c r="F424" s="42" t="str">
        <f>VLOOKUP(E424, 'S11 Work Stations'!$A$2:$B$45, 2, 0)</f>
        <v>SAW-30-160-252</v>
      </c>
      <c r="G424" s="45">
        <v>3600</v>
      </c>
      <c r="H424" s="3">
        <v>200</v>
      </c>
    </row>
    <row r="425" spans="1:8" s="44" customFormat="1">
      <c r="A425" s="214" t="str">
        <f t="shared" si="12"/>
        <v>I-066-WS-36</v>
      </c>
      <c r="B425" s="214" t="str">
        <f t="shared" si="13"/>
        <v>I-066-20</v>
      </c>
      <c r="C425" s="45" t="s">
        <v>192</v>
      </c>
      <c r="D425" s="45">
        <v>20</v>
      </c>
      <c r="E425" s="45" t="s">
        <v>609</v>
      </c>
      <c r="F425" s="42" t="str">
        <f>VLOOKUP(E425, 'S11 Work Stations'!$A$2:$B$45, 2, 0)</f>
        <v>SAW-10-421</v>
      </c>
      <c r="G425" s="45">
        <v>120</v>
      </c>
      <c r="H425" s="3">
        <v>200</v>
      </c>
    </row>
    <row r="426" spans="1:8" s="44" customFormat="1">
      <c r="A426" s="214" t="str">
        <f t="shared" si="12"/>
        <v>I-066-WS-43</v>
      </c>
      <c r="B426" s="214" t="str">
        <f t="shared" si="13"/>
        <v>I-066-10</v>
      </c>
      <c r="C426" s="45" t="s">
        <v>192</v>
      </c>
      <c r="D426" s="45">
        <v>10</v>
      </c>
      <c r="E426" s="45" t="s">
        <v>616</v>
      </c>
      <c r="F426" s="42" t="str">
        <f>VLOOKUP(E426, 'S11 Work Stations'!$A$2:$B$45, 2, 0)</f>
        <v>RAW-MAT-INV</v>
      </c>
      <c r="G426" s="45">
        <v>0</v>
      </c>
      <c r="H426" s="3">
        <v>200</v>
      </c>
    </row>
    <row r="427" spans="1:8" s="44" customFormat="1">
      <c r="A427" s="214" t="str">
        <f t="shared" si="12"/>
        <v>I-066-WS-44</v>
      </c>
      <c r="B427" s="214" t="str">
        <f t="shared" si="13"/>
        <v>I-066-60</v>
      </c>
      <c r="C427" s="45" t="s">
        <v>192</v>
      </c>
      <c r="D427" s="45">
        <v>60</v>
      </c>
      <c r="E427" s="45" t="s">
        <v>617</v>
      </c>
      <c r="F427" s="42" t="str">
        <f>VLOOKUP(E427, 'S11 Work Stations'!$A$2:$B$45, 2, 0)</f>
        <v>FIN-GOOD-INV</v>
      </c>
      <c r="G427" s="45">
        <v>0</v>
      </c>
      <c r="H427" s="3">
        <v>200</v>
      </c>
    </row>
    <row r="428" spans="1:8" s="44" customFormat="1">
      <c r="A428" s="214" t="str">
        <f t="shared" si="12"/>
        <v>I-067-WS-05</v>
      </c>
      <c r="B428" s="214" t="str">
        <f t="shared" si="13"/>
        <v>I-067-30</v>
      </c>
      <c r="C428" s="45" t="s">
        <v>558</v>
      </c>
      <c r="D428" s="45">
        <v>30</v>
      </c>
      <c r="E428" s="45" t="s">
        <v>578</v>
      </c>
      <c r="F428" s="42" t="str">
        <f>VLOOKUP(E428, 'S11 Work Stations'!$A$2:$B$45, 2, 0)</f>
        <v>MIL-A2-365</v>
      </c>
      <c r="G428" s="45">
        <v>720</v>
      </c>
      <c r="H428" s="3">
        <v>200</v>
      </c>
    </row>
    <row r="429" spans="1:8" s="44" customFormat="1">
      <c r="A429" s="214" t="str">
        <f t="shared" si="12"/>
        <v>I-067-WS-24</v>
      </c>
      <c r="B429" s="214" t="str">
        <f t="shared" si="13"/>
        <v>I-067-50</v>
      </c>
      <c r="C429" s="45" t="s">
        <v>558</v>
      </c>
      <c r="D429" s="45">
        <v>50</v>
      </c>
      <c r="E429" s="45" t="s">
        <v>597</v>
      </c>
      <c r="F429" s="42" t="str">
        <f>VLOOKUP(E429, 'S11 Work Stations'!$A$2:$B$45, 2, 0)</f>
        <v>MIL-V5-608</v>
      </c>
      <c r="G429" s="45">
        <v>360</v>
      </c>
      <c r="H429" s="3">
        <v>200</v>
      </c>
    </row>
    <row r="430" spans="1:8" s="44" customFormat="1">
      <c r="A430" s="214" t="str">
        <f t="shared" si="12"/>
        <v>I-067-WS-33</v>
      </c>
      <c r="B430" s="214" t="str">
        <f t="shared" si="13"/>
        <v>I-067-40</v>
      </c>
      <c r="C430" s="45" t="s">
        <v>558</v>
      </c>
      <c r="D430" s="45">
        <v>40</v>
      </c>
      <c r="E430" s="45" t="s">
        <v>606</v>
      </c>
      <c r="F430" s="42" t="str">
        <f>VLOOKUP(E430, 'S11 Work Stations'!$A$2:$B$45, 2, 0)</f>
        <v>SAW-50-150-252</v>
      </c>
      <c r="G430" s="45">
        <v>120</v>
      </c>
      <c r="H430" s="3">
        <v>200</v>
      </c>
    </row>
    <row r="431" spans="1:8" s="44" customFormat="1">
      <c r="A431" s="214" t="str">
        <f t="shared" si="12"/>
        <v>I-067-WS-36</v>
      </c>
      <c r="B431" s="214" t="str">
        <f t="shared" si="13"/>
        <v>I-067-20</v>
      </c>
      <c r="C431" s="45" t="s">
        <v>558</v>
      </c>
      <c r="D431" s="45">
        <v>20</v>
      </c>
      <c r="E431" s="45" t="s">
        <v>609</v>
      </c>
      <c r="F431" s="42" t="str">
        <f>VLOOKUP(E431, 'S11 Work Stations'!$A$2:$B$45, 2, 0)</f>
        <v>SAW-10-421</v>
      </c>
      <c r="G431" s="45">
        <v>120</v>
      </c>
      <c r="H431" s="3">
        <v>200</v>
      </c>
    </row>
    <row r="432" spans="1:8" s="44" customFormat="1">
      <c r="A432" s="214" t="str">
        <f t="shared" si="12"/>
        <v>I-067-WS-43</v>
      </c>
      <c r="B432" s="214" t="str">
        <f t="shared" si="13"/>
        <v>I-067-10</v>
      </c>
      <c r="C432" s="45" t="s">
        <v>558</v>
      </c>
      <c r="D432" s="45">
        <v>10</v>
      </c>
      <c r="E432" s="45" t="s">
        <v>616</v>
      </c>
      <c r="F432" s="42" t="str">
        <f>VLOOKUP(E432, 'S11 Work Stations'!$A$2:$B$45, 2, 0)</f>
        <v>RAW-MAT-INV</v>
      </c>
      <c r="G432" s="45">
        <v>0</v>
      </c>
      <c r="H432" s="3">
        <v>200</v>
      </c>
    </row>
    <row r="433" spans="1:8" s="44" customFormat="1">
      <c r="A433" s="214" t="str">
        <f t="shared" si="12"/>
        <v>I-067-WS-44</v>
      </c>
      <c r="B433" s="214" t="str">
        <f t="shared" si="13"/>
        <v>I-067-60</v>
      </c>
      <c r="C433" s="45" t="s">
        <v>558</v>
      </c>
      <c r="D433" s="45">
        <v>60</v>
      </c>
      <c r="E433" s="45" t="s">
        <v>617</v>
      </c>
      <c r="F433" s="42" t="str">
        <f>VLOOKUP(E433, 'S11 Work Stations'!$A$2:$B$45, 2, 0)</f>
        <v>FIN-GOOD-INV</v>
      </c>
      <c r="G433" s="45">
        <v>0</v>
      </c>
      <c r="H433" s="3">
        <v>200</v>
      </c>
    </row>
    <row r="434" spans="1:8" s="44" customFormat="1">
      <c r="A434" s="214" t="str">
        <f t="shared" si="12"/>
        <v>I-068-WS-05</v>
      </c>
      <c r="B434" s="214" t="str">
        <f t="shared" si="13"/>
        <v>I-068-30</v>
      </c>
      <c r="C434" s="45" t="s">
        <v>186</v>
      </c>
      <c r="D434" s="45">
        <v>30</v>
      </c>
      <c r="E434" s="45" t="s">
        <v>578</v>
      </c>
      <c r="F434" s="42" t="str">
        <f>VLOOKUP(E434, 'S11 Work Stations'!$A$2:$B$45, 2, 0)</f>
        <v>MIL-A2-365</v>
      </c>
      <c r="G434" s="45">
        <v>720</v>
      </c>
      <c r="H434" s="3">
        <v>200</v>
      </c>
    </row>
    <row r="435" spans="1:8" s="44" customFormat="1">
      <c r="A435" s="214" t="str">
        <f t="shared" si="12"/>
        <v>I-068-WS-25</v>
      </c>
      <c r="B435" s="214" t="str">
        <f t="shared" si="13"/>
        <v>I-068-40</v>
      </c>
      <c r="C435" s="45" t="s">
        <v>186</v>
      </c>
      <c r="D435" s="45">
        <v>40</v>
      </c>
      <c r="E435" s="45" t="s">
        <v>598</v>
      </c>
      <c r="F435" s="42" t="str">
        <f>VLOOKUP(E435, 'S11 Work Stations'!$A$2:$B$45, 2, 0)</f>
        <v>DR-2A-201</v>
      </c>
      <c r="G435" s="45">
        <v>120</v>
      </c>
      <c r="H435" s="3">
        <v>200</v>
      </c>
    </row>
    <row r="436" spans="1:8" s="44" customFormat="1">
      <c r="A436" s="214" t="str">
        <f t="shared" si="12"/>
        <v>I-068-WS-34</v>
      </c>
      <c r="B436" s="214" t="str">
        <f t="shared" si="13"/>
        <v>I-068-50</v>
      </c>
      <c r="C436" s="45" t="s">
        <v>186</v>
      </c>
      <c r="D436" s="45">
        <v>50</v>
      </c>
      <c r="E436" s="45" t="s">
        <v>607</v>
      </c>
      <c r="F436" s="42" t="str">
        <f>VLOOKUP(E436, 'S11 Work Stations'!$A$2:$B$45, 2, 0)</f>
        <v>SAW-30-160-252</v>
      </c>
      <c r="G436" s="45">
        <v>480</v>
      </c>
      <c r="H436" s="3">
        <v>200</v>
      </c>
    </row>
    <row r="437" spans="1:8" s="44" customFormat="1">
      <c r="A437" s="214" t="str">
        <f t="shared" si="12"/>
        <v>I-068-WS-36</v>
      </c>
      <c r="B437" s="214" t="str">
        <f t="shared" si="13"/>
        <v>I-068-20</v>
      </c>
      <c r="C437" s="45" t="s">
        <v>186</v>
      </c>
      <c r="D437" s="45">
        <v>20</v>
      </c>
      <c r="E437" s="45" t="s">
        <v>609</v>
      </c>
      <c r="F437" s="42" t="str">
        <f>VLOOKUP(E437, 'S11 Work Stations'!$A$2:$B$45, 2, 0)</f>
        <v>SAW-10-421</v>
      </c>
      <c r="G437" s="45">
        <v>120</v>
      </c>
      <c r="H437" s="3">
        <v>200</v>
      </c>
    </row>
    <row r="438" spans="1:8" s="44" customFormat="1">
      <c r="A438" s="214" t="str">
        <f t="shared" si="12"/>
        <v>I-068-WS-43</v>
      </c>
      <c r="B438" s="214" t="str">
        <f t="shared" si="13"/>
        <v>I-068-10</v>
      </c>
      <c r="C438" s="45" t="s">
        <v>186</v>
      </c>
      <c r="D438" s="45">
        <v>10</v>
      </c>
      <c r="E438" s="45" t="s">
        <v>616</v>
      </c>
      <c r="F438" s="42" t="str">
        <f>VLOOKUP(E438, 'S11 Work Stations'!$A$2:$B$45, 2, 0)</f>
        <v>RAW-MAT-INV</v>
      </c>
      <c r="G438" s="45">
        <v>0</v>
      </c>
      <c r="H438" s="3">
        <v>200</v>
      </c>
    </row>
    <row r="439" spans="1:8" s="44" customFormat="1">
      <c r="A439" s="214" t="str">
        <f t="shared" si="12"/>
        <v>I-068-WS-44</v>
      </c>
      <c r="B439" s="214" t="str">
        <f t="shared" si="13"/>
        <v>I-068-60</v>
      </c>
      <c r="C439" s="45" t="s">
        <v>186</v>
      </c>
      <c r="D439" s="45">
        <v>60</v>
      </c>
      <c r="E439" s="45" t="s">
        <v>617</v>
      </c>
      <c r="F439" s="42" t="str">
        <f>VLOOKUP(E439, 'S11 Work Stations'!$A$2:$B$45, 2, 0)</f>
        <v>FIN-GOOD-INV</v>
      </c>
      <c r="G439" s="45">
        <v>0</v>
      </c>
      <c r="H439" s="3">
        <v>200</v>
      </c>
    </row>
    <row r="440" spans="1:8" s="44" customFormat="1">
      <c r="A440" s="214" t="str">
        <f t="shared" si="12"/>
        <v>I-069-WS-05</v>
      </c>
      <c r="B440" s="214" t="str">
        <f t="shared" si="13"/>
        <v>I-069-30</v>
      </c>
      <c r="C440" s="45" t="s">
        <v>194</v>
      </c>
      <c r="D440" s="45">
        <v>30</v>
      </c>
      <c r="E440" s="45" t="s">
        <v>578</v>
      </c>
      <c r="F440" s="42" t="str">
        <f>VLOOKUP(E440, 'S11 Work Stations'!$A$2:$B$45, 2, 0)</f>
        <v>MIL-A2-365</v>
      </c>
      <c r="G440" s="45">
        <v>360</v>
      </c>
      <c r="H440" s="3">
        <v>200</v>
      </c>
    </row>
    <row r="441" spans="1:8" s="44" customFormat="1">
      <c r="A441" s="214" t="str">
        <f t="shared" si="12"/>
        <v>I-069-WS-25</v>
      </c>
      <c r="B441" s="214" t="str">
        <f t="shared" si="13"/>
        <v>I-069-40</v>
      </c>
      <c r="C441" s="45" t="s">
        <v>194</v>
      </c>
      <c r="D441" s="45">
        <v>40</v>
      </c>
      <c r="E441" s="45" t="s">
        <v>598</v>
      </c>
      <c r="F441" s="42" t="str">
        <f>VLOOKUP(E441, 'S11 Work Stations'!$A$2:$B$45, 2, 0)</f>
        <v>DR-2A-201</v>
      </c>
      <c r="G441" s="45">
        <v>180</v>
      </c>
      <c r="H441" s="3">
        <v>200</v>
      </c>
    </row>
    <row r="442" spans="1:8" s="44" customFormat="1">
      <c r="A442" s="214" t="str">
        <f t="shared" si="12"/>
        <v>I-069-WS-34</v>
      </c>
      <c r="B442" s="214" t="str">
        <f t="shared" si="13"/>
        <v>I-069-50</v>
      </c>
      <c r="C442" s="45" t="s">
        <v>194</v>
      </c>
      <c r="D442" s="45">
        <v>50</v>
      </c>
      <c r="E442" s="45" t="s">
        <v>607</v>
      </c>
      <c r="F442" s="42" t="str">
        <f>VLOOKUP(E442, 'S11 Work Stations'!$A$2:$B$45, 2, 0)</f>
        <v>SAW-30-160-252</v>
      </c>
      <c r="G442" s="45">
        <v>900</v>
      </c>
      <c r="H442" s="3">
        <v>200</v>
      </c>
    </row>
    <row r="443" spans="1:8" s="44" customFormat="1">
      <c r="A443" s="214" t="str">
        <f t="shared" si="12"/>
        <v>I-069-WS-36</v>
      </c>
      <c r="B443" s="214" t="str">
        <f t="shared" si="13"/>
        <v>I-069-20</v>
      </c>
      <c r="C443" s="45" t="s">
        <v>194</v>
      </c>
      <c r="D443" s="45">
        <v>20</v>
      </c>
      <c r="E443" s="45" t="s">
        <v>609</v>
      </c>
      <c r="F443" s="42" t="str">
        <f>VLOOKUP(E443, 'S11 Work Stations'!$A$2:$B$45, 2, 0)</f>
        <v>SAW-10-421</v>
      </c>
      <c r="G443" s="45">
        <v>60</v>
      </c>
      <c r="H443" s="3">
        <v>200</v>
      </c>
    </row>
    <row r="444" spans="1:8" s="44" customFormat="1">
      <c r="A444" s="214" t="str">
        <f t="shared" si="12"/>
        <v>I-069-WS-43</v>
      </c>
      <c r="B444" s="214" t="str">
        <f t="shared" si="13"/>
        <v>I-069-10</v>
      </c>
      <c r="C444" s="45" t="s">
        <v>194</v>
      </c>
      <c r="D444" s="45">
        <v>10</v>
      </c>
      <c r="E444" s="45" t="s">
        <v>616</v>
      </c>
      <c r="F444" s="42" t="str">
        <f>VLOOKUP(E444, 'S11 Work Stations'!$A$2:$B$45, 2, 0)</f>
        <v>RAW-MAT-INV</v>
      </c>
      <c r="G444" s="45">
        <v>0</v>
      </c>
      <c r="H444" s="3">
        <v>200</v>
      </c>
    </row>
    <row r="445" spans="1:8" s="44" customFormat="1">
      <c r="A445" s="214" t="str">
        <f t="shared" si="12"/>
        <v>I-069-WS-44</v>
      </c>
      <c r="B445" s="214" t="str">
        <f t="shared" si="13"/>
        <v>I-069-60</v>
      </c>
      <c r="C445" s="45" t="s">
        <v>194</v>
      </c>
      <c r="D445" s="45">
        <v>60</v>
      </c>
      <c r="E445" s="45" t="s">
        <v>617</v>
      </c>
      <c r="F445" s="42" t="str">
        <f>VLOOKUP(E445, 'S11 Work Stations'!$A$2:$B$45, 2, 0)</f>
        <v>FIN-GOOD-INV</v>
      </c>
      <c r="G445" s="45">
        <v>0</v>
      </c>
      <c r="H445" s="3">
        <v>200</v>
      </c>
    </row>
    <row r="446" spans="1:8" s="44" customFormat="1">
      <c r="A446" s="214" t="str">
        <f t="shared" si="12"/>
        <v>I-070-WS-05</v>
      </c>
      <c r="B446" s="214" t="str">
        <f t="shared" si="13"/>
        <v>I-070-30</v>
      </c>
      <c r="C446" s="45" t="s">
        <v>196</v>
      </c>
      <c r="D446" s="45">
        <v>30</v>
      </c>
      <c r="E446" s="45" t="s">
        <v>578</v>
      </c>
      <c r="F446" s="42" t="str">
        <f>VLOOKUP(E446, 'S11 Work Stations'!$A$2:$B$45, 2, 0)</f>
        <v>MIL-A2-365</v>
      </c>
      <c r="G446" s="45">
        <v>540</v>
      </c>
      <c r="H446" s="3">
        <v>200</v>
      </c>
    </row>
    <row r="447" spans="1:8" s="44" customFormat="1">
      <c r="A447" s="214" t="str">
        <f t="shared" si="12"/>
        <v>I-070-WS-25</v>
      </c>
      <c r="B447" s="214" t="str">
        <f t="shared" si="13"/>
        <v>I-070-40</v>
      </c>
      <c r="C447" s="45" t="s">
        <v>196</v>
      </c>
      <c r="D447" s="45">
        <v>40</v>
      </c>
      <c r="E447" s="45" t="s">
        <v>598</v>
      </c>
      <c r="F447" s="42" t="str">
        <f>VLOOKUP(E447, 'S11 Work Stations'!$A$2:$B$45, 2, 0)</f>
        <v>DR-2A-201</v>
      </c>
      <c r="G447" s="45">
        <v>180</v>
      </c>
      <c r="H447" s="3">
        <v>200</v>
      </c>
    </row>
    <row r="448" spans="1:8" s="44" customFormat="1">
      <c r="A448" s="214" t="str">
        <f t="shared" si="12"/>
        <v>I-070-WS-34</v>
      </c>
      <c r="B448" s="214" t="str">
        <f t="shared" si="13"/>
        <v>I-070-50</v>
      </c>
      <c r="C448" s="45" t="s">
        <v>196</v>
      </c>
      <c r="D448" s="45">
        <v>50</v>
      </c>
      <c r="E448" s="45" t="s">
        <v>607</v>
      </c>
      <c r="F448" s="42" t="str">
        <f>VLOOKUP(E448, 'S11 Work Stations'!$A$2:$B$45, 2, 0)</f>
        <v>SAW-30-160-252</v>
      </c>
      <c r="G448" s="45">
        <v>240</v>
      </c>
      <c r="H448" s="3">
        <v>200</v>
      </c>
    </row>
    <row r="449" spans="1:8" s="44" customFormat="1">
      <c r="A449" s="214" t="str">
        <f t="shared" si="12"/>
        <v>I-070-WS-36</v>
      </c>
      <c r="B449" s="214" t="str">
        <f t="shared" si="13"/>
        <v>I-070-20</v>
      </c>
      <c r="C449" s="45" t="s">
        <v>196</v>
      </c>
      <c r="D449" s="45">
        <v>20</v>
      </c>
      <c r="E449" s="45" t="s">
        <v>609</v>
      </c>
      <c r="F449" s="42" t="str">
        <f>VLOOKUP(E449, 'S11 Work Stations'!$A$2:$B$45, 2, 0)</f>
        <v>SAW-10-421</v>
      </c>
      <c r="G449" s="45">
        <v>120</v>
      </c>
      <c r="H449" s="3">
        <v>200</v>
      </c>
    </row>
    <row r="450" spans="1:8" s="44" customFormat="1">
      <c r="A450" s="214" t="str">
        <f t="shared" ref="A450:A513" si="14">C450&amp;"-"&amp;E450</f>
        <v>I-070-WS-43</v>
      </c>
      <c r="B450" s="214" t="str">
        <f t="shared" ref="B450:B513" si="15">C450&amp;"-"&amp;D450</f>
        <v>I-070-10</v>
      </c>
      <c r="C450" s="45" t="s">
        <v>196</v>
      </c>
      <c r="D450" s="45">
        <v>10</v>
      </c>
      <c r="E450" s="45" t="s">
        <v>616</v>
      </c>
      <c r="F450" s="42" t="str">
        <f>VLOOKUP(E450, 'S11 Work Stations'!$A$2:$B$45, 2, 0)</f>
        <v>RAW-MAT-INV</v>
      </c>
      <c r="G450" s="45">
        <v>0</v>
      </c>
      <c r="H450" s="3">
        <v>200</v>
      </c>
    </row>
    <row r="451" spans="1:8" s="44" customFormat="1">
      <c r="A451" s="214" t="str">
        <f t="shared" si="14"/>
        <v>I-070-WS-44</v>
      </c>
      <c r="B451" s="214" t="str">
        <f t="shared" si="15"/>
        <v>I-070-60</v>
      </c>
      <c r="C451" s="45" t="s">
        <v>196</v>
      </c>
      <c r="D451" s="45">
        <v>60</v>
      </c>
      <c r="E451" s="45" t="s">
        <v>617</v>
      </c>
      <c r="F451" s="42" t="str">
        <f>VLOOKUP(E451, 'S11 Work Stations'!$A$2:$B$45, 2, 0)</f>
        <v>FIN-GOOD-INV</v>
      </c>
      <c r="G451" s="45">
        <v>0</v>
      </c>
      <c r="H451" s="3">
        <v>200</v>
      </c>
    </row>
    <row r="452" spans="1:8" s="44" customFormat="1">
      <c r="A452" s="214" t="str">
        <f t="shared" si="14"/>
        <v>I-071-WS-05</v>
      </c>
      <c r="B452" s="214" t="str">
        <f t="shared" si="15"/>
        <v>I-071-30</v>
      </c>
      <c r="C452" s="45" t="s">
        <v>202</v>
      </c>
      <c r="D452" s="45">
        <v>30</v>
      </c>
      <c r="E452" s="45" t="s">
        <v>578</v>
      </c>
      <c r="F452" s="42" t="str">
        <f>VLOOKUP(E452, 'S11 Work Stations'!$A$2:$B$45, 2, 0)</f>
        <v>MIL-A2-365</v>
      </c>
      <c r="G452" s="45">
        <v>840</v>
      </c>
      <c r="H452" s="3">
        <v>200</v>
      </c>
    </row>
    <row r="453" spans="1:8" s="44" customFormat="1">
      <c r="A453" s="214" t="str">
        <f t="shared" si="14"/>
        <v>I-071-WS-25</v>
      </c>
      <c r="B453" s="214" t="str">
        <f t="shared" si="15"/>
        <v>I-071-40</v>
      </c>
      <c r="C453" s="45" t="s">
        <v>202</v>
      </c>
      <c r="D453" s="45">
        <v>40</v>
      </c>
      <c r="E453" s="45" t="s">
        <v>598</v>
      </c>
      <c r="F453" s="42" t="str">
        <f>VLOOKUP(E453, 'S11 Work Stations'!$A$2:$B$45, 2, 0)</f>
        <v>DR-2A-201</v>
      </c>
      <c r="G453" s="45">
        <v>840</v>
      </c>
      <c r="H453" s="3">
        <v>200</v>
      </c>
    </row>
    <row r="454" spans="1:8" s="44" customFormat="1">
      <c r="A454" s="214" t="str">
        <f t="shared" si="14"/>
        <v>I-071-WS-34</v>
      </c>
      <c r="B454" s="214" t="str">
        <f t="shared" si="15"/>
        <v>I-071-50</v>
      </c>
      <c r="C454" s="45" t="s">
        <v>202</v>
      </c>
      <c r="D454" s="45">
        <v>50</v>
      </c>
      <c r="E454" s="45" t="s">
        <v>607</v>
      </c>
      <c r="F454" s="42" t="str">
        <f>VLOOKUP(E454, 'S11 Work Stations'!$A$2:$B$45, 2, 0)</f>
        <v>SAW-30-160-252</v>
      </c>
      <c r="G454" s="45">
        <v>480</v>
      </c>
      <c r="H454" s="3">
        <v>200</v>
      </c>
    </row>
    <row r="455" spans="1:8" s="44" customFormat="1">
      <c r="A455" s="214" t="str">
        <f t="shared" si="14"/>
        <v>I-071-WS-36</v>
      </c>
      <c r="B455" s="214" t="str">
        <f t="shared" si="15"/>
        <v>I-071-20</v>
      </c>
      <c r="C455" s="45" t="s">
        <v>202</v>
      </c>
      <c r="D455" s="45">
        <v>20</v>
      </c>
      <c r="E455" s="45" t="s">
        <v>609</v>
      </c>
      <c r="F455" s="42" t="str">
        <f>VLOOKUP(E455, 'S11 Work Stations'!$A$2:$B$45, 2, 0)</f>
        <v>SAW-10-421</v>
      </c>
      <c r="G455" s="45">
        <v>60</v>
      </c>
      <c r="H455" s="3">
        <v>200</v>
      </c>
    </row>
    <row r="456" spans="1:8" s="44" customFormat="1">
      <c r="A456" s="214" t="str">
        <f t="shared" si="14"/>
        <v>I-071-WS-43</v>
      </c>
      <c r="B456" s="214" t="str">
        <f t="shared" si="15"/>
        <v>I-071-10</v>
      </c>
      <c r="C456" s="45" t="s">
        <v>202</v>
      </c>
      <c r="D456" s="45">
        <v>10</v>
      </c>
      <c r="E456" s="45" t="s">
        <v>616</v>
      </c>
      <c r="F456" s="42" t="str">
        <f>VLOOKUP(E456, 'S11 Work Stations'!$A$2:$B$45, 2, 0)</f>
        <v>RAW-MAT-INV</v>
      </c>
      <c r="G456" s="45">
        <v>0</v>
      </c>
      <c r="H456" s="3">
        <v>200</v>
      </c>
    </row>
    <row r="457" spans="1:8" s="44" customFormat="1">
      <c r="A457" s="214" t="str">
        <f t="shared" si="14"/>
        <v>I-071-WS-44</v>
      </c>
      <c r="B457" s="214" t="str">
        <f t="shared" si="15"/>
        <v>I-071-60</v>
      </c>
      <c r="C457" s="45" t="s">
        <v>202</v>
      </c>
      <c r="D457" s="45">
        <v>60</v>
      </c>
      <c r="E457" s="45" t="s">
        <v>617</v>
      </c>
      <c r="F457" s="42" t="str">
        <f>VLOOKUP(E457, 'S11 Work Stations'!$A$2:$B$45, 2, 0)</f>
        <v>FIN-GOOD-INV</v>
      </c>
      <c r="G457" s="45">
        <v>0</v>
      </c>
      <c r="H457" s="3">
        <v>200</v>
      </c>
    </row>
    <row r="458" spans="1:8" s="44" customFormat="1">
      <c r="A458" s="214" t="str">
        <f t="shared" si="14"/>
        <v>I-072-WS-05</v>
      </c>
      <c r="B458" s="214" t="str">
        <f t="shared" si="15"/>
        <v>I-072-30</v>
      </c>
      <c r="C458" s="45" t="s">
        <v>221</v>
      </c>
      <c r="D458" s="45">
        <v>30</v>
      </c>
      <c r="E458" s="45" t="s">
        <v>578</v>
      </c>
      <c r="F458" s="42" t="str">
        <f>VLOOKUP(E458, 'S11 Work Stations'!$A$2:$B$45, 2, 0)</f>
        <v>MIL-A2-365</v>
      </c>
      <c r="G458" s="45">
        <v>540</v>
      </c>
      <c r="H458" s="3">
        <v>200</v>
      </c>
    </row>
    <row r="459" spans="1:8" s="44" customFormat="1">
      <c r="A459" s="214" t="str">
        <f t="shared" si="14"/>
        <v>I-072-WS-25</v>
      </c>
      <c r="B459" s="214" t="str">
        <f t="shared" si="15"/>
        <v>I-072-40</v>
      </c>
      <c r="C459" s="45" t="s">
        <v>221</v>
      </c>
      <c r="D459" s="45">
        <v>40</v>
      </c>
      <c r="E459" s="45" t="s">
        <v>598</v>
      </c>
      <c r="F459" s="42" t="str">
        <f>VLOOKUP(E459, 'S11 Work Stations'!$A$2:$B$45, 2, 0)</f>
        <v>DR-2A-201</v>
      </c>
      <c r="G459" s="45">
        <v>720</v>
      </c>
      <c r="H459" s="3">
        <v>200</v>
      </c>
    </row>
    <row r="460" spans="1:8" s="44" customFormat="1">
      <c r="A460" s="214" t="str">
        <f t="shared" si="14"/>
        <v>I-072-WS-34</v>
      </c>
      <c r="B460" s="214" t="str">
        <f t="shared" si="15"/>
        <v>I-072-50</v>
      </c>
      <c r="C460" s="45" t="s">
        <v>221</v>
      </c>
      <c r="D460" s="45">
        <v>50</v>
      </c>
      <c r="E460" s="45" t="s">
        <v>607</v>
      </c>
      <c r="F460" s="42" t="str">
        <f>VLOOKUP(E460, 'S11 Work Stations'!$A$2:$B$45, 2, 0)</f>
        <v>SAW-30-160-252</v>
      </c>
      <c r="G460" s="45">
        <v>180</v>
      </c>
      <c r="H460" s="3">
        <v>200</v>
      </c>
    </row>
    <row r="461" spans="1:8" s="44" customFormat="1">
      <c r="A461" s="214" t="str">
        <f t="shared" si="14"/>
        <v>I-072-WS-36</v>
      </c>
      <c r="B461" s="214" t="str">
        <f t="shared" si="15"/>
        <v>I-072-20</v>
      </c>
      <c r="C461" s="45" t="s">
        <v>221</v>
      </c>
      <c r="D461" s="45">
        <v>20</v>
      </c>
      <c r="E461" s="45" t="s">
        <v>609</v>
      </c>
      <c r="F461" s="42" t="str">
        <f>VLOOKUP(E461, 'S11 Work Stations'!$A$2:$B$45, 2, 0)</f>
        <v>SAW-10-421</v>
      </c>
      <c r="G461" s="45">
        <v>60</v>
      </c>
      <c r="H461" s="3">
        <v>200</v>
      </c>
    </row>
    <row r="462" spans="1:8" s="44" customFormat="1">
      <c r="A462" s="214" t="str">
        <f t="shared" si="14"/>
        <v>I-072-WS-43</v>
      </c>
      <c r="B462" s="214" t="str">
        <f t="shared" si="15"/>
        <v>I-072-10</v>
      </c>
      <c r="C462" s="45" t="s">
        <v>221</v>
      </c>
      <c r="D462" s="45">
        <v>10</v>
      </c>
      <c r="E462" s="45" t="s">
        <v>616</v>
      </c>
      <c r="F462" s="42" t="str">
        <f>VLOOKUP(E462, 'S11 Work Stations'!$A$2:$B$45, 2, 0)</f>
        <v>RAW-MAT-INV</v>
      </c>
      <c r="G462" s="45">
        <v>0</v>
      </c>
      <c r="H462" s="3">
        <v>200</v>
      </c>
    </row>
    <row r="463" spans="1:8" s="44" customFormat="1">
      <c r="A463" s="214" t="str">
        <f t="shared" si="14"/>
        <v>I-072-WS-44</v>
      </c>
      <c r="B463" s="214" t="str">
        <f t="shared" si="15"/>
        <v>I-072-60</v>
      </c>
      <c r="C463" s="45" t="s">
        <v>221</v>
      </c>
      <c r="D463" s="45">
        <v>60</v>
      </c>
      <c r="E463" s="45" t="s">
        <v>617</v>
      </c>
      <c r="F463" s="42" t="str">
        <f>VLOOKUP(E463, 'S11 Work Stations'!$A$2:$B$45, 2, 0)</f>
        <v>FIN-GOOD-INV</v>
      </c>
      <c r="G463" s="45">
        <v>0</v>
      </c>
      <c r="H463" s="3">
        <v>200</v>
      </c>
    </row>
    <row r="464" spans="1:8" s="44" customFormat="1">
      <c r="A464" s="214" t="str">
        <f t="shared" si="14"/>
        <v>I-073-WS-07</v>
      </c>
      <c r="B464" s="214" t="str">
        <f t="shared" si="15"/>
        <v>I-073-30</v>
      </c>
      <c r="C464" s="45" t="s">
        <v>200</v>
      </c>
      <c r="D464" s="45">
        <v>30</v>
      </c>
      <c r="E464" s="45" t="s">
        <v>580</v>
      </c>
      <c r="F464" s="42" t="str">
        <f>VLOOKUP(E464, 'S11 Work Stations'!$A$2:$B$45, 2, 0)</f>
        <v>TUR-C2-367</v>
      </c>
      <c r="G464" s="45">
        <v>540</v>
      </c>
      <c r="H464" s="3">
        <v>200</v>
      </c>
    </row>
    <row r="465" spans="1:8" s="44" customFormat="1">
      <c r="A465" s="214" t="str">
        <f t="shared" si="14"/>
        <v>I-073-WS-21</v>
      </c>
      <c r="B465" s="214" t="str">
        <f t="shared" si="15"/>
        <v>I-073-40</v>
      </c>
      <c r="C465" s="45" t="s">
        <v>200</v>
      </c>
      <c r="D465" s="45">
        <v>40</v>
      </c>
      <c r="E465" s="45" t="s">
        <v>594</v>
      </c>
      <c r="F465" s="42" t="str">
        <f>VLOOKUP(E465, 'S11 Work Stations'!$A$2:$B$45, 2, 0)</f>
        <v>MIL-U1-605</v>
      </c>
      <c r="G465" s="45">
        <v>180</v>
      </c>
      <c r="H465" s="3">
        <v>200</v>
      </c>
    </row>
    <row r="466" spans="1:8" s="44" customFormat="1">
      <c r="A466" s="214" t="str">
        <f t="shared" si="14"/>
        <v>I-073-WS-27</v>
      </c>
      <c r="B466" s="214" t="str">
        <f t="shared" si="15"/>
        <v>I-073-60</v>
      </c>
      <c r="C466" s="45" t="s">
        <v>200</v>
      </c>
      <c r="D466" s="45">
        <v>60</v>
      </c>
      <c r="E466" s="45" t="s">
        <v>600</v>
      </c>
      <c r="F466" s="42" t="str">
        <f>VLOOKUP(E466, 'S11 Work Stations'!$A$2:$B$45, 2, 0)</f>
        <v>GR-T1-203</v>
      </c>
      <c r="G466" s="45">
        <v>540</v>
      </c>
      <c r="H466" s="3">
        <v>200</v>
      </c>
    </row>
    <row r="467" spans="1:8" s="44" customFormat="1">
      <c r="A467" s="214" t="str">
        <f t="shared" si="14"/>
        <v>I-073-WS-28</v>
      </c>
      <c r="B467" s="214" t="str">
        <f t="shared" si="15"/>
        <v>I-073-50</v>
      </c>
      <c r="C467" s="45" t="s">
        <v>200</v>
      </c>
      <c r="D467" s="45">
        <v>50</v>
      </c>
      <c r="E467" s="45" t="s">
        <v>601</v>
      </c>
      <c r="F467" s="42" t="str">
        <f>VLOOKUP(E467, 'S11 Work Stations'!$A$2:$B$45, 2, 0)</f>
        <v>DR-T3-204</v>
      </c>
      <c r="G467" s="45">
        <v>300</v>
      </c>
      <c r="H467" s="3">
        <v>200</v>
      </c>
    </row>
    <row r="468" spans="1:8" s="44" customFormat="1">
      <c r="A468" s="214" t="str">
        <f t="shared" si="14"/>
        <v>I-073-WS-32</v>
      </c>
      <c r="B468" s="214" t="str">
        <f t="shared" si="15"/>
        <v>I-073-70</v>
      </c>
      <c r="C468" s="45" t="s">
        <v>200</v>
      </c>
      <c r="D468" s="45">
        <v>70</v>
      </c>
      <c r="E468" s="45" t="s">
        <v>605</v>
      </c>
      <c r="F468" s="42" t="str">
        <f>VLOOKUP(E468, 'S11 Work Stations'!$A$2:$B$45, 2, 0)</f>
        <v>SAW-30-150-251</v>
      </c>
      <c r="G468" s="45">
        <v>180</v>
      </c>
      <c r="H468" s="3">
        <v>200</v>
      </c>
    </row>
    <row r="469" spans="1:8" s="44" customFormat="1">
      <c r="A469" s="214" t="str">
        <f t="shared" si="14"/>
        <v>I-073-WS-38</v>
      </c>
      <c r="B469" s="214" t="str">
        <f t="shared" si="15"/>
        <v>I-073-20</v>
      </c>
      <c r="C469" s="45" t="s">
        <v>200</v>
      </c>
      <c r="D469" s="45">
        <v>20</v>
      </c>
      <c r="E469" s="45" t="s">
        <v>611</v>
      </c>
      <c r="F469" s="42" t="str">
        <f>VLOOKUP(E469, 'S11 Work Stations'!$A$2:$B$45, 2, 0)</f>
        <v>SAW-150-423</v>
      </c>
      <c r="G469" s="45">
        <v>120</v>
      </c>
      <c r="H469" s="3">
        <v>200</v>
      </c>
    </row>
    <row r="470" spans="1:8" s="44" customFormat="1">
      <c r="A470" s="214" t="str">
        <f t="shared" si="14"/>
        <v>I-073-WS-43</v>
      </c>
      <c r="B470" s="214" t="str">
        <f t="shared" si="15"/>
        <v>I-073-10</v>
      </c>
      <c r="C470" s="45" t="s">
        <v>200</v>
      </c>
      <c r="D470" s="45">
        <v>10</v>
      </c>
      <c r="E470" s="45" t="s">
        <v>616</v>
      </c>
      <c r="F470" s="42" t="str">
        <f>VLOOKUP(E470, 'S11 Work Stations'!$A$2:$B$45, 2, 0)</f>
        <v>RAW-MAT-INV</v>
      </c>
      <c r="G470" s="45">
        <v>0</v>
      </c>
      <c r="H470" s="3">
        <v>200</v>
      </c>
    </row>
    <row r="471" spans="1:8" s="44" customFormat="1">
      <c r="A471" s="214" t="str">
        <f t="shared" si="14"/>
        <v>I-073-WS-44</v>
      </c>
      <c r="B471" s="214" t="str">
        <f t="shared" si="15"/>
        <v>I-073-80</v>
      </c>
      <c r="C471" s="45" t="s">
        <v>200</v>
      </c>
      <c r="D471" s="45">
        <v>80</v>
      </c>
      <c r="E471" s="45" t="s">
        <v>617</v>
      </c>
      <c r="F471" s="42" t="str">
        <f>VLOOKUP(E471, 'S11 Work Stations'!$A$2:$B$45, 2, 0)</f>
        <v>FIN-GOOD-INV</v>
      </c>
      <c r="G471" s="45">
        <v>0</v>
      </c>
      <c r="H471" s="3">
        <v>200</v>
      </c>
    </row>
    <row r="472" spans="1:8" s="44" customFormat="1">
      <c r="A472" s="214" t="str">
        <f t="shared" si="14"/>
        <v>I-074-WS-07</v>
      </c>
      <c r="B472" s="214" t="str">
        <f t="shared" si="15"/>
        <v>I-074-30</v>
      </c>
      <c r="C472" s="45" t="s">
        <v>205</v>
      </c>
      <c r="D472" s="45">
        <v>30</v>
      </c>
      <c r="E472" s="45" t="s">
        <v>580</v>
      </c>
      <c r="F472" s="42" t="str">
        <f>VLOOKUP(E472, 'S11 Work Stations'!$A$2:$B$45, 2, 0)</f>
        <v>TUR-C2-367</v>
      </c>
      <c r="G472" s="45">
        <v>840</v>
      </c>
      <c r="H472" s="3">
        <v>50</v>
      </c>
    </row>
    <row r="473" spans="1:8" s="44" customFormat="1">
      <c r="A473" s="214" t="str">
        <f t="shared" si="14"/>
        <v>I-074-WS-21</v>
      </c>
      <c r="B473" s="214" t="str">
        <f t="shared" si="15"/>
        <v>I-074-40</v>
      </c>
      <c r="C473" s="45" t="s">
        <v>205</v>
      </c>
      <c r="D473" s="45">
        <v>40</v>
      </c>
      <c r="E473" s="45" t="s">
        <v>594</v>
      </c>
      <c r="F473" s="42" t="str">
        <f>VLOOKUP(E473, 'S11 Work Stations'!$A$2:$B$45, 2, 0)</f>
        <v>MIL-U1-605</v>
      </c>
      <c r="G473" s="45">
        <v>180</v>
      </c>
      <c r="H473" s="3">
        <v>50</v>
      </c>
    </row>
    <row r="474" spans="1:8" s="44" customFormat="1">
      <c r="A474" s="214" t="str">
        <f t="shared" si="14"/>
        <v>I-074-WS-27</v>
      </c>
      <c r="B474" s="214" t="str">
        <f t="shared" si="15"/>
        <v>I-074-60</v>
      </c>
      <c r="C474" s="45" t="s">
        <v>205</v>
      </c>
      <c r="D474" s="45">
        <v>60</v>
      </c>
      <c r="E474" s="45" t="s">
        <v>600</v>
      </c>
      <c r="F474" s="42" t="str">
        <f>VLOOKUP(E474, 'S11 Work Stations'!$A$2:$B$45, 2, 0)</f>
        <v>GR-T1-203</v>
      </c>
      <c r="G474" s="45">
        <v>480</v>
      </c>
      <c r="H474" s="3">
        <v>50</v>
      </c>
    </row>
    <row r="475" spans="1:8" s="44" customFormat="1">
      <c r="A475" s="214" t="str">
        <f t="shared" si="14"/>
        <v>I-074-WS-28</v>
      </c>
      <c r="B475" s="214" t="str">
        <f t="shared" si="15"/>
        <v>I-074-50</v>
      </c>
      <c r="C475" s="45" t="s">
        <v>205</v>
      </c>
      <c r="D475" s="45">
        <v>50</v>
      </c>
      <c r="E475" s="45" t="s">
        <v>601</v>
      </c>
      <c r="F475" s="42" t="str">
        <f>VLOOKUP(E475, 'S11 Work Stations'!$A$2:$B$45, 2, 0)</f>
        <v>DR-T3-204</v>
      </c>
      <c r="G475" s="45">
        <v>300</v>
      </c>
      <c r="H475" s="3">
        <v>50</v>
      </c>
    </row>
    <row r="476" spans="1:8" s="44" customFormat="1">
      <c r="A476" s="214" t="str">
        <f t="shared" si="14"/>
        <v>I-074-WS-32</v>
      </c>
      <c r="B476" s="214" t="str">
        <f t="shared" si="15"/>
        <v>I-074-70</v>
      </c>
      <c r="C476" s="45" t="s">
        <v>205</v>
      </c>
      <c r="D476" s="45">
        <v>70</v>
      </c>
      <c r="E476" s="45" t="s">
        <v>605</v>
      </c>
      <c r="F476" s="42" t="str">
        <f>VLOOKUP(E476, 'S11 Work Stations'!$A$2:$B$45, 2, 0)</f>
        <v>SAW-30-150-251</v>
      </c>
      <c r="G476" s="45">
        <v>300</v>
      </c>
      <c r="H476" s="3">
        <v>50</v>
      </c>
    </row>
    <row r="477" spans="1:8" s="44" customFormat="1">
      <c r="A477" s="214" t="str">
        <f t="shared" si="14"/>
        <v>I-074-WS-38</v>
      </c>
      <c r="B477" s="214" t="str">
        <f t="shared" si="15"/>
        <v>I-074-20</v>
      </c>
      <c r="C477" s="45" t="s">
        <v>205</v>
      </c>
      <c r="D477" s="45">
        <v>20</v>
      </c>
      <c r="E477" s="45" t="s">
        <v>611</v>
      </c>
      <c r="F477" s="42" t="str">
        <f>VLOOKUP(E477, 'S11 Work Stations'!$A$2:$B$45, 2, 0)</f>
        <v>SAW-150-423</v>
      </c>
      <c r="G477" s="45">
        <v>120</v>
      </c>
      <c r="H477" s="3">
        <v>50</v>
      </c>
    </row>
    <row r="478" spans="1:8" s="44" customFormat="1">
      <c r="A478" s="214" t="str">
        <f t="shared" si="14"/>
        <v>I-074-WS-43</v>
      </c>
      <c r="B478" s="214" t="str">
        <f t="shared" si="15"/>
        <v>I-074-10</v>
      </c>
      <c r="C478" s="45" t="s">
        <v>205</v>
      </c>
      <c r="D478" s="45">
        <v>10</v>
      </c>
      <c r="E478" s="45" t="s">
        <v>616</v>
      </c>
      <c r="F478" s="42" t="str">
        <f>VLOOKUP(E478, 'S11 Work Stations'!$A$2:$B$45, 2, 0)</f>
        <v>RAW-MAT-INV</v>
      </c>
      <c r="G478" s="45">
        <v>0</v>
      </c>
      <c r="H478" s="3">
        <v>50</v>
      </c>
    </row>
    <row r="479" spans="1:8" s="44" customFormat="1">
      <c r="A479" s="214" t="str">
        <f t="shared" si="14"/>
        <v>I-074-WS-44</v>
      </c>
      <c r="B479" s="214" t="str">
        <f t="shared" si="15"/>
        <v>I-074-80</v>
      </c>
      <c r="C479" s="45" t="s">
        <v>205</v>
      </c>
      <c r="D479" s="45">
        <v>80</v>
      </c>
      <c r="E479" s="45" t="s">
        <v>617</v>
      </c>
      <c r="F479" s="42" t="str">
        <f>VLOOKUP(E479, 'S11 Work Stations'!$A$2:$B$45, 2, 0)</f>
        <v>FIN-GOOD-INV</v>
      </c>
      <c r="G479" s="45">
        <v>0</v>
      </c>
      <c r="H479" s="3">
        <v>50</v>
      </c>
    </row>
    <row r="480" spans="1:8" s="44" customFormat="1">
      <c r="A480" s="214" t="str">
        <f t="shared" si="14"/>
        <v>I-075-WS-01</v>
      </c>
      <c r="B480" s="214" t="str">
        <f t="shared" si="15"/>
        <v>I-075-30</v>
      </c>
      <c r="C480" s="45" t="s">
        <v>559</v>
      </c>
      <c r="D480" s="45">
        <v>30</v>
      </c>
      <c r="E480" s="45" t="s">
        <v>574</v>
      </c>
      <c r="F480" s="42" t="str">
        <f>VLOOKUP(E480, 'S11 Work Stations'!$A$2:$B$45, 2, 0)</f>
        <v>MIL-AB-361</v>
      </c>
      <c r="G480" s="45">
        <v>960</v>
      </c>
      <c r="H480" s="3">
        <v>50</v>
      </c>
    </row>
    <row r="481" spans="1:8" s="44" customFormat="1">
      <c r="A481" s="214" t="str">
        <f t="shared" si="14"/>
        <v>I-075-WS-23</v>
      </c>
      <c r="B481" s="214" t="str">
        <f t="shared" si="15"/>
        <v>I-075-50</v>
      </c>
      <c r="C481" s="45" t="s">
        <v>559</v>
      </c>
      <c r="D481" s="45">
        <v>50</v>
      </c>
      <c r="E481" s="45" t="s">
        <v>596</v>
      </c>
      <c r="F481" s="42" t="str">
        <f>VLOOKUP(E481, 'S11 Work Stations'!$A$2:$B$45, 2, 0)</f>
        <v>MIL-U2-607</v>
      </c>
      <c r="G481" s="45">
        <v>720</v>
      </c>
      <c r="H481" s="3">
        <v>200</v>
      </c>
    </row>
    <row r="482" spans="1:8" s="44" customFormat="1">
      <c r="A482" s="214" t="str">
        <f t="shared" si="14"/>
        <v>I-075-WS-28</v>
      </c>
      <c r="B482" s="214" t="str">
        <f t="shared" si="15"/>
        <v>I-075-40</v>
      </c>
      <c r="C482" s="45" t="s">
        <v>559</v>
      </c>
      <c r="D482" s="45">
        <v>40</v>
      </c>
      <c r="E482" s="45" t="s">
        <v>601</v>
      </c>
      <c r="F482" s="42" t="str">
        <f>VLOOKUP(E482, 'S11 Work Stations'!$A$2:$B$45, 2, 0)</f>
        <v>DR-T3-204</v>
      </c>
      <c r="G482" s="45">
        <v>480</v>
      </c>
      <c r="H482" s="3">
        <v>200</v>
      </c>
    </row>
    <row r="483" spans="1:8" s="44" customFormat="1">
      <c r="A483" s="214" t="str">
        <f t="shared" si="14"/>
        <v>I-075-WS-32</v>
      </c>
      <c r="B483" s="214" t="str">
        <f t="shared" si="15"/>
        <v>I-075-60</v>
      </c>
      <c r="C483" s="45" t="s">
        <v>559</v>
      </c>
      <c r="D483" s="45">
        <v>60</v>
      </c>
      <c r="E483" s="45" t="s">
        <v>605</v>
      </c>
      <c r="F483" s="42" t="str">
        <f>VLOOKUP(E483, 'S11 Work Stations'!$A$2:$B$45, 2, 0)</f>
        <v>SAW-30-150-251</v>
      </c>
      <c r="G483" s="45">
        <v>720</v>
      </c>
      <c r="H483" s="3">
        <v>200</v>
      </c>
    </row>
    <row r="484" spans="1:8" s="44" customFormat="1">
      <c r="A484" s="214" t="str">
        <f t="shared" si="14"/>
        <v>I-075-WS-38</v>
      </c>
      <c r="B484" s="214" t="str">
        <f t="shared" si="15"/>
        <v>I-075-20</v>
      </c>
      <c r="C484" s="45" t="s">
        <v>559</v>
      </c>
      <c r="D484" s="45">
        <v>20</v>
      </c>
      <c r="E484" s="45" t="s">
        <v>611</v>
      </c>
      <c r="F484" s="42" t="str">
        <f>VLOOKUP(E484, 'S11 Work Stations'!$A$2:$B$45, 2, 0)</f>
        <v>SAW-150-423</v>
      </c>
      <c r="G484" s="45">
        <v>120</v>
      </c>
      <c r="H484" s="3">
        <v>200</v>
      </c>
    </row>
    <row r="485" spans="1:8" s="44" customFormat="1">
      <c r="A485" s="214" t="str">
        <f t="shared" si="14"/>
        <v>I-075-WS-42</v>
      </c>
      <c r="B485" s="214" t="str">
        <f t="shared" si="15"/>
        <v>I-075-70</v>
      </c>
      <c r="C485" s="45" t="s">
        <v>559</v>
      </c>
      <c r="D485" s="45">
        <v>70</v>
      </c>
      <c r="E485" s="45" t="s">
        <v>615</v>
      </c>
      <c r="F485" s="42" t="str">
        <f>VLOOKUP(E485, 'S11 Work Stations'!$A$2:$B$45, 2, 0)</f>
        <v>TEMP-A01-202</v>
      </c>
      <c r="G485" s="45">
        <v>300</v>
      </c>
      <c r="H485" s="3">
        <v>200</v>
      </c>
    </row>
    <row r="486" spans="1:8" s="44" customFormat="1">
      <c r="A486" s="214" t="str">
        <f t="shared" si="14"/>
        <v>I-075-WS-43</v>
      </c>
      <c r="B486" s="214" t="str">
        <f t="shared" si="15"/>
        <v>I-075-10</v>
      </c>
      <c r="C486" s="45" t="s">
        <v>559</v>
      </c>
      <c r="D486" s="45">
        <v>10</v>
      </c>
      <c r="E486" s="45" t="s">
        <v>616</v>
      </c>
      <c r="F486" s="42" t="str">
        <f>VLOOKUP(E486, 'S11 Work Stations'!$A$2:$B$45, 2, 0)</f>
        <v>RAW-MAT-INV</v>
      </c>
      <c r="G486" s="45">
        <v>0</v>
      </c>
      <c r="H486" s="3">
        <v>200</v>
      </c>
    </row>
    <row r="487" spans="1:8" s="44" customFormat="1">
      <c r="A487" s="214" t="str">
        <f t="shared" si="14"/>
        <v>I-075-WS-44</v>
      </c>
      <c r="B487" s="214" t="str">
        <f t="shared" si="15"/>
        <v>I-075-80</v>
      </c>
      <c r="C487" s="45" t="s">
        <v>559</v>
      </c>
      <c r="D487" s="45">
        <v>80</v>
      </c>
      <c r="E487" s="45" t="s">
        <v>617</v>
      </c>
      <c r="F487" s="42" t="str">
        <f>VLOOKUP(E487, 'S11 Work Stations'!$A$2:$B$45, 2, 0)</f>
        <v>FIN-GOOD-INV</v>
      </c>
      <c r="G487" s="45">
        <v>0</v>
      </c>
      <c r="H487" s="3">
        <v>200</v>
      </c>
    </row>
    <row r="488" spans="1:8" s="44" customFormat="1">
      <c r="A488" s="214" t="str">
        <f t="shared" si="14"/>
        <v>I-076-WS-01</v>
      </c>
      <c r="B488" s="214" t="str">
        <f t="shared" si="15"/>
        <v>I-076-30</v>
      </c>
      <c r="C488" s="45" t="s">
        <v>560</v>
      </c>
      <c r="D488" s="45">
        <v>30</v>
      </c>
      <c r="E488" s="45" t="s">
        <v>574</v>
      </c>
      <c r="F488" s="42" t="str">
        <f>VLOOKUP(E488, 'S11 Work Stations'!$A$2:$B$45, 2, 0)</f>
        <v>MIL-AB-361</v>
      </c>
      <c r="G488" s="45">
        <v>1020</v>
      </c>
      <c r="H488" s="3">
        <v>200</v>
      </c>
    </row>
    <row r="489" spans="1:8" s="44" customFormat="1">
      <c r="A489" s="214" t="str">
        <f t="shared" si="14"/>
        <v>I-076-WS-23</v>
      </c>
      <c r="B489" s="214" t="str">
        <f t="shared" si="15"/>
        <v>I-076-50</v>
      </c>
      <c r="C489" s="45" t="s">
        <v>560</v>
      </c>
      <c r="D489" s="45">
        <v>50</v>
      </c>
      <c r="E489" s="45" t="s">
        <v>596</v>
      </c>
      <c r="F489" s="42" t="str">
        <f>VLOOKUP(E489, 'S11 Work Stations'!$A$2:$B$45, 2, 0)</f>
        <v>MIL-U2-607</v>
      </c>
      <c r="G489" s="45">
        <v>360</v>
      </c>
      <c r="H489" s="3">
        <v>200</v>
      </c>
    </row>
    <row r="490" spans="1:8" s="44" customFormat="1">
      <c r="A490" s="214" t="str">
        <f t="shared" si="14"/>
        <v>I-076-WS-28</v>
      </c>
      <c r="B490" s="214" t="str">
        <f t="shared" si="15"/>
        <v>I-076-40</v>
      </c>
      <c r="C490" s="45" t="s">
        <v>560</v>
      </c>
      <c r="D490" s="45">
        <v>40</v>
      </c>
      <c r="E490" s="45" t="s">
        <v>601</v>
      </c>
      <c r="F490" s="42" t="str">
        <f>VLOOKUP(E490, 'S11 Work Stations'!$A$2:$B$45, 2, 0)</f>
        <v>DR-T3-204</v>
      </c>
      <c r="G490" s="45">
        <v>480</v>
      </c>
      <c r="H490" s="3">
        <v>200</v>
      </c>
    </row>
    <row r="491" spans="1:8" s="44" customFormat="1">
      <c r="A491" s="214" t="str">
        <f t="shared" si="14"/>
        <v>I-076-WS-32</v>
      </c>
      <c r="B491" s="214" t="str">
        <f t="shared" si="15"/>
        <v>I-076-60</v>
      </c>
      <c r="C491" s="45" t="s">
        <v>560</v>
      </c>
      <c r="D491" s="45">
        <v>60</v>
      </c>
      <c r="E491" s="45" t="s">
        <v>605</v>
      </c>
      <c r="F491" s="42" t="str">
        <f>VLOOKUP(E491, 'S11 Work Stations'!$A$2:$B$45, 2, 0)</f>
        <v>SAW-30-150-251</v>
      </c>
      <c r="G491" s="45">
        <v>720</v>
      </c>
      <c r="H491" s="3">
        <v>200</v>
      </c>
    </row>
    <row r="492" spans="1:8" s="44" customFormat="1">
      <c r="A492" s="214" t="str">
        <f t="shared" si="14"/>
        <v>I-076-WS-38</v>
      </c>
      <c r="B492" s="214" t="str">
        <f t="shared" si="15"/>
        <v>I-076-20</v>
      </c>
      <c r="C492" s="45" t="s">
        <v>560</v>
      </c>
      <c r="D492" s="45">
        <v>20</v>
      </c>
      <c r="E492" s="45" t="s">
        <v>611</v>
      </c>
      <c r="F492" s="42" t="str">
        <f>VLOOKUP(E492, 'S11 Work Stations'!$A$2:$B$45, 2, 0)</f>
        <v>SAW-150-423</v>
      </c>
      <c r="G492" s="45">
        <v>180</v>
      </c>
      <c r="H492" s="3">
        <v>200</v>
      </c>
    </row>
    <row r="493" spans="1:8" s="44" customFormat="1">
      <c r="A493" s="214" t="str">
        <f t="shared" si="14"/>
        <v>I-076-WS-42</v>
      </c>
      <c r="B493" s="214" t="str">
        <f t="shared" si="15"/>
        <v>I-076-70</v>
      </c>
      <c r="C493" s="45" t="s">
        <v>560</v>
      </c>
      <c r="D493" s="45">
        <v>70</v>
      </c>
      <c r="E493" s="45" t="s">
        <v>615</v>
      </c>
      <c r="F493" s="42" t="str">
        <f>VLOOKUP(E493, 'S11 Work Stations'!$A$2:$B$45, 2, 0)</f>
        <v>TEMP-A01-202</v>
      </c>
      <c r="G493" s="45">
        <v>300</v>
      </c>
      <c r="H493" s="3">
        <v>200</v>
      </c>
    </row>
    <row r="494" spans="1:8" s="44" customFormat="1">
      <c r="A494" s="214" t="str">
        <f t="shared" si="14"/>
        <v>I-076-WS-43</v>
      </c>
      <c r="B494" s="214" t="str">
        <f t="shared" si="15"/>
        <v>I-076-10</v>
      </c>
      <c r="C494" s="45" t="s">
        <v>560</v>
      </c>
      <c r="D494" s="45">
        <v>10</v>
      </c>
      <c r="E494" s="45" t="s">
        <v>616</v>
      </c>
      <c r="F494" s="42" t="str">
        <f>VLOOKUP(E494, 'S11 Work Stations'!$A$2:$B$45, 2, 0)</f>
        <v>RAW-MAT-INV</v>
      </c>
      <c r="G494" s="45">
        <v>0</v>
      </c>
      <c r="H494" s="3">
        <v>200</v>
      </c>
    </row>
    <row r="495" spans="1:8" s="44" customFormat="1">
      <c r="A495" s="214" t="str">
        <f t="shared" si="14"/>
        <v>I-076-WS-44</v>
      </c>
      <c r="B495" s="214" t="str">
        <f t="shared" si="15"/>
        <v>I-076-80</v>
      </c>
      <c r="C495" s="45" t="s">
        <v>560</v>
      </c>
      <c r="D495" s="45">
        <v>80</v>
      </c>
      <c r="E495" s="45" t="s">
        <v>617</v>
      </c>
      <c r="F495" s="42" t="str">
        <f>VLOOKUP(E495, 'S11 Work Stations'!$A$2:$B$45, 2, 0)</f>
        <v>FIN-GOOD-INV</v>
      </c>
      <c r="G495" s="45">
        <v>0</v>
      </c>
      <c r="H495" s="3">
        <v>200</v>
      </c>
    </row>
    <row r="496" spans="1:8" s="44" customFormat="1">
      <c r="A496" s="214" t="str">
        <f t="shared" si="14"/>
        <v>I-077-WS-02</v>
      </c>
      <c r="B496" s="214" t="str">
        <f t="shared" si="15"/>
        <v>I-077-30</v>
      </c>
      <c r="C496" s="45" t="s">
        <v>561</v>
      </c>
      <c r="D496" s="45">
        <v>30</v>
      </c>
      <c r="E496" s="45" t="s">
        <v>575</v>
      </c>
      <c r="F496" s="42" t="str">
        <f>VLOOKUP(E496, 'S11 Work Stations'!$A$2:$B$45, 2, 0)</f>
        <v>TUR-B2-362</v>
      </c>
      <c r="G496" s="45">
        <v>360</v>
      </c>
      <c r="H496" s="3">
        <v>200</v>
      </c>
    </row>
    <row r="497" spans="1:8" s="44" customFormat="1">
      <c r="A497" s="214" t="str">
        <f t="shared" si="14"/>
        <v>I-077-WS-23</v>
      </c>
      <c r="B497" s="214" t="str">
        <f t="shared" si="15"/>
        <v>I-077-50</v>
      </c>
      <c r="C497" s="45" t="s">
        <v>561</v>
      </c>
      <c r="D497" s="45">
        <v>50</v>
      </c>
      <c r="E497" s="45" t="s">
        <v>596</v>
      </c>
      <c r="F497" s="42" t="str">
        <f>VLOOKUP(E497, 'S11 Work Stations'!$A$2:$B$45, 2, 0)</f>
        <v>MIL-U2-607</v>
      </c>
      <c r="G497" s="45">
        <v>360</v>
      </c>
      <c r="H497" s="3">
        <v>200</v>
      </c>
    </row>
    <row r="498" spans="1:8" s="44" customFormat="1">
      <c r="A498" s="214" t="str">
        <f t="shared" si="14"/>
        <v>I-077-WS-26</v>
      </c>
      <c r="B498" s="214" t="str">
        <f t="shared" si="15"/>
        <v>I-077-40</v>
      </c>
      <c r="C498" s="45" t="s">
        <v>561</v>
      </c>
      <c r="D498" s="45">
        <v>40</v>
      </c>
      <c r="E498" s="45" t="s">
        <v>599</v>
      </c>
      <c r="F498" s="42" t="str">
        <f>VLOOKUP(E498, 'S11 Work Stations'!$A$2:$B$45, 2, 0)</f>
        <v>DR-2A2-202</v>
      </c>
      <c r="G498" s="45">
        <v>180</v>
      </c>
      <c r="H498" s="3">
        <v>200</v>
      </c>
    </row>
    <row r="499" spans="1:8" s="44" customFormat="1">
      <c r="A499" s="214" t="str">
        <f t="shared" si="14"/>
        <v>I-077-WS-38</v>
      </c>
      <c r="B499" s="214" t="str">
        <f t="shared" si="15"/>
        <v>I-077-20</v>
      </c>
      <c r="C499" s="45" t="s">
        <v>561</v>
      </c>
      <c r="D499" s="45">
        <v>20</v>
      </c>
      <c r="E499" s="45" t="s">
        <v>611</v>
      </c>
      <c r="F499" s="42" t="str">
        <f>VLOOKUP(E499, 'S11 Work Stations'!$A$2:$B$45, 2, 0)</f>
        <v>SAW-150-423</v>
      </c>
      <c r="G499" s="45">
        <v>180</v>
      </c>
      <c r="H499" s="3">
        <v>200</v>
      </c>
    </row>
    <row r="500" spans="1:8" s="44" customFormat="1">
      <c r="A500" s="214" t="str">
        <f t="shared" si="14"/>
        <v>I-077-WS-43</v>
      </c>
      <c r="B500" s="214" t="str">
        <f t="shared" si="15"/>
        <v>I-077-10</v>
      </c>
      <c r="C500" s="45" t="s">
        <v>561</v>
      </c>
      <c r="D500" s="45">
        <v>10</v>
      </c>
      <c r="E500" s="45" t="s">
        <v>616</v>
      </c>
      <c r="F500" s="42" t="str">
        <f>VLOOKUP(E500, 'S11 Work Stations'!$A$2:$B$45, 2, 0)</f>
        <v>RAW-MAT-INV</v>
      </c>
      <c r="G500" s="45">
        <v>0</v>
      </c>
      <c r="H500" s="3">
        <v>200</v>
      </c>
    </row>
    <row r="501" spans="1:8" s="44" customFormat="1">
      <c r="A501" s="214" t="str">
        <f t="shared" si="14"/>
        <v>I-077-WS-44</v>
      </c>
      <c r="B501" s="214" t="str">
        <f t="shared" si="15"/>
        <v>I-077-60</v>
      </c>
      <c r="C501" s="45" t="s">
        <v>561</v>
      </c>
      <c r="D501" s="45">
        <v>60</v>
      </c>
      <c r="E501" s="45" t="s">
        <v>617</v>
      </c>
      <c r="F501" s="42" t="str">
        <f>VLOOKUP(E501, 'S11 Work Stations'!$A$2:$B$45, 2, 0)</f>
        <v>FIN-GOOD-INV</v>
      </c>
      <c r="G501" s="45">
        <v>0</v>
      </c>
      <c r="H501" s="3">
        <v>200</v>
      </c>
    </row>
    <row r="502" spans="1:8" s="44" customFormat="1">
      <c r="A502" s="214" t="str">
        <f t="shared" si="14"/>
        <v>I-078-WS-02</v>
      </c>
      <c r="B502" s="214" t="str">
        <f t="shared" si="15"/>
        <v>I-078-30</v>
      </c>
      <c r="C502" s="45" t="s">
        <v>562</v>
      </c>
      <c r="D502" s="45">
        <v>30</v>
      </c>
      <c r="E502" s="45" t="s">
        <v>575</v>
      </c>
      <c r="F502" s="42" t="str">
        <f>VLOOKUP(E502, 'S11 Work Stations'!$A$2:$B$45, 2, 0)</f>
        <v>TUR-B2-362</v>
      </c>
      <c r="G502" s="45">
        <v>480</v>
      </c>
      <c r="H502" s="3">
        <v>200</v>
      </c>
    </row>
    <row r="503" spans="1:8" s="44" customFormat="1">
      <c r="A503" s="214" t="str">
        <f t="shared" si="14"/>
        <v>I-078-WS-23</v>
      </c>
      <c r="B503" s="214" t="str">
        <f t="shared" si="15"/>
        <v>I-078-50</v>
      </c>
      <c r="C503" s="45" t="s">
        <v>562</v>
      </c>
      <c r="D503" s="45">
        <v>50</v>
      </c>
      <c r="E503" s="45" t="s">
        <v>596</v>
      </c>
      <c r="F503" s="42" t="str">
        <f>VLOOKUP(E503, 'S11 Work Stations'!$A$2:$B$45, 2, 0)</f>
        <v>MIL-U2-607</v>
      </c>
      <c r="G503" s="45">
        <v>420</v>
      </c>
      <c r="H503" s="3">
        <v>200</v>
      </c>
    </row>
    <row r="504" spans="1:8" s="44" customFormat="1">
      <c r="A504" s="214" t="str">
        <f t="shared" si="14"/>
        <v>I-078-WS-26</v>
      </c>
      <c r="B504" s="214" t="str">
        <f t="shared" si="15"/>
        <v>I-078-40</v>
      </c>
      <c r="C504" s="45" t="s">
        <v>562</v>
      </c>
      <c r="D504" s="45">
        <v>40</v>
      </c>
      <c r="E504" s="45" t="s">
        <v>599</v>
      </c>
      <c r="F504" s="42" t="str">
        <f>VLOOKUP(E504, 'S11 Work Stations'!$A$2:$B$45, 2, 0)</f>
        <v>DR-2A2-202</v>
      </c>
      <c r="G504" s="45">
        <v>180</v>
      </c>
      <c r="H504" s="3">
        <v>200</v>
      </c>
    </row>
    <row r="505" spans="1:8" s="44" customFormat="1">
      <c r="A505" s="214" t="str">
        <f t="shared" si="14"/>
        <v>I-078-WS-39</v>
      </c>
      <c r="B505" s="214" t="str">
        <f t="shared" si="15"/>
        <v>I-078-20</v>
      </c>
      <c r="C505" s="45" t="s">
        <v>562</v>
      </c>
      <c r="D505" s="45">
        <v>20</v>
      </c>
      <c r="E505" s="45" t="s">
        <v>612</v>
      </c>
      <c r="F505" s="42" t="str">
        <f>VLOOKUP(E505, 'S11 Work Stations'!$A$2:$B$45, 2, 0)</f>
        <v>SAW-400-424</v>
      </c>
      <c r="G505" s="45">
        <v>60</v>
      </c>
      <c r="H505" s="3">
        <v>200</v>
      </c>
    </row>
    <row r="506" spans="1:8" s="44" customFormat="1">
      <c r="A506" s="214" t="str">
        <f t="shared" si="14"/>
        <v>I-078-WS-43</v>
      </c>
      <c r="B506" s="214" t="str">
        <f t="shared" si="15"/>
        <v>I-078-10</v>
      </c>
      <c r="C506" s="45" t="s">
        <v>562</v>
      </c>
      <c r="D506" s="45">
        <v>10</v>
      </c>
      <c r="E506" s="45" t="s">
        <v>616</v>
      </c>
      <c r="F506" s="42" t="str">
        <f>VLOOKUP(E506, 'S11 Work Stations'!$A$2:$B$45, 2, 0)</f>
        <v>RAW-MAT-INV</v>
      </c>
      <c r="G506" s="45">
        <v>0</v>
      </c>
      <c r="H506" s="3">
        <v>200</v>
      </c>
    </row>
    <row r="507" spans="1:8" s="44" customFormat="1">
      <c r="A507" s="214" t="str">
        <f t="shared" si="14"/>
        <v>I-078-WS-44</v>
      </c>
      <c r="B507" s="214" t="str">
        <f t="shared" si="15"/>
        <v>I-078-60</v>
      </c>
      <c r="C507" s="45" t="s">
        <v>562</v>
      </c>
      <c r="D507" s="45">
        <v>60</v>
      </c>
      <c r="E507" s="45" t="s">
        <v>617</v>
      </c>
      <c r="F507" s="42" t="str">
        <f>VLOOKUP(E507, 'S11 Work Stations'!$A$2:$B$45, 2, 0)</f>
        <v>FIN-GOOD-INV</v>
      </c>
      <c r="G507" s="45">
        <v>0</v>
      </c>
      <c r="H507" s="3">
        <v>200</v>
      </c>
    </row>
    <row r="508" spans="1:8" s="44" customFormat="1">
      <c r="A508" s="214" t="str">
        <f t="shared" si="14"/>
        <v>I-079-WS-01</v>
      </c>
      <c r="B508" s="214" t="str">
        <f t="shared" si="15"/>
        <v>I-079-30</v>
      </c>
      <c r="C508" s="45" t="s">
        <v>563</v>
      </c>
      <c r="D508" s="45">
        <v>30</v>
      </c>
      <c r="E508" s="45" t="s">
        <v>574</v>
      </c>
      <c r="F508" s="42" t="str">
        <f>VLOOKUP(E508, 'S11 Work Stations'!$A$2:$B$45, 2, 0)</f>
        <v>MIL-AB-361</v>
      </c>
      <c r="G508" s="45">
        <v>660</v>
      </c>
      <c r="H508" s="3">
        <v>200</v>
      </c>
    </row>
    <row r="509" spans="1:8" s="44" customFormat="1">
      <c r="A509" s="214" t="str">
        <f t="shared" si="14"/>
        <v>I-079-WS-23</v>
      </c>
      <c r="B509" s="214" t="str">
        <f t="shared" si="15"/>
        <v>I-079-50</v>
      </c>
      <c r="C509" s="45" t="s">
        <v>563</v>
      </c>
      <c r="D509" s="45">
        <v>50</v>
      </c>
      <c r="E509" s="45" t="s">
        <v>596</v>
      </c>
      <c r="F509" s="42" t="str">
        <f>VLOOKUP(E509, 'S11 Work Stations'!$A$2:$B$45, 2, 0)</f>
        <v>MIL-U2-607</v>
      </c>
      <c r="G509" s="45">
        <v>420</v>
      </c>
      <c r="H509" s="3">
        <v>200</v>
      </c>
    </row>
    <row r="510" spans="1:8" s="44" customFormat="1">
      <c r="A510" s="214" t="str">
        <f t="shared" si="14"/>
        <v>I-079-WS-33</v>
      </c>
      <c r="B510" s="214" t="str">
        <f t="shared" si="15"/>
        <v>I-079-40</v>
      </c>
      <c r="C510" s="45" t="s">
        <v>563</v>
      </c>
      <c r="D510" s="45">
        <v>40</v>
      </c>
      <c r="E510" s="45" t="s">
        <v>606</v>
      </c>
      <c r="F510" s="42" t="str">
        <f>VLOOKUP(E510, 'S11 Work Stations'!$A$2:$B$45, 2, 0)</f>
        <v>SAW-50-150-252</v>
      </c>
      <c r="G510" s="45">
        <v>480</v>
      </c>
      <c r="H510" s="3">
        <v>200</v>
      </c>
    </row>
    <row r="511" spans="1:8" s="44" customFormat="1">
      <c r="A511" s="214" t="str">
        <f t="shared" si="14"/>
        <v>I-079-WS-38</v>
      </c>
      <c r="B511" s="214" t="str">
        <f t="shared" si="15"/>
        <v>I-079-20</v>
      </c>
      <c r="C511" s="45" t="s">
        <v>563</v>
      </c>
      <c r="D511" s="45">
        <v>20</v>
      </c>
      <c r="E511" s="45" t="s">
        <v>611</v>
      </c>
      <c r="F511" s="42" t="str">
        <f>VLOOKUP(E511, 'S11 Work Stations'!$A$2:$B$45, 2, 0)</f>
        <v>SAW-150-423</v>
      </c>
      <c r="G511" s="45">
        <v>120</v>
      </c>
      <c r="H511" s="3">
        <v>200</v>
      </c>
    </row>
    <row r="512" spans="1:8" s="44" customFormat="1">
      <c r="A512" s="214" t="str">
        <f t="shared" si="14"/>
        <v>I-079-WS-43</v>
      </c>
      <c r="B512" s="214" t="str">
        <f t="shared" si="15"/>
        <v>I-079-10</v>
      </c>
      <c r="C512" s="45" t="s">
        <v>563</v>
      </c>
      <c r="D512" s="45">
        <v>10</v>
      </c>
      <c r="E512" s="45" t="s">
        <v>616</v>
      </c>
      <c r="F512" s="42" t="str">
        <f>VLOOKUP(E512, 'S11 Work Stations'!$A$2:$B$45, 2, 0)</f>
        <v>RAW-MAT-INV</v>
      </c>
      <c r="G512" s="45">
        <v>0</v>
      </c>
      <c r="H512" s="3">
        <v>200</v>
      </c>
    </row>
    <row r="513" spans="1:8" s="44" customFormat="1">
      <c r="A513" s="214" t="str">
        <f t="shared" si="14"/>
        <v>I-079-WS-44</v>
      </c>
      <c r="B513" s="214" t="str">
        <f t="shared" si="15"/>
        <v>I-079-60</v>
      </c>
      <c r="C513" s="45" t="s">
        <v>563</v>
      </c>
      <c r="D513" s="45">
        <v>60</v>
      </c>
      <c r="E513" s="45" t="s">
        <v>617</v>
      </c>
      <c r="F513" s="42" t="str">
        <f>VLOOKUP(E513, 'S11 Work Stations'!$A$2:$B$45, 2, 0)</f>
        <v>FIN-GOOD-INV</v>
      </c>
      <c r="G513" s="45">
        <v>0</v>
      </c>
      <c r="H513" s="3">
        <v>200</v>
      </c>
    </row>
    <row r="514" spans="1:8" s="44" customFormat="1">
      <c r="A514" s="214" t="str">
        <f t="shared" ref="A514:A534" si="16">C514&amp;"-"&amp;E514</f>
        <v>I-080-WS-02</v>
      </c>
      <c r="B514" s="214" t="str">
        <f t="shared" ref="B514:B534" si="17">C514&amp;"-"&amp;D514</f>
        <v>I-080-30</v>
      </c>
      <c r="C514" s="45" t="s">
        <v>213</v>
      </c>
      <c r="D514" s="45">
        <v>30</v>
      </c>
      <c r="E514" s="45" t="s">
        <v>575</v>
      </c>
      <c r="F514" s="42" t="str">
        <f>VLOOKUP(E514, 'S11 Work Stations'!$A$2:$B$45, 2, 0)</f>
        <v>TUR-B2-362</v>
      </c>
      <c r="G514" s="45">
        <v>360</v>
      </c>
      <c r="H514" s="3">
        <v>200</v>
      </c>
    </row>
    <row r="515" spans="1:8" s="44" customFormat="1">
      <c r="A515" s="214" t="str">
        <f t="shared" si="16"/>
        <v>I-080-WS-23</v>
      </c>
      <c r="B515" s="214" t="str">
        <f t="shared" si="17"/>
        <v>I-080-50</v>
      </c>
      <c r="C515" s="45" t="s">
        <v>213</v>
      </c>
      <c r="D515" s="45">
        <v>50</v>
      </c>
      <c r="E515" s="45" t="s">
        <v>596</v>
      </c>
      <c r="F515" s="42" t="str">
        <f>VLOOKUP(E515, 'S11 Work Stations'!$A$2:$B$45, 2, 0)</f>
        <v>MIL-U2-607</v>
      </c>
      <c r="G515" s="45">
        <v>480</v>
      </c>
      <c r="H515" s="3">
        <v>200</v>
      </c>
    </row>
    <row r="516" spans="1:8" s="44" customFormat="1">
      <c r="A516" s="214" t="str">
        <f t="shared" si="16"/>
        <v>I-080-WS-33</v>
      </c>
      <c r="B516" s="214" t="str">
        <f t="shared" si="17"/>
        <v>I-080-40</v>
      </c>
      <c r="C516" s="45" t="s">
        <v>213</v>
      </c>
      <c r="D516" s="45">
        <v>40</v>
      </c>
      <c r="E516" s="45" t="s">
        <v>606</v>
      </c>
      <c r="F516" s="42" t="str">
        <f>VLOOKUP(E516, 'S11 Work Stations'!$A$2:$B$45, 2, 0)</f>
        <v>SAW-50-150-252</v>
      </c>
      <c r="G516" s="45">
        <v>480</v>
      </c>
      <c r="H516" s="3">
        <v>200</v>
      </c>
    </row>
    <row r="517" spans="1:8" s="44" customFormat="1">
      <c r="A517" s="214" t="str">
        <f t="shared" si="16"/>
        <v>I-080-WS-39</v>
      </c>
      <c r="B517" s="214" t="str">
        <f t="shared" si="17"/>
        <v>I-080-20</v>
      </c>
      <c r="C517" s="45" t="s">
        <v>213</v>
      </c>
      <c r="D517" s="45">
        <v>20</v>
      </c>
      <c r="E517" s="45" t="s">
        <v>612</v>
      </c>
      <c r="F517" s="42" t="str">
        <f>VLOOKUP(E517, 'S11 Work Stations'!$A$2:$B$45, 2, 0)</f>
        <v>SAW-400-424</v>
      </c>
      <c r="G517" s="45">
        <v>120</v>
      </c>
      <c r="H517" s="3">
        <v>200</v>
      </c>
    </row>
    <row r="518" spans="1:8" s="44" customFormat="1">
      <c r="A518" s="214" t="str">
        <f t="shared" si="16"/>
        <v>I-080-WS-43</v>
      </c>
      <c r="B518" s="214" t="str">
        <f t="shared" si="17"/>
        <v>I-080-10</v>
      </c>
      <c r="C518" s="45" t="s">
        <v>213</v>
      </c>
      <c r="D518" s="45">
        <v>10</v>
      </c>
      <c r="E518" s="45" t="s">
        <v>616</v>
      </c>
      <c r="F518" s="42" t="str">
        <f>VLOOKUP(E518, 'S11 Work Stations'!$A$2:$B$45, 2, 0)</f>
        <v>RAW-MAT-INV</v>
      </c>
      <c r="G518" s="45">
        <v>0</v>
      </c>
      <c r="H518" s="3">
        <v>200</v>
      </c>
    </row>
    <row r="519" spans="1:8" s="44" customFormat="1">
      <c r="A519" s="214" t="str">
        <f t="shared" si="16"/>
        <v>I-080-WS-44</v>
      </c>
      <c r="B519" s="214" t="str">
        <f t="shared" si="17"/>
        <v>I-080-60</v>
      </c>
      <c r="C519" s="45" t="s">
        <v>213</v>
      </c>
      <c r="D519" s="45">
        <v>60</v>
      </c>
      <c r="E519" s="45" t="s">
        <v>617</v>
      </c>
      <c r="F519" s="42" t="str">
        <f>VLOOKUP(E519, 'S11 Work Stations'!$A$2:$B$45, 2, 0)</f>
        <v>FIN-GOOD-INV</v>
      </c>
      <c r="G519" s="45">
        <v>0</v>
      </c>
      <c r="H519" s="3">
        <v>200</v>
      </c>
    </row>
    <row r="520" spans="1:8" s="44" customFormat="1">
      <c r="A520" s="214" t="str">
        <f t="shared" si="16"/>
        <v>I-081-WS-01</v>
      </c>
      <c r="B520" s="214" t="str">
        <f t="shared" si="17"/>
        <v>I-081-30</v>
      </c>
      <c r="C520" s="45" t="s">
        <v>219</v>
      </c>
      <c r="D520" s="45">
        <v>30</v>
      </c>
      <c r="E520" s="45" t="s">
        <v>574</v>
      </c>
      <c r="F520" s="42" t="str">
        <f>VLOOKUP(E520, 'S11 Work Stations'!$A$2:$B$45, 2, 0)</f>
        <v>MIL-AB-361</v>
      </c>
      <c r="G520" s="45">
        <v>600</v>
      </c>
      <c r="H520" s="3">
        <v>200</v>
      </c>
    </row>
    <row r="521" spans="1:8" s="44" customFormat="1">
      <c r="A521" s="214" t="str">
        <f t="shared" si="16"/>
        <v>I-081-WS-33</v>
      </c>
      <c r="B521" s="214" t="str">
        <f t="shared" si="17"/>
        <v>I-081-40</v>
      </c>
      <c r="C521" s="45" t="s">
        <v>219</v>
      </c>
      <c r="D521" s="45">
        <v>40</v>
      </c>
      <c r="E521" s="45" t="s">
        <v>606</v>
      </c>
      <c r="F521" s="42" t="str">
        <f>VLOOKUP(E521, 'S11 Work Stations'!$A$2:$B$45, 2, 0)</f>
        <v>SAW-50-150-252</v>
      </c>
      <c r="G521" s="45">
        <v>480</v>
      </c>
      <c r="H521" s="3">
        <v>200</v>
      </c>
    </row>
    <row r="522" spans="1:8" s="44" customFormat="1">
      <c r="A522" s="214" t="str">
        <f t="shared" si="16"/>
        <v>I-081-WS-39</v>
      </c>
      <c r="B522" s="214" t="str">
        <f t="shared" si="17"/>
        <v>I-081-20</v>
      </c>
      <c r="C522" s="45" t="s">
        <v>219</v>
      </c>
      <c r="D522" s="45">
        <v>20</v>
      </c>
      <c r="E522" s="45" t="s">
        <v>612</v>
      </c>
      <c r="F522" s="42" t="str">
        <f>VLOOKUP(E522, 'S11 Work Stations'!$A$2:$B$45, 2, 0)</f>
        <v>SAW-400-424</v>
      </c>
      <c r="G522" s="45">
        <v>180</v>
      </c>
      <c r="H522" s="3">
        <v>200</v>
      </c>
    </row>
    <row r="523" spans="1:8" s="44" customFormat="1">
      <c r="A523" s="214" t="str">
        <f t="shared" si="16"/>
        <v>I-081-WS-43</v>
      </c>
      <c r="B523" s="214" t="str">
        <f t="shared" si="17"/>
        <v>I-081-10</v>
      </c>
      <c r="C523" s="45" t="s">
        <v>219</v>
      </c>
      <c r="D523" s="45">
        <v>10</v>
      </c>
      <c r="E523" s="45" t="s">
        <v>616</v>
      </c>
      <c r="F523" s="42" t="str">
        <f>VLOOKUP(E523, 'S11 Work Stations'!$A$2:$B$45, 2, 0)</f>
        <v>RAW-MAT-INV</v>
      </c>
      <c r="G523" s="45">
        <v>0</v>
      </c>
      <c r="H523" s="3">
        <v>200</v>
      </c>
    </row>
    <row r="524" spans="1:8" s="44" customFormat="1">
      <c r="A524" s="214" t="str">
        <f t="shared" si="16"/>
        <v>I-081-WS-44</v>
      </c>
      <c r="B524" s="214" t="str">
        <f t="shared" si="17"/>
        <v>I-081-50</v>
      </c>
      <c r="C524" s="45" t="s">
        <v>219</v>
      </c>
      <c r="D524" s="45">
        <v>50</v>
      </c>
      <c r="E524" s="45" t="s">
        <v>617</v>
      </c>
      <c r="F524" s="42" t="str">
        <f>VLOOKUP(E524, 'S11 Work Stations'!$A$2:$B$45, 2, 0)</f>
        <v>FIN-GOOD-INV</v>
      </c>
      <c r="G524" s="45">
        <v>0</v>
      </c>
      <c r="H524" s="3">
        <v>200</v>
      </c>
    </row>
    <row r="525" spans="1:8" s="44" customFormat="1">
      <c r="A525" s="214" t="str">
        <f t="shared" si="16"/>
        <v>I-082-WS-01</v>
      </c>
      <c r="B525" s="214" t="str">
        <f t="shared" si="17"/>
        <v>I-082-30</v>
      </c>
      <c r="C525" s="45" t="s">
        <v>564</v>
      </c>
      <c r="D525" s="45">
        <v>30</v>
      </c>
      <c r="E525" s="45" t="s">
        <v>574</v>
      </c>
      <c r="F525" s="42" t="str">
        <f>VLOOKUP(E525, 'S11 Work Stations'!$A$2:$B$45, 2, 0)</f>
        <v>MIL-AB-361</v>
      </c>
      <c r="G525" s="45">
        <v>960</v>
      </c>
      <c r="H525" s="3">
        <v>200</v>
      </c>
    </row>
    <row r="526" spans="1:8" s="44" customFormat="1">
      <c r="A526" s="214" t="str">
        <f t="shared" si="16"/>
        <v>I-082-WS-33</v>
      </c>
      <c r="B526" s="214" t="str">
        <f t="shared" si="17"/>
        <v>I-082-40</v>
      </c>
      <c r="C526" s="45" t="s">
        <v>564</v>
      </c>
      <c r="D526" s="45">
        <v>40</v>
      </c>
      <c r="E526" s="45" t="s">
        <v>606</v>
      </c>
      <c r="F526" s="42" t="str">
        <f>VLOOKUP(E526, 'S11 Work Stations'!$A$2:$B$45, 2, 0)</f>
        <v>SAW-50-150-252</v>
      </c>
      <c r="G526" s="45">
        <v>600</v>
      </c>
      <c r="H526" s="3">
        <v>200</v>
      </c>
    </row>
    <row r="527" spans="1:8" s="44" customFormat="1">
      <c r="A527" s="214" t="str">
        <f t="shared" si="16"/>
        <v>I-082-WS-40</v>
      </c>
      <c r="B527" s="214" t="str">
        <f t="shared" si="17"/>
        <v>I-082-20</v>
      </c>
      <c r="C527" s="45" t="s">
        <v>564</v>
      </c>
      <c r="D527" s="45">
        <v>20</v>
      </c>
      <c r="E527" s="45" t="s">
        <v>613</v>
      </c>
      <c r="F527" s="42" t="str">
        <f>VLOOKUP(E527, 'S11 Work Stations'!$A$2:$B$45, 2, 0)</f>
        <v>SAW-CNC-40-425</v>
      </c>
      <c r="G527" s="45">
        <v>180</v>
      </c>
      <c r="H527" s="3">
        <v>200</v>
      </c>
    </row>
    <row r="528" spans="1:8" s="44" customFormat="1">
      <c r="A528" s="214" t="str">
        <f t="shared" si="16"/>
        <v>I-082-WS-43</v>
      </c>
      <c r="B528" s="214" t="str">
        <f t="shared" si="17"/>
        <v>I-082-10</v>
      </c>
      <c r="C528" s="45" t="s">
        <v>564</v>
      </c>
      <c r="D528" s="45">
        <v>10</v>
      </c>
      <c r="E528" s="45" t="s">
        <v>616</v>
      </c>
      <c r="F528" s="42" t="str">
        <f>VLOOKUP(E528, 'S11 Work Stations'!$A$2:$B$45, 2, 0)</f>
        <v>RAW-MAT-INV</v>
      </c>
      <c r="G528" s="45">
        <v>0</v>
      </c>
      <c r="H528" s="3">
        <v>200</v>
      </c>
    </row>
    <row r="529" spans="1:8" s="44" customFormat="1">
      <c r="A529" s="214" t="str">
        <f t="shared" si="16"/>
        <v>I-082-WS-44</v>
      </c>
      <c r="B529" s="214" t="str">
        <f t="shared" si="17"/>
        <v>I-082-50</v>
      </c>
      <c r="C529" s="45" t="s">
        <v>564</v>
      </c>
      <c r="D529" s="45">
        <v>50</v>
      </c>
      <c r="E529" s="45" t="s">
        <v>617</v>
      </c>
      <c r="F529" s="42" t="str">
        <f>VLOOKUP(E529, 'S11 Work Stations'!$A$2:$B$45, 2, 0)</f>
        <v>FIN-GOOD-INV</v>
      </c>
      <c r="G529" s="45">
        <v>0</v>
      </c>
      <c r="H529" s="3">
        <v>200</v>
      </c>
    </row>
    <row r="530" spans="1:8" s="44" customFormat="1">
      <c r="A530" s="214" t="str">
        <f t="shared" si="16"/>
        <v>I-083-WS-01</v>
      </c>
      <c r="B530" s="214" t="str">
        <f t="shared" si="17"/>
        <v>I-083-30</v>
      </c>
      <c r="C530" s="45" t="s">
        <v>223</v>
      </c>
      <c r="D530" s="45">
        <v>30</v>
      </c>
      <c r="E530" s="45" t="s">
        <v>574</v>
      </c>
      <c r="F530" s="42" t="str">
        <f>VLOOKUP(E530, 'S11 Work Stations'!$A$2:$B$45, 2, 0)</f>
        <v>MIL-AB-361</v>
      </c>
      <c r="G530" s="45">
        <v>600</v>
      </c>
      <c r="H530" s="3">
        <v>200</v>
      </c>
    </row>
    <row r="531" spans="1:8" s="44" customFormat="1">
      <c r="A531" s="214" t="str">
        <f t="shared" si="16"/>
        <v>I-083-WS-33</v>
      </c>
      <c r="B531" s="214" t="str">
        <f t="shared" si="17"/>
        <v>I-083-40</v>
      </c>
      <c r="C531" s="45" t="s">
        <v>223</v>
      </c>
      <c r="D531" s="45">
        <v>40</v>
      </c>
      <c r="E531" s="45" t="s">
        <v>606</v>
      </c>
      <c r="F531" s="42" t="str">
        <f>VLOOKUP(E531, 'S11 Work Stations'!$A$2:$B$45, 2, 0)</f>
        <v>SAW-50-150-252</v>
      </c>
      <c r="G531" s="45">
        <v>180</v>
      </c>
      <c r="H531" s="3">
        <v>200</v>
      </c>
    </row>
    <row r="532" spans="1:8" s="44" customFormat="1">
      <c r="A532" s="214" t="str">
        <f t="shared" si="16"/>
        <v>I-083-WS-39</v>
      </c>
      <c r="B532" s="214" t="str">
        <f t="shared" si="17"/>
        <v>I-083-20</v>
      </c>
      <c r="C532" s="45" t="s">
        <v>223</v>
      </c>
      <c r="D532" s="45">
        <v>20</v>
      </c>
      <c r="E532" s="45" t="s">
        <v>612</v>
      </c>
      <c r="F532" s="42" t="str">
        <f>VLOOKUP(E532, 'S11 Work Stations'!$A$2:$B$45, 2, 0)</f>
        <v>SAW-400-424</v>
      </c>
      <c r="G532" s="45">
        <v>60</v>
      </c>
      <c r="H532" s="3">
        <v>200</v>
      </c>
    </row>
    <row r="533" spans="1:8" s="44" customFormat="1">
      <c r="A533" s="214" t="str">
        <f t="shared" si="16"/>
        <v>I-083-WS-43</v>
      </c>
      <c r="B533" s="214" t="str">
        <f t="shared" si="17"/>
        <v>I-083-10</v>
      </c>
      <c r="C533" s="45" t="s">
        <v>223</v>
      </c>
      <c r="D533" s="45">
        <v>10</v>
      </c>
      <c r="E533" s="45" t="s">
        <v>616</v>
      </c>
      <c r="F533" s="42" t="str">
        <f>VLOOKUP(E533, 'S11 Work Stations'!$A$2:$B$45, 2, 0)</f>
        <v>RAW-MAT-INV</v>
      </c>
      <c r="G533" s="45">
        <v>0</v>
      </c>
      <c r="H533" s="3">
        <v>200</v>
      </c>
    </row>
    <row r="534" spans="1:8" s="44" customFormat="1">
      <c r="A534" s="214" t="str">
        <f t="shared" si="16"/>
        <v>I-083-WS-44</v>
      </c>
      <c r="B534" s="214" t="str">
        <f t="shared" si="17"/>
        <v>I-083-50</v>
      </c>
      <c r="C534" s="45" t="s">
        <v>223</v>
      </c>
      <c r="D534" s="45">
        <v>50</v>
      </c>
      <c r="E534" s="45" t="s">
        <v>617</v>
      </c>
      <c r="F534" s="42" t="str">
        <f>VLOOKUP(E534, 'S11 Work Stations'!$A$2:$B$45, 2, 0)</f>
        <v>FIN-GOOD-INV</v>
      </c>
      <c r="G534" s="45">
        <v>0</v>
      </c>
      <c r="H534" s="3">
        <v>200</v>
      </c>
    </row>
  </sheetData>
  <autoFilter ref="A1:H534" xr:uid="{AC983E17-0E9A-DC46-AB9E-9866803D37A8}">
    <sortState xmlns:xlrd2="http://schemas.microsoft.com/office/spreadsheetml/2017/richdata2" ref="A2:H534">
      <sortCondition ref="C1:C534"/>
    </sortState>
  </autoFilter>
  <phoneticPr fontId="22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150" workbookViewId="0">
      <selection activeCell="A3" sqref="A3:XFD3"/>
    </sheetView>
  </sheetViews>
  <sheetFormatPr baseColWidth="10" defaultColWidth="11" defaultRowHeight="16"/>
  <cols>
    <col min="1" max="9" width="16.1640625" customWidth="1"/>
  </cols>
  <sheetData>
    <row r="1" spans="1:9" ht="17" thickBot="1">
      <c r="B1" s="405" t="s">
        <v>565</v>
      </c>
      <c r="C1" s="406"/>
      <c r="D1" s="406"/>
      <c r="E1" s="406"/>
      <c r="F1" s="406"/>
      <c r="G1" s="406"/>
      <c r="H1" s="406"/>
      <c r="I1" s="407"/>
    </row>
    <row r="2" spans="1:9" ht="17" thickBot="1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>
      <c r="A3" s="50" t="str">
        <f>'S08 ABC Output'!A3</f>
        <v>I-010</v>
      </c>
      <c r="B3" s="51" t="str">
        <f t="array" ref="B3">IFERROR(VLOOKUP($A3&amp;"-"&amp;B$2, CHOOSE({1,2}, 'S12 Operations'!$C$2:$C$534&amp;"-"&amp;'S12 Operations'!$D$2:$D$534, 'S12 Operations'!$E$2:$E$534), 2, 0), "")</f>
        <v>WS-43</v>
      </c>
      <c r="C3" s="51" t="str">
        <f t="array" ref="C3">IFERROR(VLOOKUP($A3&amp;"-"&amp;C$2, CHOOSE({1,2}, 'S12 Operations'!$C$2:$C$534&amp;"-"&amp;'S12 Operations'!$D$2:$D$534, 'S12 Operations'!$E$2:$E$534), 2, 0), "")</f>
        <v>WS-40</v>
      </c>
      <c r="D3" s="51" t="str">
        <f t="array" ref="D3">IFERROR(VLOOKUP($A3&amp;"-"&amp;D$2, CHOOSE({1,2}, 'S12 Operations'!$C$2:$C$534&amp;"-"&amp;'S12 Operations'!$D$2:$D$534, 'S12 Operations'!$E$2:$E$534), 2, 0), "")</f>
        <v>WS-02</v>
      </c>
      <c r="E3" s="51" t="str">
        <f t="array" ref="E3">IFERROR(VLOOKUP($A3&amp;"-"&amp;E$2, CHOOSE({1,2}, 'S12 Operations'!$C$2:$C$534&amp;"-"&amp;'S12 Operations'!$D$2:$D$534, 'S12 Operations'!$E$2:$E$534), 2, 0), "")</f>
        <v>WS-18</v>
      </c>
      <c r="F3" s="51" t="str">
        <f t="array" ref="F3">IFERROR(VLOOKUP($A3&amp;"-"&amp;F$2, CHOOSE({1,2}, 'S12 Operations'!$C$2:$C$534&amp;"-"&amp;'S12 Operations'!$D$2:$D$534, 'S12 Operations'!$E$2:$E$534), 2, 0), "")</f>
        <v>WS-24</v>
      </c>
      <c r="G3" s="51" t="str">
        <f t="array" ref="G3">IFERROR(VLOOKUP($A3&amp;"-"&amp;G$2, CHOOSE({1,2}, 'S12 Operations'!$C$2:$C$534&amp;"-"&amp;'S12 Operations'!$D$2:$D$534, 'S12 Operations'!$E$2:$E$534), 2, 0), "")</f>
        <v>WS-29</v>
      </c>
      <c r="H3" s="51" t="str">
        <f t="array" ref="H3">IFERROR(VLOOKUP($A3&amp;"-"&amp;H$2, CHOOSE({1,2}, 'S12 Operations'!$C$2:$C$534&amp;"-"&amp;'S12 Operations'!$D$2:$D$534, 'S12 Operations'!$E$2:$E$534), 2, 0), "")</f>
        <v>WS-33</v>
      </c>
      <c r="I3" s="51" t="str">
        <f t="array" ref="I3">IFERROR(VLOOKUP($A3&amp;"-"&amp;I$2, CHOOSE({1,2}, 'S12 Operations'!$C$2:$C$534&amp;"-"&amp;'S12 Operations'!$D$2:$D$534, 'S12 Operations'!$E$2:$E$534), 2, 0), "")</f>
        <v>WS-44</v>
      </c>
    </row>
    <row r="4" spans="1:9">
      <c r="A4" s="50" t="str">
        <f>'S08 ABC Output'!A4</f>
        <v>I-004</v>
      </c>
      <c r="B4" s="51" t="str">
        <f>IFERROR(VLOOKUP($A4&amp;"-"&amp;B$2, 'S12 Operations'!$B$2:$E$534, 4, 0), "")</f>
        <v>WS-43</v>
      </c>
      <c r="C4" s="51" t="str">
        <f>IFERROR(VLOOKUP($A4&amp;"-"&amp;C$2, 'S12 Operations'!$B$2:$E$534, 4, 0), "")</f>
        <v>WS-36</v>
      </c>
      <c r="D4" s="51" t="str">
        <f>IFERROR(VLOOKUP($A4&amp;"-"&amp;D$2, 'S12 Operations'!$B$2:$E$534, 4, 0), "")</f>
        <v>WS-05</v>
      </c>
      <c r="E4" s="51" t="str">
        <f>IFERROR(VLOOKUP($A4&amp;"-"&amp;E$2, 'S12 Operations'!$B$2:$E$534, 4, 0), "")</f>
        <v>WS-25</v>
      </c>
      <c r="F4" s="51" t="str">
        <f>IFERROR(VLOOKUP($A4&amp;"-"&amp;F$2, 'S12 Operations'!$B$2:$E$534, 4, 0), "")</f>
        <v>WS-34</v>
      </c>
      <c r="G4" s="51" t="str">
        <f>IFERROR(VLOOKUP($A4&amp;"-"&amp;G$2, 'S12 Operations'!$B$2:$E$534, 4, 0), "")</f>
        <v>WS-44</v>
      </c>
      <c r="H4" s="51" t="str">
        <f>IFERROR(VLOOKUP($A4&amp;"-"&amp;H$2, 'S12 Operations'!$B$2:$E$534, 4, 0), "")</f>
        <v/>
      </c>
      <c r="I4" s="51" t="str">
        <f>IFERROR(VLOOKUP($A4&amp;"-"&amp;I$2, 'S12 Operations'!$B$2:$E$534, 4, 0), "")</f>
        <v/>
      </c>
    </row>
    <row r="5" spans="1:9">
      <c r="A5" s="50" t="str">
        <f>'S08 ABC Output'!A5</f>
        <v>I-037</v>
      </c>
      <c r="B5" s="51" t="str">
        <f>IFERROR(VLOOKUP($A5&amp;"-"&amp;B$2, 'S12 Operations'!$B$2:$E$534, 4, 0), "")</f>
        <v>WS-43</v>
      </c>
      <c r="C5" s="51" t="str">
        <f>IFERROR(VLOOKUP($A5&amp;"-"&amp;C$2, 'S12 Operations'!$B$2:$E$534, 4, 0), "")</f>
        <v>WS-38</v>
      </c>
      <c r="D5" s="51" t="str">
        <f>IFERROR(VLOOKUP($A5&amp;"-"&amp;D$2, 'S12 Operations'!$B$2:$E$534, 4, 0), "")</f>
        <v>WS-07</v>
      </c>
      <c r="E5" s="51" t="str">
        <f>IFERROR(VLOOKUP($A5&amp;"-"&amp;E$2, 'S12 Operations'!$B$2:$E$534, 4, 0), "")</f>
        <v>WS-21</v>
      </c>
      <c r="F5" s="51" t="str">
        <f>IFERROR(VLOOKUP($A5&amp;"-"&amp;F$2, 'S12 Operations'!$B$2:$E$534, 4, 0), "")</f>
        <v>WS-28</v>
      </c>
      <c r="G5" s="51" t="str">
        <f>IFERROR(VLOOKUP($A5&amp;"-"&amp;G$2, 'S12 Operations'!$B$2:$E$534, 4, 0), "")</f>
        <v>WS-27</v>
      </c>
      <c r="H5" s="51" t="str">
        <f>IFERROR(VLOOKUP($A5&amp;"-"&amp;H$2, 'S12 Operations'!$B$2:$E$534, 4, 0), "")</f>
        <v>WS-32</v>
      </c>
      <c r="I5" s="51" t="str">
        <f>IFERROR(VLOOKUP($A5&amp;"-"&amp;I$2, 'S12 Operations'!$B$2:$E$534, 4, 0), "")</f>
        <v>WS-44</v>
      </c>
    </row>
    <row r="6" spans="1:9">
      <c r="A6" s="50" t="str">
        <f>'S08 ABC Output'!A6</f>
        <v>I-064</v>
      </c>
      <c r="B6" s="51" t="str">
        <f>IFERROR(VLOOKUP($A6&amp;"-"&amp;B$2, 'S12 Operations'!$B$2:$E$534, 4, 0), "")</f>
        <v>WS-43</v>
      </c>
      <c r="C6" s="51" t="str">
        <f>IFERROR(VLOOKUP($A6&amp;"-"&amp;C$2, 'S12 Operations'!$B$2:$E$534, 4, 0), "")</f>
        <v>WS-40</v>
      </c>
      <c r="D6" s="51" t="str">
        <f>IFERROR(VLOOKUP($A6&amp;"-"&amp;D$2, 'S12 Operations'!$B$2:$E$534, 4, 0), "")</f>
        <v>WS-04</v>
      </c>
      <c r="E6" s="51" t="str">
        <f>IFERROR(VLOOKUP($A6&amp;"-"&amp;E$2, 'S12 Operations'!$B$2:$E$534, 4, 0), "")</f>
        <v>WS-03</v>
      </c>
      <c r="F6" s="51" t="str">
        <f>IFERROR(VLOOKUP($A6&amp;"-"&amp;F$2, 'S12 Operations'!$B$2:$E$534, 4, 0), "")</f>
        <v>WS-23</v>
      </c>
      <c r="G6" s="51" t="str">
        <f>IFERROR(VLOOKUP($A6&amp;"-"&amp;G$2, 'S12 Operations'!$B$2:$E$534, 4, 0), "")</f>
        <v>WS-31</v>
      </c>
      <c r="H6" s="51" t="str">
        <f>IFERROR(VLOOKUP($A6&amp;"-"&amp;H$2, 'S12 Operations'!$B$2:$E$534, 4, 0), "")</f>
        <v>WS-32</v>
      </c>
      <c r="I6" s="51" t="str">
        <f>IFERROR(VLOOKUP($A6&amp;"-"&amp;I$2, 'S12 Operations'!$B$2:$E$534, 4, 0), "")</f>
        <v>WS-42</v>
      </c>
    </row>
    <row r="7" spans="1:9">
      <c r="A7" s="50" t="str">
        <f>'S08 ABC Output'!A7</f>
        <v>I-052</v>
      </c>
      <c r="B7" s="51" t="str">
        <f>IFERROR(VLOOKUP($A7&amp;"-"&amp;B$2, 'S12 Operations'!$B$2:$E$534, 4, 0), "")</f>
        <v>WS-43</v>
      </c>
      <c r="C7" s="51" t="str">
        <f>IFERROR(VLOOKUP($A7&amp;"-"&amp;C$2, 'S12 Operations'!$B$2:$E$534, 4, 0), "")</f>
        <v>WS-40</v>
      </c>
      <c r="D7" s="51" t="str">
        <f>IFERROR(VLOOKUP($A7&amp;"-"&amp;D$2, 'S12 Operations'!$B$2:$E$534, 4, 0), "")</f>
        <v>WS-07</v>
      </c>
      <c r="E7" s="51" t="str">
        <f>IFERROR(VLOOKUP($A7&amp;"-"&amp;E$2, 'S12 Operations'!$B$2:$E$534, 4, 0), "")</f>
        <v>WS-08</v>
      </c>
      <c r="F7" s="51" t="str">
        <f>IFERROR(VLOOKUP($A7&amp;"-"&amp;F$2, 'S12 Operations'!$B$2:$E$534, 4, 0), "")</f>
        <v>WS-20</v>
      </c>
      <c r="G7" s="51" t="str">
        <f>IFERROR(VLOOKUP($A7&amp;"-"&amp;G$2, 'S12 Operations'!$B$2:$E$534, 4, 0), "")</f>
        <v>WS-26</v>
      </c>
      <c r="H7" s="51" t="str">
        <f>IFERROR(VLOOKUP($A7&amp;"-"&amp;H$2, 'S12 Operations'!$B$2:$E$534, 4, 0), "")</f>
        <v>WS-32</v>
      </c>
      <c r="I7" s="51" t="str">
        <f>IFERROR(VLOOKUP($A7&amp;"-"&amp;I$2, 'S12 Operations'!$B$2:$E$534, 4, 0), "")</f>
        <v>WS-44</v>
      </c>
    </row>
    <row r="8" spans="1:9">
      <c r="A8" s="50" t="str">
        <f>'S08 ABC Output'!A8</f>
        <v>I-068</v>
      </c>
      <c r="B8" s="51" t="str">
        <f>IFERROR(VLOOKUP($A8&amp;"-"&amp;B$2, 'S12 Operations'!$B$2:$E$534, 4, 0), "")</f>
        <v>WS-43</v>
      </c>
      <c r="C8" s="51" t="str">
        <f>IFERROR(VLOOKUP($A8&amp;"-"&amp;C$2, 'S12 Operations'!$B$2:$E$534, 4, 0), "")</f>
        <v>WS-36</v>
      </c>
      <c r="D8" s="51" t="str">
        <f>IFERROR(VLOOKUP($A8&amp;"-"&amp;D$2, 'S12 Operations'!$B$2:$E$534, 4, 0), "")</f>
        <v>WS-05</v>
      </c>
      <c r="E8" s="51" t="str">
        <f>IFERROR(VLOOKUP($A8&amp;"-"&amp;E$2, 'S12 Operations'!$B$2:$E$534, 4, 0), "")</f>
        <v>WS-25</v>
      </c>
      <c r="F8" s="51" t="str">
        <f>IFERROR(VLOOKUP($A8&amp;"-"&amp;F$2, 'S12 Operations'!$B$2:$E$534, 4, 0), "")</f>
        <v>WS-34</v>
      </c>
      <c r="G8" s="51" t="str">
        <f>IFERROR(VLOOKUP($A8&amp;"-"&amp;G$2, 'S12 Operations'!$B$2:$E$534, 4, 0), "")</f>
        <v>WS-44</v>
      </c>
      <c r="H8" s="51" t="str">
        <f>IFERROR(VLOOKUP($A8&amp;"-"&amp;H$2, 'S12 Operations'!$B$2:$E$534, 4, 0), "")</f>
        <v/>
      </c>
      <c r="I8" s="51" t="str">
        <f>IFERROR(VLOOKUP($A8&amp;"-"&amp;I$2, 'S12 Operations'!$B$2:$E$534, 4, 0), "")</f>
        <v/>
      </c>
    </row>
    <row r="9" spans="1:9">
      <c r="A9" s="50" t="str">
        <f>'S08 ABC Output'!A9</f>
        <v>I-053</v>
      </c>
      <c r="B9" s="51" t="str">
        <f>IFERROR(VLOOKUP($A9&amp;"-"&amp;B$2, 'S12 Operations'!$B$2:$E$534, 4, 0), "")</f>
        <v>WS-43</v>
      </c>
      <c r="C9" s="51" t="str">
        <f>IFERROR(VLOOKUP($A9&amp;"-"&amp;C$2, 'S12 Operations'!$B$2:$E$534, 4, 0), "")</f>
        <v>WS-40</v>
      </c>
      <c r="D9" s="51" t="str">
        <f>IFERROR(VLOOKUP($A9&amp;"-"&amp;D$2, 'S12 Operations'!$B$2:$E$534, 4, 0), "")</f>
        <v>WS-04</v>
      </c>
      <c r="E9" s="51" t="str">
        <f>IFERROR(VLOOKUP($A9&amp;"-"&amp;E$2, 'S12 Operations'!$B$2:$E$534, 4, 0), "")</f>
        <v>WS-03</v>
      </c>
      <c r="F9" s="51" t="str">
        <f>IFERROR(VLOOKUP($A9&amp;"-"&amp;F$2, 'S12 Operations'!$B$2:$E$534, 4, 0), "")</f>
        <v>WS-23</v>
      </c>
      <c r="G9" s="51" t="str">
        <f>IFERROR(VLOOKUP($A9&amp;"-"&amp;G$2, 'S12 Operations'!$B$2:$E$534, 4, 0), "")</f>
        <v>WS-31</v>
      </c>
      <c r="H9" s="51" t="str">
        <f>IFERROR(VLOOKUP($A9&amp;"-"&amp;H$2, 'S12 Operations'!$B$2:$E$534, 4, 0), "")</f>
        <v>WS-32</v>
      </c>
      <c r="I9" s="51" t="str">
        <f>IFERROR(VLOOKUP($A9&amp;"-"&amp;I$2, 'S12 Operations'!$B$2:$E$534, 4, 0), "")</f>
        <v>WS-44</v>
      </c>
    </row>
    <row r="10" spans="1:9">
      <c r="A10" s="50" t="str">
        <f>'S08 ABC Output'!A10</f>
        <v>I-012</v>
      </c>
      <c r="B10" s="51" t="str">
        <f>IFERROR(VLOOKUP($A10&amp;"-"&amp;B$2, 'S12 Operations'!$B$2:$E$534, 4, 0), "")</f>
        <v>WS-43</v>
      </c>
      <c r="C10" s="51" t="str">
        <f>IFERROR(VLOOKUP($A10&amp;"-"&amp;C$2, 'S12 Operations'!$B$2:$E$534, 4, 0), "")</f>
        <v>WS-40</v>
      </c>
      <c r="D10" s="51" t="str">
        <f>IFERROR(VLOOKUP($A10&amp;"-"&amp;D$2, 'S12 Operations'!$B$2:$E$534, 4, 0), "")</f>
        <v>WS-07</v>
      </c>
      <c r="E10" s="51" t="str">
        <f>IFERROR(VLOOKUP($A10&amp;"-"&amp;E$2, 'S12 Operations'!$B$2:$E$534, 4, 0), "")</f>
        <v>WS-08</v>
      </c>
      <c r="F10" s="51" t="str">
        <f>IFERROR(VLOOKUP($A10&amp;"-"&amp;F$2, 'S12 Operations'!$B$2:$E$534, 4, 0), "")</f>
        <v>WS-20</v>
      </c>
      <c r="G10" s="51" t="str">
        <f>IFERROR(VLOOKUP($A10&amp;"-"&amp;G$2, 'S12 Operations'!$B$2:$E$534, 4, 0), "")</f>
        <v>WS-26</v>
      </c>
      <c r="H10" s="51" t="str">
        <f>IFERROR(VLOOKUP($A10&amp;"-"&amp;H$2, 'S12 Operations'!$B$2:$E$534, 4, 0), "")</f>
        <v>WS-32</v>
      </c>
      <c r="I10" s="51" t="str">
        <f>IFERROR(VLOOKUP($A10&amp;"-"&amp;I$2, 'S12 Operations'!$B$2:$E$534, 4, 0), "")</f>
        <v>WS-44</v>
      </c>
    </row>
    <row r="11" spans="1:9">
      <c r="A11" s="50" t="str">
        <f>'S08 ABC Output'!A11</f>
        <v>I-066</v>
      </c>
      <c r="B11" s="51" t="str">
        <f>IFERROR(VLOOKUP($A11&amp;"-"&amp;B$2, 'S12 Operations'!$B$2:$E$534, 4, 0), "")</f>
        <v>WS-43</v>
      </c>
      <c r="C11" s="51" t="str">
        <f>IFERROR(VLOOKUP($A11&amp;"-"&amp;C$2, 'S12 Operations'!$B$2:$E$534, 4, 0), "")</f>
        <v>WS-36</v>
      </c>
      <c r="D11" s="51" t="str">
        <f>IFERROR(VLOOKUP($A11&amp;"-"&amp;D$2, 'S12 Operations'!$B$2:$E$534, 4, 0), "")</f>
        <v>WS-05</v>
      </c>
      <c r="E11" s="51" t="str">
        <f>IFERROR(VLOOKUP($A11&amp;"-"&amp;E$2, 'S12 Operations'!$B$2:$E$534, 4, 0), "")</f>
        <v>WS-25</v>
      </c>
      <c r="F11" s="51" t="str">
        <f>IFERROR(VLOOKUP($A11&amp;"-"&amp;F$2, 'S12 Operations'!$B$2:$E$534, 4, 0), "")</f>
        <v>WS-34</v>
      </c>
      <c r="G11" s="51" t="str">
        <f>IFERROR(VLOOKUP($A11&amp;"-"&amp;G$2, 'S12 Operations'!$B$2:$E$534, 4, 0), "")</f>
        <v>WS-44</v>
      </c>
      <c r="H11" s="51" t="str">
        <f>IFERROR(VLOOKUP($A11&amp;"-"&amp;H$2, 'S12 Operations'!$B$2:$E$534, 4, 0), "")</f>
        <v/>
      </c>
      <c r="I11" s="51" t="str">
        <f>IFERROR(VLOOKUP($A11&amp;"-"&amp;I$2, 'S12 Operations'!$B$2:$E$534, 4, 0), "")</f>
        <v/>
      </c>
    </row>
    <row r="12" spans="1:9">
      <c r="A12" s="50" t="str">
        <f>'S08 ABC Output'!A12</f>
        <v>I-069</v>
      </c>
      <c r="B12" s="51" t="str">
        <f>IFERROR(VLOOKUP($A12&amp;"-"&amp;B$2, 'S12 Operations'!$B$2:$E$534, 4, 0), "")</f>
        <v>WS-43</v>
      </c>
      <c r="C12" s="51" t="str">
        <f>IFERROR(VLOOKUP($A12&amp;"-"&amp;C$2, 'S12 Operations'!$B$2:$E$534, 4, 0), "")</f>
        <v>WS-36</v>
      </c>
      <c r="D12" s="51" t="str">
        <f>IFERROR(VLOOKUP($A12&amp;"-"&amp;D$2, 'S12 Operations'!$B$2:$E$534, 4, 0), "")</f>
        <v>WS-05</v>
      </c>
      <c r="E12" s="51" t="str">
        <f>IFERROR(VLOOKUP($A12&amp;"-"&amp;E$2, 'S12 Operations'!$B$2:$E$534, 4, 0), "")</f>
        <v>WS-25</v>
      </c>
      <c r="F12" s="51" t="str">
        <f>IFERROR(VLOOKUP($A12&amp;"-"&amp;F$2, 'S12 Operations'!$B$2:$E$534, 4, 0), "")</f>
        <v>WS-34</v>
      </c>
      <c r="G12" s="51" t="str">
        <f>IFERROR(VLOOKUP($A12&amp;"-"&amp;G$2, 'S12 Operations'!$B$2:$E$534, 4, 0), "")</f>
        <v>WS-44</v>
      </c>
      <c r="H12" s="51" t="str">
        <f>IFERROR(VLOOKUP($A12&amp;"-"&amp;H$2, 'S12 Operations'!$B$2:$E$534, 4, 0), "")</f>
        <v/>
      </c>
      <c r="I12" s="51" t="str">
        <f>IFERROR(VLOOKUP($A12&amp;"-"&amp;I$2, 'S12 Operations'!$B$2:$E$534, 4, 0), "")</f>
        <v/>
      </c>
    </row>
    <row r="13" spans="1:9">
      <c r="A13" s="50" t="str">
        <f>'S08 ABC Output'!A13</f>
        <v>I-070</v>
      </c>
      <c r="B13" s="51" t="str">
        <f>IFERROR(VLOOKUP($A13&amp;"-"&amp;B$2, 'S12 Operations'!$B$2:$E$534, 4, 0), "")</f>
        <v>WS-43</v>
      </c>
      <c r="C13" s="51" t="str">
        <f>IFERROR(VLOOKUP($A13&amp;"-"&amp;C$2, 'S12 Operations'!$B$2:$E$534, 4, 0), "")</f>
        <v>WS-36</v>
      </c>
      <c r="D13" s="51" t="str">
        <f>IFERROR(VLOOKUP($A13&amp;"-"&amp;D$2, 'S12 Operations'!$B$2:$E$534, 4, 0), "")</f>
        <v>WS-05</v>
      </c>
      <c r="E13" s="51" t="str">
        <f>IFERROR(VLOOKUP($A13&amp;"-"&amp;E$2, 'S12 Operations'!$B$2:$E$534, 4, 0), "")</f>
        <v>WS-25</v>
      </c>
      <c r="F13" s="51" t="str">
        <f>IFERROR(VLOOKUP($A13&amp;"-"&amp;F$2, 'S12 Operations'!$B$2:$E$534, 4, 0), "")</f>
        <v>WS-34</v>
      </c>
      <c r="G13" s="51" t="str">
        <f>IFERROR(VLOOKUP($A13&amp;"-"&amp;G$2, 'S12 Operations'!$B$2:$E$534, 4, 0), "")</f>
        <v>WS-44</v>
      </c>
      <c r="H13" s="51" t="str">
        <f>IFERROR(VLOOKUP($A13&amp;"-"&amp;H$2, 'S12 Operations'!$B$2:$E$534, 4, 0), "")</f>
        <v/>
      </c>
      <c r="I13" s="51" t="str">
        <f>IFERROR(VLOOKUP($A13&amp;"-"&amp;I$2, 'S12 Operations'!$B$2:$E$534, 4, 0), "")</f>
        <v/>
      </c>
    </row>
    <row r="14" spans="1:9">
      <c r="A14" s="50" t="str">
        <f>'S08 ABC Output'!A14</f>
        <v>I-006</v>
      </c>
      <c r="B14" s="51" t="str">
        <f>IFERROR(VLOOKUP($A14&amp;"-"&amp;B$2, 'S12 Operations'!$B$2:$E$534, 4, 0), "")</f>
        <v>WS-43</v>
      </c>
      <c r="C14" s="51" t="str">
        <f>IFERROR(VLOOKUP($A14&amp;"-"&amp;C$2, 'S12 Operations'!$B$2:$E$534, 4, 0), "")</f>
        <v>WS-40</v>
      </c>
      <c r="D14" s="51" t="str">
        <f>IFERROR(VLOOKUP($A14&amp;"-"&amp;D$2, 'S12 Operations'!$B$2:$E$534, 4, 0), "")</f>
        <v>WS-02</v>
      </c>
      <c r="E14" s="51" t="str">
        <f>IFERROR(VLOOKUP($A14&amp;"-"&amp;E$2, 'S12 Operations'!$B$2:$E$534, 4, 0), "")</f>
        <v>WS-18</v>
      </c>
      <c r="F14" s="51" t="str">
        <f>IFERROR(VLOOKUP($A14&amp;"-"&amp;F$2, 'S12 Operations'!$B$2:$E$534, 4, 0), "")</f>
        <v>WS-24</v>
      </c>
      <c r="G14" s="51" t="str">
        <f>IFERROR(VLOOKUP($A14&amp;"-"&amp;G$2, 'S12 Operations'!$B$2:$E$534, 4, 0), "")</f>
        <v>WS-29</v>
      </c>
      <c r="H14" s="51" t="str">
        <f>IFERROR(VLOOKUP($A14&amp;"-"&amp;H$2, 'S12 Operations'!$B$2:$E$534, 4, 0), "")</f>
        <v>WS-33</v>
      </c>
      <c r="I14" s="51" t="str">
        <f>IFERROR(VLOOKUP($A14&amp;"-"&amp;I$2, 'S12 Operations'!$B$2:$E$534, 4, 0), "")</f>
        <v>WS-44</v>
      </c>
    </row>
    <row r="15" spans="1:9">
      <c r="A15" s="50" t="str">
        <f>'S08 ABC Output'!A15</f>
        <v>I-073</v>
      </c>
      <c r="B15" s="51" t="str">
        <f>IFERROR(VLOOKUP($A15&amp;"-"&amp;B$2, 'S12 Operations'!$B$2:$E$534, 4, 0), "")</f>
        <v>WS-43</v>
      </c>
      <c r="C15" s="51" t="str">
        <f>IFERROR(VLOOKUP($A15&amp;"-"&amp;C$2, 'S12 Operations'!$B$2:$E$534, 4, 0), "")</f>
        <v>WS-38</v>
      </c>
      <c r="D15" s="51" t="str">
        <f>IFERROR(VLOOKUP($A15&amp;"-"&amp;D$2, 'S12 Operations'!$B$2:$E$534, 4, 0), "")</f>
        <v>WS-07</v>
      </c>
      <c r="E15" s="51" t="str">
        <f>IFERROR(VLOOKUP($A15&amp;"-"&amp;E$2, 'S12 Operations'!$B$2:$E$534, 4, 0), "")</f>
        <v>WS-21</v>
      </c>
      <c r="F15" s="51" t="str">
        <f>IFERROR(VLOOKUP($A15&amp;"-"&amp;F$2, 'S12 Operations'!$B$2:$E$534, 4, 0), "")</f>
        <v>WS-28</v>
      </c>
      <c r="G15" s="51" t="str">
        <f>IFERROR(VLOOKUP($A15&amp;"-"&amp;G$2, 'S12 Operations'!$B$2:$E$534, 4, 0), "")</f>
        <v>WS-27</v>
      </c>
      <c r="H15" s="51" t="str">
        <f>IFERROR(VLOOKUP($A15&amp;"-"&amp;H$2, 'S12 Operations'!$B$2:$E$534, 4, 0), "")</f>
        <v>WS-32</v>
      </c>
      <c r="I15" s="51" t="str">
        <f>IFERROR(VLOOKUP($A15&amp;"-"&amp;I$2, 'S12 Operations'!$B$2:$E$534, 4, 0), "")</f>
        <v>WS-44</v>
      </c>
    </row>
    <row r="16" spans="1:9">
      <c r="A16" s="50" t="str">
        <f>'S08 ABC Output'!A16</f>
        <v>I-071</v>
      </c>
      <c r="B16" s="51" t="str">
        <f>IFERROR(VLOOKUP($A16&amp;"-"&amp;B$2, 'S12 Operations'!$B$2:$E$534, 4, 0), "")</f>
        <v>WS-43</v>
      </c>
      <c r="C16" s="51" t="str">
        <f>IFERROR(VLOOKUP($A16&amp;"-"&amp;C$2, 'S12 Operations'!$B$2:$E$534, 4, 0), "")</f>
        <v>WS-36</v>
      </c>
      <c r="D16" s="51" t="str">
        <f>IFERROR(VLOOKUP($A16&amp;"-"&amp;D$2, 'S12 Operations'!$B$2:$E$534, 4, 0), "")</f>
        <v>WS-05</v>
      </c>
      <c r="E16" s="51" t="str">
        <f>IFERROR(VLOOKUP($A16&amp;"-"&amp;E$2, 'S12 Operations'!$B$2:$E$534, 4, 0), "")</f>
        <v>WS-25</v>
      </c>
      <c r="F16" s="51" t="str">
        <f>IFERROR(VLOOKUP($A16&amp;"-"&amp;F$2, 'S12 Operations'!$B$2:$E$534, 4, 0), "")</f>
        <v>WS-34</v>
      </c>
      <c r="G16" s="51" t="str">
        <f>IFERROR(VLOOKUP($A16&amp;"-"&amp;G$2, 'S12 Operations'!$B$2:$E$534, 4, 0), "")</f>
        <v>WS-44</v>
      </c>
      <c r="H16" s="51" t="str">
        <f>IFERROR(VLOOKUP($A16&amp;"-"&amp;H$2, 'S12 Operations'!$B$2:$E$534, 4, 0), "")</f>
        <v/>
      </c>
      <c r="I16" s="51" t="str">
        <f>IFERROR(VLOOKUP($A16&amp;"-"&amp;I$2, 'S12 Operations'!$B$2:$E$534, 4, 0), "")</f>
        <v/>
      </c>
    </row>
    <row r="17" spans="1:9">
      <c r="A17" s="50" t="str">
        <f>'S08 ABC Output'!A17</f>
        <v>I-007</v>
      </c>
      <c r="B17" s="51" t="str">
        <f>IFERROR(VLOOKUP($A17&amp;"-"&amp;B$2, 'S12 Operations'!$B$2:$E$534, 4, 0), "")</f>
        <v>WS-43</v>
      </c>
      <c r="C17" s="51" t="str">
        <f>IFERROR(VLOOKUP($A17&amp;"-"&amp;C$2, 'S12 Operations'!$B$2:$E$534, 4, 0), "")</f>
        <v>WS-40</v>
      </c>
      <c r="D17" s="51" t="str">
        <f>IFERROR(VLOOKUP($A17&amp;"-"&amp;D$2, 'S12 Operations'!$B$2:$E$534, 4, 0), "")</f>
        <v>WS-02</v>
      </c>
      <c r="E17" s="51" t="str">
        <f>IFERROR(VLOOKUP($A17&amp;"-"&amp;E$2, 'S12 Operations'!$B$2:$E$534, 4, 0), "")</f>
        <v>WS-18</v>
      </c>
      <c r="F17" s="51" t="str">
        <f>IFERROR(VLOOKUP($A17&amp;"-"&amp;F$2, 'S12 Operations'!$B$2:$E$534, 4, 0), "")</f>
        <v>WS-24</v>
      </c>
      <c r="G17" s="51" t="str">
        <f>IFERROR(VLOOKUP($A17&amp;"-"&amp;G$2, 'S12 Operations'!$B$2:$E$534, 4, 0), "")</f>
        <v>WS-29</v>
      </c>
      <c r="H17" s="51" t="str">
        <f>IFERROR(VLOOKUP($A17&amp;"-"&amp;H$2, 'S12 Operations'!$B$2:$E$534, 4, 0), "")</f>
        <v>WS-33</v>
      </c>
      <c r="I17" s="51" t="str">
        <f>IFERROR(VLOOKUP($A17&amp;"-"&amp;I$2, 'S12 Operations'!$B$2:$E$534, 4, 0), "")</f>
        <v>WS-44</v>
      </c>
    </row>
    <row r="18" spans="1:9">
      <c r="A18" s="50" t="str">
        <f>'S08 ABC Output'!A18</f>
        <v>I-074</v>
      </c>
      <c r="B18" s="51" t="str">
        <f>IFERROR(VLOOKUP($A18&amp;"-"&amp;B$2, 'S12 Operations'!$B$2:$E$534, 4, 0), "")</f>
        <v>WS-43</v>
      </c>
      <c r="C18" s="51" t="str">
        <f>IFERROR(VLOOKUP($A18&amp;"-"&amp;C$2, 'S12 Operations'!$B$2:$E$534, 4, 0), "")</f>
        <v>WS-38</v>
      </c>
      <c r="D18" s="51" t="str">
        <f>IFERROR(VLOOKUP($A18&amp;"-"&amp;D$2, 'S12 Operations'!$B$2:$E$534, 4, 0), "")</f>
        <v>WS-07</v>
      </c>
      <c r="E18" s="51" t="str">
        <f>IFERROR(VLOOKUP($A18&amp;"-"&amp;E$2, 'S12 Operations'!$B$2:$E$534, 4, 0), "")</f>
        <v>WS-21</v>
      </c>
      <c r="F18" s="51" t="str">
        <f>IFERROR(VLOOKUP($A18&amp;"-"&amp;F$2, 'S12 Operations'!$B$2:$E$534, 4, 0), "")</f>
        <v>WS-28</v>
      </c>
      <c r="G18" s="51" t="str">
        <f>IFERROR(VLOOKUP($A18&amp;"-"&amp;G$2, 'S12 Operations'!$B$2:$E$534, 4, 0), "")</f>
        <v>WS-27</v>
      </c>
      <c r="H18" s="51" t="str">
        <f>IFERROR(VLOOKUP($A18&amp;"-"&amp;H$2, 'S12 Operations'!$B$2:$E$534, 4, 0), "")</f>
        <v>WS-32</v>
      </c>
      <c r="I18" s="51" t="str">
        <f>IFERROR(VLOOKUP($A18&amp;"-"&amp;I$2, 'S12 Operations'!$B$2:$E$534,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9" zoomScaleNormal="69" workbookViewId="0">
      <selection activeCell="A3" sqref="A3:AA18"/>
    </sheetView>
  </sheetViews>
  <sheetFormatPr baseColWidth="10" defaultColWidth="11" defaultRowHeight="16"/>
  <cols>
    <col min="1" max="1" width="10.83203125" style="66"/>
    <col min="2" max="27" width="8" customWidth="1"/>
    <col min="28" max="227" width="10.83203125"/>
  </cols>
  <sheetData>
    <row r="1" spans="1:27" ht="18" thickBot="1">
      <c r="A1" s="171" t="s">
        <v>809</v>
      </c>
      <c r="B1" s="52" t="s">
        <v>566</v>
      </c>
      <c r="C1" s="411" t="s">
        <v>567</v>
      </c>
      <c r="D1" s="412"/>
      <c r="E1" s="413"/>
      <c r="F1" s="408" t="s">
        <v>568</v>
      </c>
      <c r="G1" s="409"/>
      <c r="H1" s="410"/>
      <c r="I1" s="411" t="s">
        <v>569</v>
      </c>
      <c r="J1" s="412"/>
      <c r="K1" s="412"/>
      <c r="L1" s="412"/>
      <c r="M1" s="412"/>
      <c r="N1" s="412"/>
      <c r="O1" s="412"/>
      <c r="P1" s="413"/>
      <c r="Q1" s="408" t="s">
        <v>570</v>
      </c>
      <c r="R1" s="409"/>
      <c r="S1" s="409"/>
      <c r="T1" s="410"/>
      <c r="U1" s="411" t="s">
        <v>571</v>
      </c>
      <c r="V1" s="413"/>
      <c r="W1" s="408" t="s">
        <v>567</v>
      </c>
      <c r="X1" s="409"/>
      <c r="Y1" s="410"/>
      <c r="Z1" s="110" t="s">
        <v>572</v>
      </c>
      <c r="AA1" s="52" t="s">
        <v>566</v>
      </c>
    </row>
    <row r="2" spans="1:27" ht="18" thickBot="1">
      <c r="A2" s="123" t="s">
        <v>170</v>
      </c>
      <c r="B2" s="111" t="s">
        <v>616</v>
      </c>
      <c r="C2" s="112" t="s">
        <v>609</v>
      </c>
      <c r="D2" s="113" t="s">
        <v>611</v>
      </c>
      <c r="E2" s="114" t="s">
        <v>613</v>
      </c>
      <c r="F2" s="115" t="s">
        <v>575</v>
      </c>
      <c r="G2" s="116" t="s">
        <v>577</v>
      </c>
      <c r="H2" s="117" t="s">
        <v>580</v>
      </c>
      <c r="I2" s="112" t="s">
        <v>576</v>
      </c>
      <c r="J2" s="113" t="s">
        <v>578</v>
      </c>
      <c r="K2" s="113" t="s">
        <v>581</v>
      </c>
      <c r="L2" s="113" t="s">
        <v>591</v>
      </c>
      <c r="M2" s="113" t="s">
        <v>593</v>
      </c>
      <c r="N2" s="113" t="s">
        <v>594</v>
      </c>
      <c r="O2" s="113" t="s">
        <v>596</v>
      </c>
      <c r="P2" s="114" t="s">
        <v>597</v>
      </c>
      <c r="Q2" s="115" t="s">
        <v>598</v>
      </c>
      <c r="R2" s="116" t="s">
        <v>599</v>
      </c>
      <c r="S2" s="116" t="s">
        <v>601</v>
      </c>
      <c r="T2" s="117" t="s">
        <v>604</v>
      </c>
      <c r="U2" s="112" t="s">
        <v>600</v>
      </c>
      <c r="V2" s="114" t="s">
        <v>602</v>
      </c>
      <c r="W2" s="115" t="s">
        <v>605</v>
      </c>
      <c r="X2" s="116" t="s">
        <v>606</v>
      </c>
      <c r="Y2" s="117" t="s">
        <v>607</v>
      </c>
      <c r="Z2" s="118" t="s">
        <v>615</v>
      </c>
      <c r="AA2" s="111" t="s">
        <v>617</v>
      </c>
    </row>
    <row r="3" spans="1:27" ht="17">
      <c r="A3" s="142" t="str">
        <f>'S08 ABC Output'!A4</f>
        <v>I-004</v>
      </c>
      <c r="B3" s="119">
        <f t="array" ref="B3">IFERROR(VLOOKUP($A3&amp;"-"&amp;B$2, CHOOSE({1,2}, 'S12 Operations'!$C$2:$C$534&amp;"-"&amp;'S12 Operations'!$E$2:$E$534, 'S12 Operations'!$D$2:$D$534), 2, 0), "")</f>
        <v>10</v>
      </c>
      <c r="C3" s="131">
        <f t="array" ref="C3">IFERROR(VLOOKUP($A3&amp;"-"&amp;C$2, CHOOSE({1,2}, 'S12 Operations'!$C$2:$C$534&amp;"-"&amp;'S12 Operations'!$E$2:$E$534, 'S12 Operations'!$D$2:$D$534), 2, 0), "")</f>
        <v>20</v>
      </c>
      <c r="D3" s="132" t="str">
        <f t="array" ref="D3">IFERROR(VLOOKUP($A3&amp;"-"&amp;D$2, CHOOSE({1,2}, 'S12 Operations'!$C$2:$C$534&amp;"-"&amp;'S12 Operations'!$E$2:$E$534, 'S12 Operations'!$D$2:$D$534), 2, 0), "")</f>
        <v/>
      </c>
      <c r="E3" s="133" t="str">
        <f t="array" ref="E3">IFERROR(VLOOKUP($A3&amp;"-"&amp;E$2, CHOOSE({1,2}, 'S12 Operations'!$C$2:$C$534&amp;"-"&amp;'S12 Operations'!$E$2:$E$534, 'S12 Operations'!$D$2:$D$534), 2, 0), "")</f>
        <v/>
      </c>
      <c r="F3" s="134" t="str">
        <f t="array" ref="F3">IFERROR(VLOOKUP($A3&amp;"-"&amp;F$2, CHOOSE({1,2}, 'S12 Operations'!$C$2:$C$534&amp;"-"&amp;'S12 Operations'!$E$2:$E$534, 'S12 Operations'!$D$2:$D$534), 2, 0), "")</f>
        <v/>
      </c>
      <c r="G3" s="135" t="str">
        <f t="array" ref="G3">IFERROR(VLOOKUP($A3&amp;"-"&amp;G$2, CHOOSE({1,2}, 'S12 Operations'!$C$2:$C$534&amp;"-"&amp;'S12 Operations'!$E$2:$E$534, 'S12 Operations'!$D$2:$D$534), 2, 0), "")</f>
        <v/>
      </c>
      <c r="H3" s="136" t="str">
        <f t="array" ref="H3">IFERROR(VLOOKUP($A3&amp;"-"&amp;H$2, CHOOSE({1,2}, 'S12 Operations'!$C$2:$C$534&amp;"-"&amp;'S12 Operations'!$E$2:$E$534, 'S12 Operations'!$D$2:$D$534), 2, 0), "")</f>
        <v/>
      </c>
      <c r="I3" s="131" t="str">
        <f t="array" ref="I3">IFERROR(VLOOKUP($A3&amp;"-"&amp;I$2, CHOOSE({1,2}, 'S12 Operations'!$C$2:$C$534&amp;"-"&amp;'S12 Operations'!$E$2:$E$534, 'S12 Operations'!$D$2:$D$534), 2, 0), "")</f>
        <v/>
      </c>
      <c r="J3" s="132">
        <f t="array" ref="J3">IFERROR(VLOOKUP($A3&amp;"-"&amp;J$2, CHOOSE({1,2}, 'S12 Operations'!$C$2:$C$534&amp;"-"&amp;'S12 Operations'!$E$2:$E$534, 'S12 Operations'!$D$2:$D$534), 2, 0), "")</f>
        <v>30</v>
      </c>
      <c r="K3" s="132" t="str">
        <f t="array" ref="K3">IFERROR(VLOOKUP($A3&amp;"-"&amp;K$2, CHOOSE({1,2}, 'S12 Operations'!$C$2:$C$534&amp;"-"&amp;'S12 Operations'!$E$2:$E$534, 'S12 Operations'!$D$2:$D$534), 2, 0), "")</f>
        <v/>
      </c>
      <c r="L3" s="132" t="str">
        <f t="array" ref="L3">IFERROR(VLOOKUP($A3&amp;"-"&amp;L$2, CHOOSE({1,2}, 'S12 Operations'!$C$2:$C$534&amp;"-"&amp;'S12 Operations'!$E$2:$E$534, 'S12 Operations'!$D$2:$D$534), 2, 0), "")</f>
        <v/>
      </c>
      <c r="M3" s="132" t="str">
        <f t="array" ref="M3">IFERROR(VLOOKUP($A3&amp;"-"&amp;M$2, CHOOSE({1,2}, 'S12 Operations'!$C$2:$C$534&amp;"-"&amp;'S12 Operations'!$E$2:$E$534, 'S12 Operations'!$D$2:$D$534), 2, 0), "")</f>
        <v/>
      </c>
      <c r="N3" s="132" t="str">
        <f t="array" ref="N3">IFERROR(VLOOKUP($A3&amp;"-"&amp;N$2, CHOOSE({1,2}, 'S12 Operations'!$C$2:$C$534&amp;"-"&amp;'S12 Operations'!$E$2:$E$534, 'S12 Operations'!$D$2:$D$534), 2, 0), "")</f>
        <v/>
      </c>
      <c r="O3" s="132" t="str">
        <f t="array" ref="O3">IFERROR(VLOOKUP($A3&amp;"-"&amp;O$2, CHOOSE({1,2}, 'S12 Operations'!$C$2:$C$534&amp;"-"&amp;'S12 Operations'!$E$2:$E$534, 'S12 Operations'!$D$2:$D$534), 2, 0), "")</f>
        <v/>
      </c>
      <c r="P3" s="133" t="str">
        <f t="array" ref="P3">IFERROR(VLOOKUP($A3&amp;"-"&amp;P$2, CHOOSE({1,2}, 'S12 Operations'!$C$2:$C$534&amp;"-"&amp;'S12 Operations'!$E$2:$E$534, 'S12 Operations'!$D$2:$D$534), 2, 0), "")</f>
        <v/>
      </c>
      <c r="Q3" s="134">
        <f t="array" ref="Q3">IFERROR(VLOOKUP($A3&amp;"-"&amp;Q$2, CHOOSE({1,2}, 'S12 Operations'!$C$2:$C$534&amp;"-"&amp;'S12 Operations'!$E$2:$E$534, 'S12 Operations'!$D$2:$D$534), 2, 0), "")</f>
        <v>40</v>
      </c>
      <c r="R3" s="135" t="str">
        <f t="array" ref="R3">IFERROR(VLOOKUP($A3&amp;"-"&amp;R$2, CHOOSE({1,2}, 'S12 Operations'!$C$2:$C$534&amp;"-"&amp;'S12 Operations'!$E$2:$E$534, 'S12 Operations'!$D$2:$D$534), 2, 0), "")</f>
        <v/>
      </c>
      <c r="S3" s="135" t="str">
        <f t="array" ref="S3">IFERROR(VLOOKUP($A3&amp;"-"&amp;S$2, CHOOSE({1,2}, 'S12 Operations'!$C$2:$C$534&amp;"-"&amp;'S12 Operations'!$E$2:$E$534, 'S12 Operations'!$D$2:$D$534), 2, 0), "")</f>
        <v/>
      </c>
      <c r="T3" s="136" t="str">
        <f t="array" ref="T3">IFERROR(VLOOKUP($A3&amp;"-"&amp;T$2, CHOOSE({1,2}, 'S12 Operations'!$C$2:$C$534&amp;"-"&amp;'S12 Operations'!$E$2:$E$534, 'S12 Operations'!$D$2:$D$534), 2, 0), "")</f>
        <v/>
      </c>
      <c r="U3" s="131" t="str">
        <f t="array" ref="U3">IFERROR(VLOOKUP($A3&amp;"-"&amp;U$2, CHOOSE({1,2}, 'S12 Operations'!$C$2:$C$534&amp;"-"&amp;'S12 Operations'!$E$2:$E$534, 'S12 Operations'!$D$2:$D$534), 2, 0), "")</f>
        <v/>
      </c>
      <c r="V3" s="133" t="str">
        <f t="array" ref="V3">IFERROR(VLOOKUP($A3&amp;"-"&amp;V$2, CHOOSE({1,2}, 'S12 Operations'!$C$2:$C$534&amp;"-"&amp;'S12 Operations'!$E$2:$E$534, 'S12 Operations'!$D$2:$D$534), 2, 0), "")</f>
        <v/>
      </c>
      <c r="W3" s="134" t="str">
        <f t="array" ref="W3">IFERROR(VLOOKUP($A3&amp;"-"&amp;W$2, CHOOSE({1,2}, 'S12 Operations'!$C$2:$C$534&amp;"-"&amp;'S12 Operations'!$E$2:$E$534, 'S12 Operations'!$D$2:$D$534), 2, 0), "")</f>
        <v/>
      </c>
      <c r="X3" s="135" t="str">
        <f t="array" ref="X3">IFERROR(VLOOKUP($A3&amp;"-"&amp;X$2, CHOOSE({1,2}, 'S12 Operations'!$C$2:$C$534&amp;"-"&amp;'S12 Operations'!$E$2:$E$534, 'S12 Operations'!$D$2:$D$534), 2, 0), "")</f>
        <v/>
      </c>
      <c r="Y3" s="136">
        <f t="array" ref="Y3">IFERROR(VLOOKUP($A3&amp;"-"&amp;Y$2, CHOOSE({1,2}, 'S12 Operations'!$C$2:$C$534&amp;"-"&amp;'S12 Operations'!$E$2:$E$534, 'S12 Operations'!$D$2:$D$534), 2, 0), "")</f>
        <v>50</v>
      </c>
      <c r="Z3" s="120" t="str">
        <f t="array" ref="Z3">IFERROR(VLOOKUP($A3&amp;"-"&amp;Z$2, CHOOSE({1,2}, 'S12 Operations'!$C$2:$C$534&amp;"-"&amp;'S12 Operations'!$E$2:$E$534, 'S12 Operations'!$D$2:$D$534), 2, 0), "")</f>
        <v/>
      </c>
      <c r="AA3" s="119">
        <f t="array" ref="AA3">IFERROR(VLOOKUP($A3&amp;"-"&amp;AA$2, CHOOSE({1,2}, 'S12 Operations'!$C$2:$C$534&amp;"-"&amp;'S12 Operations'!$E$2:$E$534, 'S12 Operations'!$D$2:$D$534), 2, 0), "")</f>
        <v>60</v>
      </c>
    </row>
    <row r="4" spans="1:27" ht="17">
      <c r="A4" s="143" t="str">
        <f>'S08 ABC Output'!A11</f>
        <v>I-066</v>
      </c>
      <c r="B4" s="59">
        <f t="array" ref="B4">IFERROR(VLOOKUP($A4&amp;"-"&amp;B$2, CHOOSE({1,2}, 'S12 Operations'!$C$2:$C$534&amp;"-"&amp;'S12 Operations'!$E$2:$E$534, 'S12 Operations'!$D$2:$D$534), 2, 0), "")</f>
        <v>10</v>
      </c>
      <c r="C4" s="124">
        <f t="array" ref="C4">IFERROR(VLOOKUP($A4&amp;"-"&amp;C$2, CHOOSE({1,2}, 'S12 Operations'!$C$2:$C$534&amp;"-"&amp;'S12 Operations'!$E$2:$E$534, 'S12 Operations'!$D$2:$D$534), 2, 0), "")</f>
        <v>20</v>
      </c>
      <c r="D4" s="122" t="str">
        <f t="array" ref="D4">IFERROR(VLOOKUP($A4&amp;"-"&amp;D$2, CHOOSE({1,2}, 'S12 Operations'!$C$2:$C$534&amp;"-"&amp;'S12 Operations'!$E$2:$E$534, 'S12 Operations'!$D$2:$D$534), 2, 0), "")</f>
        <v/>
      </c>
      <c r="E4" s="125" t="str">
        <f t="array" ref="E4">IFERROR(VLOOKUP($A4&amp;"-"&amp;E$2, CHOOSE({1,2}, 'S12 Operations'!$C$2:$C$534&amp;"-"&amp;'S12 Operations'!$E$2:$E$534, 'S12 Operations'!$D$2:$D$534), 2, 0), "")</f>
        <v/>
      </c>
      <c r="F4" s="60" t="str">
        <f t="array" ref="F4">IFERROR(VLOOKUP($A4&amp;"-"&amp;F$2, CHOOSE({1,2}, 'S12 Operations'!$C$2:$C$534&amp;"-"&amp;'S12 Operations'!$E$2:$E$534, 'S12 Operations'!$D$2:$D$534), 2, 0), "")</f>
        <v/>
      </c>
      <c r="G4" s="4" t="str">
        <f t="array" ref="G4">IFERROR(VLOOKUP($A4&amp;"-"&amp;G$2, CHOOSE({1,2}, 'S12 Operations'!$C$2:$C$534&amp;"-"&amp;'S12 Operations'!$E$2:$E$534, 'S12 Operations'!$D$2:$D$534), 2, 0), "")</f>
        <v/>
      </c>
      <c r="H4" s="61" t="str">
        <f t="array" ref="H4">IFERROR(VLOOKUP($A4&amp;"-"&amp;H$2, CHOOSE({1,2}, 'S12 Operations'!$C$2:$C$534&amp;"-"&amp;'S12 Operations'!$E$2:$E$534, 'S12 Operations'!$D$2:$D$534), 2, 0), "")</f>
        <v/>
      </c>
      <c r="I4" s="124" t="str">
        <f t="array" ref="I4">IFERROR(VLOOKUP($A4&amp;"-"&amp;I$2, CHOOSE({1,2}, 'S12 Operations'!$C$2:$C$534&amp;"-"&amp;'S12 Operations'!$E$2:$E$534, 'S12 Operations'!$D$2:$D$534), 2, 0), "")</f>
        <v/>
      </c>
      <c r="J4" s="122">
        <f t="array" ref="J4">IFERROR(VLOOKUP($A4&amp;"-"&amp;J$2, CHOOSE({1,2}, 'S12 Operations'!$C$2:$C$534&amp;"-"&amp;'S12 Operations'!$E$2:$E$534, 'S12 Operations'!$D$2:$D$534), 2, 0), "")</f>
        <v>30</v>
      </c>
      <c r="K4" s="122" t="str">
        <f t="array" ref="K4">IFERROR(VLOOKUP($A4&amp;"-"&amp;K$2, CHOOSE({1,2}, 'S12 Operations'!$C$2:$C$534&amp;"-"&amp;'S12 Operations'!$E$2:$E$534, 'S12 Operations'!$D$2:$D$534), 2, 0), "")</f>
        <v/>
      </c>
      <c r="L4" s="122" t="str">
        <f t="array" ref="L4">IFERROR(VLOOKUP($A4&amp;"-"&amp;L$2, CHOOSE({1,2}, 'S12 Operations'!$C$2:$C$534&amp;"-"&amp;'S12 Operations'!$E$2:$E$534, 'S12 Operations'!$D$2:$D$534), 2, 0), "")</f>
        <v/>
      </c>
      <c r="M4" s="122" t="str">
        <f t="array" ref="M4">IFERROR(VLOOKUP($A4&amp;"-"&amp;M$2, CHOOSE({1,2}, 'S12 Operations'!$C$2:$C$534&amp;"-"&amp;'S12 Operations'!$E$2:$E$534, 'S12 Operations'!$D$2:$D$534), 2, 0), "")</f>
        <v/>
      </c>
      <c r="N4" s="122" t="str">
        <f t="array" ref="N4">IFERROR(VLOOKUP($A4&amp;"-"&amp;N$2, CHOOSE({1,2}, 'S12 Operations'!$C$2:$C$534&amp;"-"&amp;'S12 Operations'!$E$2:$E$534, 'S12 Operations'!$D$2:$D$534), 2, 0), "")</f>
        <v/>
      </c>
      <c r="O4" s="122" t="str">
        <f t="array" ref="O4">IFERROR(VLOOKUP($A4&amp;"-"&amp;O$2, CHOOSE({1,2}, 'S12 Operations'!$C$2:$C$534&amp;"-"&amp;'S12 Operations'!$E$2:$E$534, 'S12 Operations'!$D$2:$D$534), 2, 0), "")</f>
        <v/>
      </c>
      <c r="P4" s="125" t="str">
        <f t="array" ref="P4">IFERROR(VLOOKUP($A4&amp;"-"&amp;P$2, CHOOSE({1,2}, 'S12 Operations'!$C$2:$C$534&amp;"-"&amp;'S12 Operations'!$E$2:$E$534, 'S12 Operations'!$D$2:$D$534), 2, 0), "")</f>
        <v/>
      </c>
      <c r="Q4" s="60">
        <f t="array" ref="Q4">IFERROR(VLOOKUP($A4&amp;"-"&amp;Q$2, CHOOSE({1,2}, 'S12 Operations'!$C$2:$C$534&amp;"-"&amp;'S12 Operations'!$E$2:$E$534, 'S12 Operations'!$D$2:$D$534), 2, 0), "")</f>
        <v>40</v>
      </c>
      <c r="R4" s="4" t="str">
        <f t="array" ref="R4">IFERROR(VLOOKUP($A4&amp;"-"&amp;R$2, CHOOSE({1,2}, 'S12 Operations'!$C$2:$C$534&amp;"-"&amp;'S12 Operations'!$E$2:$E$534, 'S12 Operations'!$D$2:$D$534), 2, 0), "")</f>
        <v/>
      </c>
      <c r="S4" s="4" t="str">
        <f t="array" ref="S4">IFERROR(VLOOKUP($A4&amp;"-"&amp;S$2, CHOOSE({1,2}, 'S12 Operations'!$C$2:$C$534&amp;"-"&amp;'S12 Operations'!$E$2:$E$534, 'S12 Operations'!$D$2:$D$534), 2, 0), "")</f>
        <v/>
      </c>
      <c r="T4" s="61" t="str">
        <f t="array" ref="T4">IFERROR(VLOOKUP($A4&amp;"-"&amp;T$2, CHOOSE({1,2}, 'S12 Operations'!$C$2:$C$534&amp;"-"&amp;'S12 Operations'!$E$2:$E$534, 'S12 Operations'!$D$2:$D$534), 2, 0), "")</f>
        <v/>
      </c>
      <c r="U4" s="124" t="str">
        <f t="array" ref="U4">IFERROR(VLOOKUP($A4&amp;"-"&amp;U$2, CHOOSE({1,2}, 'S12 Operations'!$C$2:$C$534&amp;"-"&amp;'S12 Operations'!$E$2:$E$534, 'S12 Operations'!$D$2:$D$534), 2, 0), "")</f>
        <v/>
      </c>
      <c r="V4" s="125" t="str">
        <f t="array" ref="V4">IFERROR(VLOOKUP($A4&amp;"-"&amp;V$2, CHOOSE({1,2}, 'S12 Operations'!$C$2:$C$534&amp;"-"&amp;'S12 Operations'!$E$2:$E$534, 'S12 Operations'!$D$2:$D$534), 2, 0), "")</f>
        <v/>
      </c>
      <c r="W4" s="60" t="str">
        <f t="array" ref="W4">IFERROR(VLOOKUP($A4&amp;"-"&amp;W$2, CHOOSE({1,2}, 'S12 Operations'!$C$2:$C$534&amp;"-"&amp;'S12 Operations'!$E$2:$E$534, 'S12 Operations'!$D$2:$D$534), 2, 0), "")</f>
        <v/>
      </c>
      <c r="X4" s="4" t="str">
        <f t="array" ref="X4">IFERROR(VLOOKUP($A4&amp;"-"&amp;X$2, CHOOSE({1,2}, 'S12 Operations'!$C$2:$C$534&amp;"-"&amp;'S12 Operations'!$E$2:$E$534, 'S12 Operations'!$D$2:$D$534), 2, 0), "")</f>
        <v/>
      </c>
      <c r="Y4" s="61">
        <f t="array" ref="Y4">IFERROR(VLOOKUP($A4&amp;"-"&amp;Y$2, CHOOSE({1,2}, 'S12 Operations'!$C$2:$C$534&amp;"-"&amp;'S12 Operations'!$E$2:$E$534, 'S12 Operations'!$D$2:$D$534), 2, 0), "")</f>
        <v>50</v>
      </c>
      <c r="Z4" s="129" t="str">
        <f t="array" ref="Z4">IFERROR(VLOOKUP($A4&amp;"-"&amp;Z$2, CHOOSE({1,2}, 'S12 Operations'!$C$2:$C$534&amp;"-"&amp;'S12 Operations'!$E$2:$E$534, 'S12 Operations'!$D$2:$D$534), 2, 0), "")</f>
        <v/>
      </c>
      <c r="AA4" s="59">
        <f t="array" ref="AA4">IFERROR(VLOOKUP($A4&amp;"-"&amp;AA$2, CHOOSE({1,2}, 'S12 Operations'!$C$2:$C$534&amp;"-"&amp;'S12 Operations'!$E$2:$E$534, 'S12 Operations'!$D$2:$D$534), 2, 0), "")</f>
        <v>60</v>
      </c>
    </row>
    <row r="5" spans="1:27" ht="17">
      <c r="A5" s="143" t="str">
        <f>'S08 ABC Output'!A8</f>
        <v>I-068</v>
      </c>
      <c r="B5" s="59">
        <f t="array" ref="B5">IFERROR(VLOOKUP($A5&amp;"-"&amp;B$2, CHOOSE({1,2}, 'S12 Operations'!$C$2:$C$534&amp;"-"&amp;'S12 Operations'!$E$2:$E$534, 'S12 Operations'!$D$2:$D$534), 2, 0), "")</f>
        <v>10</v>
      </c>
      <c r="C5" s="124">
        <f t="array" ref="C5">IFERROR(VLOOKUP($A5&amp;"-"&amp;C$2, CHOOSE({1,2}, 'S12 Operations'!$C$2:$C$534&amp;"-"&amp;'S12 Operations'!$E$2:$E$534, 'S12 Operations'!$D$2:$D$534), 2, 0), "")</f>
        <v>20</v>
      </c>
      <c r="D5" s="122" t="str">
        <f t="array" ref="D5">IFERROR(VLOOKUP($A5&amp;"-"&amp;D$2, CHOOSE({1,2}, 'S12 Operations'!$C$2:$C$534&amp;"-"&amp;'S12 Operations'!$E$2:$E$534, 'S12 Operations'!$D$2:$D$534), 2, 0), "")</f>
        <v/>
      </c>
      <c r="E5" s="125" t="str">
        <f t="array" ref="E5">IFERROR(VLOOKUP($A5&amp;"-"&amp;E$2, CHOOSE({1,2}, 'S12 Operations'!$C$2:$C$534&amp;"-"&amp;'S12 Operations'!$E$2:$E$534, 'S12 Operations'!$D$2:$D$534), 2, 0), "")</f>
        <v/>
      </c>
      <c r="F5" s="60" t="str">
        <f t="array" ref="F5">IFERROR(VLOOKUP($A5&amp;"-"&amp;F$2, CHOOSE({1,2}, 'S12 Operations'!$C$2:$C$534&amp;"-"&amp;'S12 Operations'!$E$2:$E$534, 'S12 Operations'!$D$2:$D$534), 2, 0), "")</f>
        <v/>
      </c>
      <c r="G5" s="4" t="str">
        <f t="array" ref="G5">IFERROR(VLOOKUP($A5&amp;"-"&amp;G$2, CHOOSE({1,2}, 'S12 Operations'!$C$2:$C$534&amp;"-"&amp;'S12 Operations'!$E$2:$E$534, 'S12 Operations'!$D$2:$D$534), 2, 0), "")</f>
        <v/>
      </c>
      <c r="H5" s="61" t="str">
        <f t="array" ref="H5">IFERROR(VLOOKUP($A5&amp;"-"&amp;H$2, CHOOSE({1,2}, 'S12 Operations'!$C$2:$C$534&amp;"-"&amp;'S12 Operations'!$E$2:$E$534, 'S12 Operations'!$D$2:$D$534), 2, 0), "")</f>
        <v/>
      </c>
      <c r="I5" s="124" t="str">
        <f t="array" ref="I5">IFERROR(VLOOKUP($A5&amp;"-"&amp;I$2, CHOOSE({1,2}, 'S12 Operations'!$C$2:$C$534&amp;"-"&amp;'S12 Operations'!$E$2:$E$534, 'S12 Operations'!$D$2:$D$534), 2, 0), "")</f>
        <v/>
      </c>
      <c r="J5" s="122">
        <f t="array" ref="J5">IFERROR(VLOOKUP($A5&amp;"-"&amp;J$2, CHOOSE({1,2}, 'S12 Operations'!$C$2:$C$534&amp;"-"&amp;'S12 Operations'!$E$2:$E$534, 'S12 Operations'!$D$2:$D$534), 2, 0), "")</f>
        <v>30</v>
      </c>
      <c r="K5" s="122" t="str">
        <f t="array" ref="K5">IFERROR(VLOOKUP($A5&amp;"-"&amp;K$2, CHOOSE({1,2}, 'S12 Operations'!$C$2:$C$534&amp;"-"&amp;'S12 Operations'!$E$2:$E$534, 'S12 Operations'!$D$2:$D$534), 2, 0), "")</f>
        <v/>
      </c>
      <c r="L5" s="122" t="str">
        <f t="array" ref="L5">IFERROR(VLOOKUP($A5&amp;"-"&amp;L$2, CHOOSE({1,2}, 'S12 Operations'!$C$2:$C$534&amp;"-"&amp;'S12 Operations'!$E$2:$E$534, 'S12 Operations'!$D$2:$D$534), 2, 0), "")</f>
        <v/>
      </c>
      <c r="M5" s="122" t="str">
        <f t="array" ref="M5">IFERROR(VLOOKUP($A5&amp;"-"&amp;M$2, CHOOSE({1,2}, 'S12 Operations'!$C$2:$C$534&amp;"-"&amp;'S12 Operations'!$E$2:$E$534, 'S12 Operations'!$D$2:$D$534), 2, 0), "")</f>
        <v/>
      </c>
      <c r="N5" s="122" t="str">
        <f t="array" ref="N5">IFERROR(VLOOKUP($A5&amp;"-"&amp;N$2, CHOOSE({1,2}, 'S12 Operations'!$C$2:$C$534&amp;"-"&amp;'S12 Operations'!$E$2:$E$534, 'S12 Operations'!$D$2:$D$534), 2, 0), "")</f>
        <v/>
      </c>
      <c r="O5" s="122" t="str">
        <f t="array" ref="O5">IFERROR(VLOOKUP($A5&amp;"-"&amp;O$2, CHOOSE({1,2}, 'S12 Operations'!$C$2:$C$534&amp;"-"&amp;'S12 Operations'!$E$2:$E$534, 'S12 Operations'!$D$2:$D$534), 2, 0), "")</f>
        <v/>
      </c>
      <c r="P5" s="125" t="str">
        <f t="array" ref="P5">IFERROR(VLOOKUP($A5&amp;"-"&amp;P$2, CHOOSE({1,2}, 'S12 Operations'!$C$2:$C$534&amp;"-"&amp;'S12 Operations'!$E$2:$E$534, 'S12 Operations'!$D$2:$D$534), 2, 0), "")</f>
        <v/>
      </c>
      <c r="Q5" s="60">
        <f t="array" ref="Q5">IFERROR(VLOOKUP($A5&amp;"-"&amp;Q$2, CHOOSE({1,2}, 'S12 Operations'!$C$2:$C$534&amp;"-"&amp;'S12 Operations'!$E$2:$E$534, 'S12 Operations'!$D$2:$D$534), 2, 0), "")</f>
        <v>40</v>
      </c>
      <c r="R5" s="4" t="str">
        <f t="array" ref="R5">IFERROR(VLOOKUP($A5&amp;"-"&amp;R$2, CHOOSE({1,2}, 'S12 Operations'!$C$2:$C$534&amp;"-"&amp;'S12 Operations'!$E$2:$E$534, 'S12 Operations'!$D$2:$D$534), 2, 0), "")</f>
        <v/>
      </c>
      <c r="S5" s="4" t="str">
        <f t="array" ref="S5">IFERROR(VLOOKUP($A5&amp;"-"&amp;S$2, CHOOSE({1,2}, 'S12 Operations'!$C$2:$C$534&amp;"-"&amp;'S12 Operations'!$E$2:$E$534, 'S12 Operations'!$D$2:$D$534), 2, 0), "")</f>
        <v/>
      </c>
      <c r="T5" s="61" t="str">
        <f t="array" ref="T5">IFERROR(VLOOKUP($A5&amp;"-"&amp;T$2, CHOOSE({1,2}, 'S12 Operations'!$C$2:$C$534&amp;"-"&amp;'S12 Operations'!$E$2:$E$534, 'S12 Operations'!$D$2:$D$534), 2, 0), "")</f>
        <v/>
      </c>
      <c r="U5" s="124" t="str">
        <f t="array" ref="U5">IFERROR(VLOOKUP($A5&amp;"-"&amp;U$2, CHOOSE({1,2}, 'S12 Operations'!$C$2:$C$534&amp;"-"&amp;'S12 Operations'!$E$2:$E$534, 'S12 Operations'!$D$2:$D$534), 2, 0), "")</f>
        <v/>
      </c>
      <c r="V5" s="125" t="str">
        <f t="array" ref="V5">IFERROR(VLOOKUP($A5&amp;"-"&amp;V$2, CHOOSE({1,2}, 'S12 Operations'!$C$2:$C$534&amp;"-"&amp;'S12 Operations'!$E$2:$E$534, 'S12 Operations'!$D$2:$D$534), 2, 0), "")</f>
        <v/>
      </c>
      <c r="W5" s="60" t="str">
        <f t="array" ref="W5">IFERROR(VLOOKUP($A5&amp;"-"&amp;W$2, CHOOSE({1,2}, 'S12 Operations'!$C$2:$C$534&amp;"-"&amp;'S12 Operations'!$E$2:$E$534, 'S12 Operations'!$D$2:$D$534), 2, 0), "")</f>
        <v/>
      </c>
      <c r="X5" s="4" t="str">
        <f t="array" ref="X5">IFERROR(VLOOKUP($A5&amp;"-"&amp;X$2, CHOOSE({1,2}, 'S12 Operations'!$C$2:$C$534&amp;"-"&amp;'S12 Operations'!$E$2:$E$534, 'S12 Operations'!$D$2:$D$534), 2, 0), "")</f>
        <v/>
      </c>
      <c r="Y5" s="61">
        <f t="array" ref="Y5">IFERROR(VLOOKUP($A5&amp;"-"&amp;Y$2, CHOOSE({1,2}, 'S12 Operations'!$C$2:$C$534&amp;"-"&amp;'S12 Operations'!$E$2:$E$534, 'S12 Operations'!$D$2:$D$534), 2, 0), "")</f>
        <v>50</v>
      </c>
      <c r="Z5" s="129" t="str">
        <f t="array" ref="Z5">IFERROR(VLOOKUP($A5&amp;"-"&amp;Z$2, CHOOSE({1,2}, 'S12 Operations'!$C$2:$C$534&amp;"-"&amp;'S12 Operations'!$E$2:$E$534, 'S12 Operations'!$D$2:$D$534), 2, 0), "")</f>
        <v/>
      </c>
      <c r="AA5" s="59">
        <f t="array" ref="AA5">IFERROR(VLOOKUP($A5&amp;"-"&amp;AA$2, CHOOSE({1,2}, 'S12 Operations'!$C$2:$C$534&amp;"-"&amp;'S12 Operations'!$E$2:$E$534, 'S12 Operations'!$D$2:$D$534), 2, 0), "")</f>
        <v>60</v>
      </c>
    </row>
    <row r="6" spans="1:27" ht="17">
      <c r="A6" s="143" t="str">
        <f>'S08 ABC Output'!A12</f>
        <v>I-069</v>
      </c>
      <c r="B6" s="59">
        <f t="array" ref="B6">IFERROR(VLOOKUP($A6&amp;"-"&amp;B$2, CHOOSE({1,2}, 'S12 Operations'!$C$2:$C$534&amp;"-"&amp;'S12 Operations'!$E$2:$E$534, 'S12 Operations'!$D$2:$D$534), 2, 0), "")</f>
        <v>10</v>
      </c>
      <c r="C6" s="124">
        <f t="array" ref="C6">IFERROR(VLOOKUP($A6&amp;"-"&amp;C$2, CHOOSE({1,2}, 'S12 Operations'!$C$2:$C$534&amp;"-"&amp;'S12 Operations'!$E$2:$E$534, 'S12 Operations'!$D$2:$D$534), 2, 0), "")</f>
        <v>20</v>
      </c>
      <c r="D6" s="122" t="str">
        <f t="array" ref="D6">IFERROR(VLOOKUP($A6&amp;"-"&amp;D$2, CHOOSE({1,2}, 'S12 Operations'!$C$2:$C$534&amp;"-"&amp;'S12 Operations'!$E$2:$E$534, 'S12 Operations'!$D$2:$D$534), 2, 0), "")</f>
        <v/>
      </c>
      <c r="E6" s="125" t="str">
        <f t="array" ref="E6">IFERROR(VLOOKUP($A6&amp;"-"&amp;E$2, CHOOSE({1,2}, 'S12 Operations'!$C$2:$C$534&amp;"-"&amp;'S12 Operations'!$E$2:$E$534, 'S12 Operations'!$D$2:$D$534), 2, 0), "")</f>
        <v/>
      </c>
      <c r="F6" s="60" t="str">
        <f t="array" ref="F6">IFERROR(VLOOKUP($A6&amp;"-"&amp;F$2, CHOOSE({1,2}, 'S12 Operations'!$C$2:$C$534&amp;"-"&amp;'S12 Operations'!$E$2:$E$534, 'S12 Operations'!$D$2:$D$534), 2, 0), "")</f>
        <v/>
      </c>
      <c r="G6" s="4" t="str">
        <f t="array" ref="G6">IFERROR(VLOOKUP($A6&amp;"-"&amp;G$2, CHOOSE({1,2}, 'S12 Operations'!$C$2:$C$534&amp;"-"&amp;'S12 Operations'!$E$2:$E$534, 'S12 Operations'!$D$2:$D$534), 2, 0), "")</f>
        <v/>
      </c>
      <c r="H6" s="61" t="str">
        <f t="array" ref="H6">IFERROR(VLOOKUP($A6&amp;"-"&amp;H$2, CHOOSE({1,2}, 'S12 Operations'!$C$2:$C$534&amp;"-"&amp;'S12 Operations'!$E$2:$E$534, 'S12 Operations'!$D$2:$D$534), 2, 0), "")</f>
        <v/>
      </c>
      <c r="I6" s="124" t="str">
        <f t="array" ref="I6">IFERROR(VLOOKUP($A6&amp;"-"&amp;I$2, CHOOSE({1,2}, 'S12 Operations'!$C$2:$C$534&amp;"-"&amp;'S12 Operations'!$E$2:$E$534, 'S12 Operations'!$D$2:$D$534), 2, 0), "")</f>
        <v/>
      </c>
      <c r="J6" s="122">
        <f t="array" ref="J6">IFERROR(VLOOKUP($A6&amp;"-"&amp;J$2, CHOOSE({1,2}, 'S12 Operations'!$C$2:$C$534&amp;"-"&amp;'S12 Operations'!$E$2:$E$534, 'S12 Operations'!$D$2:$D$534), 2, 0), "")</f>
        <v>30</v>
      </c>
      <c r="K6" s="122" t="str">
        <f t="array" ref="K6">IFERROR(VLOOKUP($A6&amp;"-"&amp;K$2, CHOOSE({1,2}, 'S12 Operations'!$C$2:$C$534&amp;"-"&amp;'S12 Operations'!$E$2:$E$534, 'S12 Operations'!$D$2:$D$534), 2, 0), "")</f>
        <v/>
      </c>
      <c r="L6" s="122" t="str">
        <f t="array" ref="L6">IFERROR(VLOOKUP($A6&amp;"-"&amp;L$2, CHOOSE({1,2}, 'S12 Operations'!$C$2:$C$534&amp;"-"&amp;'S12 Operations'!$E$2:$E$534, 'S12 Operations'!$D$2:$D$534), 2, 0), "")</f>
        <v/>
      </c>
      <c r="M6" s="122" t="str">
        <f t="array" ref="M6">IFERROR(VLOOKUP($A6&amp;"-"&amp;M$2, CHOOSE({1,2}, 'S12 Operations'!$C$2:$C$534&amp;"-"&amp;'S12 Operations'!$E$2:$E$534, 'S12 Operations'!$D$2:$D$534), 2, 0), "")</f>
        <v/>
      </c>
      <c r="N6" s="122" t="str">
        <f t="array" ref="N6">IFERROR(VLOOKUP($A6&amp;"-"&amp;N$2, CHOOSE({1,2}, 'S12 Operations'!$C$2:$C$534&amp;"-"&amp;'S12 Operations'!$E$2:$E$534, 'S12 Operations'!$D$2:$D$534), 2, 0), "")</f>
        <v/>
      </c>
      <c r="O6" s="122" t="str">
        <f t="array" ref="O6">IFERROR(VLOOKUP($A6&amp;"-"&amp;O$2, CHOOSE({1,2}, 'S12 Operations'!$C$2:$C$534&amp;"-"&amp;'S12 Operations'!$E$2:$E$534, 'S12 Operations'!$D$2:$D$534), 2, 0), "")</f>
        <v/>
      </c>
      <c r="P6" s="125" t="str">
        <f t="array" ref="P6">IFERROR(VLOOKUP($A6&amp;"-"&amp;P$2, CHOOSE({1,2}, 'S12 Operations'!$C$2:$C$534&amp;"-"&amp;'S12 Operations'!$E$2:$E$534, 'S12 Operations'!$D$2:$D$534), 2, 0), "")</f>
        <v/>
      </c>
      <c r="Q6" s="60">
        <f t="array" ref="Q6">IFERROR(VLOOKUP($A6&amp;"-"&amp;Q$2, CHOOSE({1,2}, 'S12 Operations'!$C$2:$C$534&amp;"-"&amp;'S12 Operations'!$E$2:$E$534, 'S12 Operations'!$D$2:$D$534), 2, 0), "")</f>
        <v>40</v>
      </c>
      <c r="R6" s="4" t="str">
        <f t="array" ref="R6">IFERROR(VLOOKUP($A6&amp;"-"&amp;R$2, CHOOSE({1,2}, 'S12 Operations'!$C$2:$C$534&amp;"-"&amp;'S12 Operations'!$E$2:$E$534, 'S12 Operations'!$D$2:$D$534), 2, 0), "")</f>
        <v/>
      </c>
      <c r="S6" s="4" t="str">
        <f t="array" ref="S6">IFERROR(VLOOKUP($A6&amp;"-"&amp;S$2, CHOOSE({1,2}, 'S12 Operations'!$C$2:$C$534&amp;"-"&amp;'S12 Operations'!$E$2:$E$534, 'S12 Operations'!$D$2:$D$534), 2, 0), "")</f>
        <v/>
      </c>
      <c r="T6" s="61" t="str">
        <f t="array" ref="T6">IFERROR(VLOOKUP($A6&amp;"-"&amp;T$2, CHOOSE({1,2}, 'S12 Operations'!$C$2:$C$534&amp;"-"&amp;'S12 Operations'!$E$2:$E$534, 'S12 Operations'!$D$2:$D$534), 2, 0), "")</f>
        <v/>
      </c>
      <c r="U6" s="124" t="str">
        <f t="array" ref="U6">IFERROR(VLOOKUP($A6&amp;"-"&amp;U$2, CHOOSE({1,2}, 'S12 Operations'!$C$2:$C$534&amp;"-"&amp;'S12 Operations'!$E$2:$E$534, 'S12 Operations'!$D$2:$D$534), 2, 0), "")</f>
        <v/>
      </c>
      <c r="V6" s="125" t="str">
        <f t="array" ref="V6">IFERROR(VLOOKUP($A6&amp;"-"&amp;V$2, CHOOSE({1,2}, 'S12 Operations'!$C$2:$C$534&amp;"-"&amp;'S12 Operations'!$E$2:$E$534, 'S12 Operations'!$D$2:$D$534), 2, 0), "")</f>
        <v/>
      </c>
      <c r="W6" s="60" t="str">
        <f t="array" ref="W6">IFERROR(VLOOKUP($A6&amp;"-"&amp;W$2, CHOOSE({1,2}, 'S12 Operations'!$C$2:$C$534&amp;"-"&amp;'S12 Operations'!$E$2:$E$534, 'S12 Operations'!$D$2:$D$534), 2, 0), "")</f>
        <v/>
      </c>
      <c r="X6" s="4" t="str">
        <f t="array" ref="X6">IFERROR(VLOOKUP($A6&amp;"-"&amp;X$2, CHOOSE({1,2}, 'S12 Operations'!$C$2:$C$534&amp;"-"&amp;'S12 Operations'!$E$2:$E$534, 'S12 Operations'!$D$2:$D$534), 2, 0), "")</f>
        <v/>
      </c>
      <c r="Y6" s="61">
        <f t="array" ref="Y6">IFERROR(VLOOKUP($A6&amp;"-"&amp;Y$2, CHOOSE({1,2}, 'S12 Operations'!$C$2:$C$534&amp;"-"&amp;'S12 Operations'!$E$2:$E$534, 'S12 Operations'!$D$2:$D$534), 2, 0), "")</f>
        <v>50</v>
      </c>
      <c r="Z6" s="129" t="str">
        <f t="array" ref="Z6">IFERROR(VLOOKUP($A6&amp;"-"&amp;Z$2, CHOOSE({1,2}, 'S12 Operations'!$C$2:$C$534&amp;"-"&amp;'S12 Operations'!$E$2:$E$534, 'S12 Operations'!$D$2:$D$534), 2, 0), "")</f>
        <v/>
      </c>
      <c r="AA6" s="59">
        <f t="array" ref="AA6">IFERROR(VLOOKUP($A6&amp;"-"&amp;AA$2, CHOOSE({1,2}, 'S12 Operations'!$C$2:$C$534&amp;"-"&amp;'S12 Operations'!$E$2:$E$534, 'S12 Operations'!$D$2:$D$534), 2, 0), "")</f>
        <v>60</v>
      </c>
    </row>
    <row r="7" spans="1:27" ht="17">
      <c r="A7" s="143" t="str">
        <f>'S08 ABC Output'!A13</f>
        <v>I-070</v>
      </c>
      <c r="B7" s="59">
        <f t="array" ref="B7">IFERROR(VLOOKUP($A7&amp;"-"&amp;B$2, CHOOSE({1,2}, 'S12 Operations'!$C$2:$C$534&amp;"-"&amp;'S12 Operations'!$E$2:$E$534, 'S12 Operations'!$D$2:$D$534), 2, 0), "")</f>
        <v>10</v>
      </c>
      <c r="C7" s="124">
        <f t="array" ref="C7">IFERROR(VLOOKUP($A7&amp;"-"&amp;C$2, CHOOSE({1,2}, 'S12 Operations'!$C$2:$C$534&amp;"-"&amp;'S12 Operations'!$E$2:$E$534, 'S12 Operations'!$D$2:$D$534), 2, 0), "")</f>
        <v>20</v>
      </c>
      <c r="D7" s="122" t="str">
        <f t="array" ref="D7">IFERROR(VLOOKUP($A7&amp;"-"&amp;D$2, CHOOSE({1,2}, 'S12 Operations'!$C$2:$C$534&amp;"-"&amp;'S12 Operations'!$E$2:$E$534, 'S12 Operations'!$D$2:$D$534), 2, 0), "")</f>
        <v/>
      </c>
      <c r="E7" s="125" t="str">
        <f t="array" ref="E7">IFERROR(VLOOKUP($A7&amp;"-"&amp;E$2, CHOOSE({1,2}, 'S12 Operations'!$C$2:$C$534&amp;"-"&amp;'S12 Operations'!$E$2:$E$534, 'S12 Operations'!$D$2:$D$534), 2, 0), "")</f>
        <v/>
      </c>
      <c r="F7" s="60" t="str">
        <f t="array" ref="F7">IFERROR(VLOOKUP($A7&amp;"-"&amp;F$2, CHOOSE({1,2}, 'S12 Operations'!$C$2:$C$534&amp;"-"&amp;'S12 Operations'!$E$2:$E$534, 'S12 Operations'!$D$2:$D$534), 2, 0), "")</f>
        <v/>
      </c>
      <c r="G7" s="4" t="str">
        <f t="array" ref="G7">IFERROR(VLOOKUP($A7&amp;"-"&amp;G$2, CHOOSE({1,2}, 'S12 Operations'!$C$2:$C$534&amp;"-"&amp;'S12 Operations'!$E$2:$E$534, 'S12 Operations'!$D$2:$D$534), 2, 0), "")</f>
        <v/>
      </c>
      <c r="H7" s="61" t="str">
        <f t="array" ref="H7">IFERROR(VLOOKUP($A7&amp;"-"&amp;H$2, CHOOSE({1,2}, 'S12 Operations'!$C$2:$C$534&amp;"-"&amp;'S12 Operations'!$E$2:$E$534, 'S12 Operations'!$D$2:$D$534), 2, 0), "")</f>
        <v/>
      </c>
      <c r="I7" s="124" t="str">
        <f t="array" ref="I7">IFERROR(VLOOKUP($A7&amp;"-"&amp;I$2, CHOOSE({1,2}, 'S12 Operations'!$C$2:$C$534&amp;"-"&amp;'S12 Operations'!$E$2:$E$534, 'S12 Operations'!$D$2:$D$534), 2, 0), "")</f>
        <v/>
      </c>
      <c r="J7" s="122">
        <f t="array" ref="J7">IFERROR(VLOOKUP($A7&amp;"-"&amp;J$2, CHOOSE({1,2}, 'S12 Operations'!$C$2:$C$534&amp;"-"&amp;'S12 Operations'!$E$2:$E$534, 'S12 Operations'!$D$2:$D$534), 2, 0), "")</f>
        <v>30</v>
      </c>
      <c r="K7" s="122" t="str">
        <f t="array" ref="K7">IFERROR(VLOOKUP($A7&amp;"-"&amp;K$2, CHOOSE({1,2}, 'S12 Operations'!$C$2:$C$534&amp;"-"&amp;'S12 Operations'!$E$2:$E$534, 'S12 Operations'!$D$2:$D$534), 2, 0), "")</f>
        <v/>
      </c>
      <c r="L7" s="122" t="str">
        <f t="array" ref="L7">IFERROR(VLOOKUP($A7&amp;"-"&amp;L$2, CHOOSE({1,2}, 'S12 Operations'!$C$2:$C$534&amp;"-"&amp;'S12 Operations'!$E$2:$E$534, 'S12 Operations'!$D$2:$D$534), 2, 0), "")</f>
        <v/>
      </c>
      <c r="M7" s="122" t="str">
        <f t="array" ref="M7">IFERROR(VLOOKUP($A7&amp;"-"&amp;M$2, CHOOSE({1,2}, 'S12 Operations'!$C$2:$C$534&amp;"-"&amp;'S12 Operations'!$E$2:$E$534, 'S12 Operations'!$D$2:$D$534), 2, 0), "")</f>
        <v/>
      </c>
      <c r="N7" s="122" t="str">
        <f t="array" ref="N7">IFERROR(VLOOKUP($A7&amp;"-"&amp;N$2, CHOOSE({1,2}, 'S12 Operations'!$C$2:$C$534&amp;"-"&amp;'S12 Operations'!$E$2:$E$534, 'S12 Operations'!$D$2:$D$534), 2, 0), "")</f>
        <v/>
      </c>
      <c r="O7" s="122" t="str">
        <f t="array" ref="O7">IFERROR(VLOOKUP($A7&amp;"-"&amp;O$2, CHOOSE({1,2}, 'S12 Operations'!$C$2:$C$534&amp;"-"&amp;'S12 Operations'!$E$2:$E$534, 'S12 Operations'!$D$2:$D$534), 2, 0), "")</f>
        <v/>
      </c>
      <c r="P7" s="125" t="str">
        <f t="array" ref="P7">IFERROR(VLOOKUP($A7&amp;"-"&amp;P$2, CHOOSE({1,2}, 'S12 Operations'!$C$2:$C$534&amp;"-"&amp;'S12 Operations'!$E$2:$E$534, 'S12 Operations'!$D$2:$D$534), 2, 0), "")</f>
        <v/>
      </c>
      <c r="Q7" s="60">
        <f t="array" ref="Q7">IFERROR(VLOOKUP($A7&amp;"-"&amp;Q$2, CHOOSE({1,2}, 'S12 Operations'!$C$2:$C$534&amp;"-"&amp;'S12 Operations'!$E$2:$E$534, 'S12 Operations'!$D$2:$D$534), 2, 0), "")</f>
        <v>40</v>
      </c>
      <c r="R7" s="4" t="str">
        <f t="array" ref="R7">IFERROR(VLOOKUP($A7&amp;"-"&amp;R$2, CHOOSE({1,2}, 'S12 Operations'!$C$2:$C$534&amp;"-"&amp;'S12 Operations'!$E$2:$E$534, 'S12 Operations'!$D$2:$D$534), 2, 0), "")</f>
        <v/>
      </c>
      <c r="S7" s="4" t="str">
        <f t="array" ref="S7">IFERROR(VLOOKUP($A7&amp;"-"&amp;S$2, CHOOSE({1,2}, 'S12 Operations'!$C$2:$C$534&amp;"-"&amp;'S12 Operations'!$E$2:$E$534, 'S12 Operations'!$D$2:$D$534), 2, 0), "")</f>
        <v/>
      </c>
      <c r="T7" s="61" t="str">
        <f t="array" ref="T7">IFERROR(VLOOKUP($A7&amp;"-"&amp;T$2, CHOOSE({1,2}, 'S12 Operations'!$C$2:$C$534&amp;"-"&amp;'S12 Operations'!$E$2:$E$534, 'S12 Operations'!$D$2:$D$534), 2, 0), "")</f>
        <v/>
      </c>
      <c r="U7" s="124" t="str">
        <f t="array" ref="U7">IFERROR(VLOOKUP($A7&amp;"-"&amp;U$2, CHOOSE({1,2}, 'S12 Operations'!$C$2:$C$534&amp;"-"&amp;'S12 Operations'!$E$2:$E$534, 'S12 Operations'!$D$2:$D$534), 2, 0), "")</f>
        <v/>
      </c>
      <c r="V7" s="125" t="str">
        <f t="array" ref="V7">IFERROR(VLOOKUP($A7&amp;"-"&amp;V$2, CHOOSE({1,2}, 'S12 Operations'!$C$2:$C$534&amp;"-"&amp;'S12 Operations'!$E$2:$E$534, 'S12 Operations'!$D$2:$D$534), 2, 0), "")</f>
        <v/>
      </c>
      <c r="W7" s="60" t="str">
        <f t="array" ref="W7">IFERROR(VLOOKUP($A7&amp;"-"&amp;W$2, CHOOSE({1,2}, 'S12 Operations'!$C$2:$C$534&amp;"-"&amp;'S12 Operations'!$E$2:$E$534, 'S12 Operations'!$D$2:$D$534), 2, 0), "")</f>
        <v/>
      </c>
      <c r="X7" s="4" t="str">
        <f t="array" ref="X7">IFERROR(VLOOKUP($A7&amp;"-"&amp;X$2, CHOOSE({1,2}, 'S12 Operations'!$C$2:$C$534&amp;"-"&amp;'S12 Operations'!$E$2:$E$534, 'S12 Operations'!$D$2:$D$534), 2, 0), "")</f>
        <v/>
      </c>
      <c r="Y7" s="61">
        <f t="array" ref="Y7">IFERROR(VLOOKUP($A7&amp;"-"&amp;Y$2, CHOOSE({1,2}, 'S12 Operations'!$C$2:$C$534&amp;"-"&amp;'S12 Operations'!$E$2:$E$534, 'S12 Operations'!$D$2:$D$534), 2, 0), "")</f>
        <v>50</v>
      </c>
      <c r="Z7" s="129" t="str">
        <f t="array" ref="Z7">IFERROR(VLOOKUP($A7&amp;"-"&amp;Z$2, CHOOSE({1,2}, 'S12 Operations'!$C$2:$C$534&amp;"-"&amp;'S12 Operations'!$E$2:$E$534, 'S12 Operations'!$D$2:$D$534), 2, 0), "")</f>
        <v/>
      </c>
      <c r="AA7" s="59">
        <f t="array" ref="AA7">IFERROR(VLOOKUP($A7&amp;"-"&amp;AA$2, CHOOSE({1,2}, 'S12 Operations'!$C$2:$C$534&amp;"-"&amp;'S12 Operations'!$E$2:$E$534, 'S12 Operations'!$D$2:$D$534), 2, 0), "")</f>
        <v>60</v>
      </c>
    </row>
    <row r="8" spans="1:27" ht="18" thickBot="1">
      <c r="A8" s="121" t="str">
        <f>'S08 ABC Output'!A16</f>
        <v>I-071</v>
      </c>
      <c r="B8" s="62">
        <f t="array" ref="B8">IFERROR(VLOOKUP($A8&amp;"-"&amp;B$2, CHOOSE({1,2}, 'S12 Operations'!$C$2:$C$534&amp;"-"&amp;'S12 Operations'!$E$2:$E$534, 'S12 Operations'!$D$2:$D$534), 2, 0), "")</f>
        <v>10</v>
      </c>
      <c r="C8" s="126">
        <f t="array" ref="C8">IFERROR(VLOOKUP($A8&amp;"-"&amp;C$2, CHOOSE({1,2}, 'S12 Operations'!$C$2:$C$534&amp;"-"&amp;'S12 Operations'!$E$2:$E$534, 'S12 Operations'!$D$2:$D$534), 2, 0), "")</f>
        <v>20</v>
      </c>
      <c r="D8" s="127" t="str">
        <f t="array" ref="D8">IFERROR(VLOOKUP($A8&amp;"-"&amp;D$2, CHOOSE({1,2}, 'S12 Operations'!$C$2:$C$534&amp;"-"&amp;'S12 Operations'!$E$2:$E$534, 'S12 Operations'!$D$2:$D$534), 2, 0), "")</f>
        <v/>
      </c>
      <c r="E8" s="128" t="str">
        <f t="array" ref="E8">IFERROR(VLOOKUP($A8&amp;"-"&amp;E$2, CHOOSE({1,2}, 'S12 Operations'!$C$2:$C$534&amp;"-"&amp;'S12 Operations'!$E$2:$E$534, 'S12 Operations'!$D$2:$D$534), 2, 0), "")</f>
        <v/>
      </c>
      <c r="F8" s="63" t="str">
        <f t="array" ref="F8">IFERROR(VLOOKUP($A8&amp;"-"&amp;F$2, CHOOSE({1,2}, 'S12 Operations'!$C$2:$C$534&amp;"-"&amp;'S12 Operations'!$E$2:$E$534, 'S12 Operations'!$D$2:$D$534), 2, 0), "")</f>
        <v/>
      </c>
      <c r="G8" s="64" t="str">
        <f t="array" ref="G8">IFERROR(VLOOKUP($A8&amp;"-"&amp;G$2, CHOOSE({1,2}, 'S12 Operations'!$C$2:$C$534&amp;"-"&amp;'S12 Operations'!$E$2:$E$534, 'S12 Operations'!$D$2:$D$534), 2, 0), "")</f>
        <v/>
      </c>
      <c r="H8" s="65" t="str">
        <f t="array" ref="H8">IFERROR(VLOOKUP($A8&amp;"-"&amp;H$2, CHOOSE({1,2}, 'S12 Operations'!$C$2:$C$534&amp;"-"&amp;'S12 Operations'!$E$2:$E$534, 'S12 Operations'!$D$2:$D$534), 2, 0), "")</f>
        <v/>
      </c>
      <c r="I8" s="126" t="str">
        <f t="array" ref="I8">IFERROR(VLOOKUP($A8&amp;"-"&amp;I$2, CHOOSE({1,2}, 'S12 Operations'!$C$2:$C$534&amp;"-"&amp;'S12 Operations'!$E$2:$E$534, 'S12 Operations'!$D$2:$D$534), 2, 0), "")</f>
        <v/>
      </c>
      <c r="J8" s="127">
        <f t="array" ref="J8">IFERROR(VLOOKUP($A8&amp;"-"&amp;J$2, CHOOSE({1,2}, 'S12 Operations'!$C$2:$C$534&amp;"-"&amp;'S12 Operations'!$E$2:$E$534, 'S12 Operations'!$D$2:$D$534), 2, 0), "")</f>
        <v>30</v>
      </c>
      <c r="K8" s="127" t="str">
        <f t="array" ref="K8">IFERROR(VLOOKUP($A8&amp;"-"&amp;K$2, CHOOSE({1,2}, 'S12 Operations'!$C$2:$C$534&amp;"-"&amp;'S12 Operations'!$E$2:$E$534, 'S12 Operations'!$D$2:$D$534), 2, 0), "")</f>
        <v/>
      </c>
      <c r="L8" s="127" t="str">
        <f t="array" ref="L8">IFERROR(VLOOKUP($A8&amp;"-"&amp;L$2, CHOOSE({1,2}, 'S12 Operations'!$C$2:$C$534&amp;"-"&amp;'S12 Operations'!$E$2:$E$534, 'S12 Operations'!$D$2:$D$534), 2, 0), "")</f>
        <v/>
      </c>
      <c r="M8" s="127" t="str">
        <f t="array" ref="M8">IFERROR(VLOOKUP($A8&amp;"-"&amp;M$2, CHOOSE({1,2}, 'S12 Operations'!$C$2:$C$534&amp;"-"&amp;'S12 Operations'!$E$2:$E$534, 'S12 Operations'!$D$2:$D$534), 2, 0), "")</f>
        <v/>
      </c>
      <c r="N8" s="127" t="str">
        <f t="array" ref="N8">IFERROR(VLOOKUP($A8&amp;"-"&amp;N$2, CHOOSE({1,2}, 'S12 Operations'!$C$2:$C$534&amp;"-"&amp;'S12 Operations'!$E$2:$E$534, 'S12 Operations'!$D$2:$D$534), 2, 0), "")</f>
        <v/>
      </c>
      <c r="O8" s="127" t="str">
        <f t="array" ref="O8">IFERROR(VLOOKUP($A8&amp;"-"&amp;O$2, CHOOSE({1,2}, 'S12 Operations'!$C$2:$C$534&amp;"-"&amp;'S12 Operations'!$E$2:$E$534, 'S12 Operations'!$D$2:$D$534), 2, 0), "")</f>
        <v/>
      </c>
      <c r="P8" s="128" t="str">
        <f t="array" ref="P8">IFERROR(VLOOKUP($A8&amp;"-"&amp;P$2, CHOOSE({1,2}, 'S12 Operations'!$C$2:$C$534&amp;"-"&amp;'S12 Operations'!$E$2:$E$534, 'S12 Operations'!$D$2:$D$534), 2, 0), "")</f>
        <v/>
      </c>
      <c r="Q8" s="63">
        <f t="array" ref="Q8">IFERROR(VLOOKUP($A8&amp;"-"&amp;Q$2, CHOOSE({1,2}, 'S12 Operations'!$C$2:$C$534&amp;"-"&amp;'S12 Operations'!$E$2:$E$534, 'S12 Operations'!$D$2:$D$534), 2, 0), "")</f>
        <v>40</v>
      </c>
      <c r="R8" s="64" t="str">
        <f t="array" ref="R8">IFERROR(VLOOKUP($A8&amp;"-"&amp;R$2, CHOOSE({1,2}, 'S12 Operations'!$C$2:$C$534&amp;"-"&amp;'S12 Operations'!$E$2:$E$534, 'S12 Operations'!$D$2:$D$534), 2, 0), "")</f>
        <v/>
      </c>
      <c r="S8" s="64" t="str">
        <f t="array" ref="S8">IFERROR(VLOOKUP($A8&amp;"-"&amp;S$2, CHOOSE({1,2}, 'S12 Operations'!$C$2:$C$534&amp;"-"&amp;'S12 Operations'!$E$2:$E$534, 'S12 Operations'!$D$2:$D$534), 2, 0), "")</f>
        <v/>
      </c>
      <c r="T8" s="65" t="str">
        <f t="array" ref="T8">IFERROR(VLOOKUP($A8&amp;"-"&amp;T$2, CHOOSE({1,2}, 'S12 Operations'!$C$2:$C$534&amp;"-"&amp;'S12 Operations'!$E$2:$E$534, 'S12 Operations'!$D$2:$D$534), 2, 0), "")</f>
        <v/>
      </c>
      <c r="U8" s="126" t="str">
        <f t="array" ref="U8">IFERROR(VLOOKUP($A8&amp;"-"&amp;U$2, CHOOSE({1,2}, 'S12 Operations'!$C$2:$C$534&amp;"-"&amp;'S12 Operations'!$E$2:$E$534, 'S12 Operations'!$D$2:$D$534), 2, 0), "")</f>
        <v/>
      </c>
      <c r="V8" s="128" t="str">
        <f t="array" ref="V8">IFERROR(VLOOKUP($A8&amp;"-"&amp;V$2, CHOOSE({1,2}, 'S12 Operations'!$C$2:$C$534&amp;"-"&amp;'S12 Operations'!$E$2:$E$534, 'S12 Operations'!$D$2:$D$534), 2, 0), "")</f>
        <v/>
      </c>
      <c r="W8" s="63" t="str">
        <f t="array" ref="W8">IFERROR(VLOOKUP($A8&amp;"-"&amp;W$2, CHOOSE({1,2}, 'S12 Operations'!$C$2:$C$534&amp;"-"&amp;'S12 Operations'!$E$2:$E$534, 'S12 Operations'!$D$2:$D$534), 2, 0), "")</f>
        <v/>
      </c>
      <c r="X8" s="64" t="str">
        <f t="array" ref="X8">IFERROR(VLOOKUP($A8&amp;"-"&amp;X$2, CHOOSE({1,2}, 'S12 Operations'!$C$2:$C$534&amp;"-"&amp;'S12 Operations'!$E$2:$E$534, 'S12 Operations'!$D$2:$D$534), 2, 0), "")</f>
        <v/>
      </c>
      <c r="Y8" s="65">
        <f t="array" ref="Y8">IFERROR(VLOOKUP($A8&amp;"-"&amp;Y$2, CHOOSE({1,2}, 'S12 Operations'!$C$2:$C$534&amp;"-"&amp;'S12 Operations'!$E$2:$E$534, 'S12 Operations'!$D$2:$D$534), 2, 0), "")</f>
        <v>50</v>
      </c>
      <c r="Z8" s="130" t="str">
        <f t="array" ref="Z8">IFERROR(VLOOKUP($A8&amp;"-"&amp;Z$2, CHOOSE({1,2}, 'S12 Operations'!$C$2:$C$534&amp;"-"&amp;'S12 Operations'!$E$2:$E$534, 'S12 Operations'!$D$2:$D$534), 2, 0), "")</f>
        <v/>
      </c>
      <c r="AA8" s="62">
        <f t="array" ref="AA8">IFERROR(VLOOKUP($A8&amp;"-"&amp;AA$2, CHOOSE({1,2}, 'S12 Operations'!$C$2:$C$534&amp;"-"&amp;'S12 Operations'!$E$2:$E$534, 'S12 Operations'!$D$2:$D$534), 2, 0), "")</f>
        <v>60</v>
      </c>
    </row>
    <row r="9" spans="1:27" ht="17">
      <c r="A9" s="142" t="str">
        <f>'S08 ABC Output'!A5</f>
        <v>I-037</v>
      </c>
      <c r="B9" s="119">
        <f t="array" ref="B9">IFERROR(VLOOKUP($A9&amp;"-"&amp;B$2, CHOOSE({1,2}, 'S12 Operations'!$C$2:$C$534&amp;"-"&amp;'S12 Operations'!$E$2:$E$534, 'S12 Operations'!$D$2:$D$534), 2, 0), "")</f>
        <v>10</v>
      </c>
      <c r="C9" s="131" t="str">
        <f t="array" ref="C9">IFERROR(VLOOKUP($A9&amp;"-"&amp;C$2, CHOOSE({1,2}, 'S12 Operations'!$C$2:$C$534&amp;"-"&amp;'S12 Operations'!$E$2:$E$534, 'S12 Operations'!$D$2:$D$534), 2, 0), "")</f>
        <v/>
      </c>
      <c r="D9" s="132">
        <f t="array" ref="D9">IFERROR(VLOOKUP($A9&amp;"-"&amp;D$2, CHOOSE({1,2}, 'S12 Operations'!$C$2:$C$534&amp;"-"&amp;'S12 Operations'!$E$2:$E$534, 'S12 Operations'!$D$2:$D$534), 2, 0), "")</f>
        <v>20</v>
      </c>
      <c r="E9" s="133" t="str">
        <f t="array" ref="E9">IFERROR(VLOOKUP($A9&amp;"-"&amp;E$2, CHOOSE({1,2}, 'S12 Operations'!$C$2:$C$534&amp;"-"&amp;'S12 Operations'!$E$2:$E$534, 'S12 Operations'!$D$2:$D$534), 2, 0), "")</f>
        <v/>
      </c>
      <c r="F9" s="134" t="str">
        <f t="array" ref="F9">IFERROR(VLOOKUP($A9&amp;"-"&amp;F$2, CHOOSE({1,2}, 'S12 Operations'!$C$2:$C$534&amp;"-"&amp;'S12 Operations'!$E$2:$E$534, 'S12 Operations'!$D$2:$D$534), 2, 0), "")</f>
        <v/>
      </c>
      <c r="G9" s="135" t="str">
        <f t="array" ref="G9">IFERROR(VLOOKUP($A9&amp;"-"&amp;G$2, CHOOSE({1,2}, 'S12 Operations'!$C$2:$C$534&amp;"-"&amp;'S12 Operations'!$E$2:$E$534, 'S12 Operations'!$D$2:$D$534), 2, 0), "")</f>
        <v/>
      </c>
      <c r="H9" s="136">
        <f t="array" ref="H9">IFERROR(VLOOKUP($A9&amp;"-"&amp;H$2, CHOOSE({1,2}, 'S12 Operations'!$C$2:$C$534&amp;"-"&amp;'S12 Operations'!$E$2:$E$534, 'S12 Operations'!$D$2:$D$534), 2, 0), "")</f>
        <v>30</v>
      </c>
      <c r="I9" s="131" t="str">
        <f t="array" ref="I9">IFERROR(VLOOKUP($A9&amp;"-"&amp;I$2, CHOOSE({1,2}, 'S12 Operations'!$C$2:$C$534&amp;"-"&amp;'S12 Operations'!$E$2:$E$534, 'S12 Operations'!$D$2:$D$534), 2, 0), "")</f>
        <v/>
      </c>
      <c r="J9" s="132" t="str">
        <f t="array" ref="J9">IFERROR(VLOOKUP($A9&amp;"-"&amp;J$2, CHOOSE({1,2}, 'S12 Operations'!$C$2:$C$534&amp;"-"&amp;'S12 Operations'!$E$2:$E$534, 'S12 Operations'!$D$2:$D$534), 2, 0), "")</f>
        <v/>
      </c>
      <c r="K9" s="132" t="str">
        <f t="array" ref="K9">IFERROR(VLOOKUP($A9&amp;"-"&amp;K$2, CHOOSE({1,2}, 'S12 Operations'!$C$2:$C$534&amp;"-"&amp;'S12 Operations'!$E$2:$E$534, 'S12 Operations'!$D$2:$D$534), 2, 0), "")</f>
        <v/>
      </c>
      <c r="L9" s="132" t="str">
        <f t="array" ref="L9">IFERROR(VLOOKUP($A9&amp;"-"&amp;L$2, CHOOSE({1,2}, 'S12 Operations'!$C$2:$C$534&amp;"-"&amp;'S12 Operations'!$E$2:$E$534, 'S12 Operations'!$D$2:$D$534), 2, 0), "")</f>
        <v/>
      </c>
      <c r="M9" s="132" t="str">
        <f t="array" ref="M9">IFERROR(VLOOKUP($A9&amp;"-"&amp;M$2, CHOOSE({1,2}, 'S12 Operations'!$C$2:$C$534&amp;"-"&amp;'S12 Operations'!$E$2:$E$534, 'S12 Operations'!$D$2:$D$534), 2, 0), "")</f>
        <v/>
      </c>
      <c r="N9" s="132">
        <f t="array" ref="N9">IFERROR(VLOOKUP($A9&amp;"-"&amp;N$2, CHOOSE({1,2}, 'S12 Operations'!$C$2:$C$534&amp;"-"&amp;'S12 Operations'!$E$2:$E$534, 'S12 Operations'!$D$2:$D$534), 2, 0), "")</f>
        <v>40</v>
      </c>
      <c r="O9" s="132" t="str">
        <f t="array" ref="O9">IFERROR(VLOOKUP($A9&amp;"-"&amp;O$2, CHOOSE({1,2}, 'S12 Operations'!$C$2:$C$534&amp;"-"&amp;'S12 Operations'!$E$2:$E$534, 'S12 Operations'!$D$2:$D$534), 2, 0), "")</f>
        <v/>
      </c>
      <c r="P9" s="133" t="str">
        <f t="array" ref="P9">IFERROR(VLOOKUP($A9&amp;"-"&amp;P$2, CHOOSE({1,2}, 'S12 Operations'!$C$2:$C$534&amp;"-"&amp;'S12 Operations'!$E$2:$E$534, 'S12 Operations'!$D$2:$D$534), 2, 0), "")</f>
        <v/>
      </c>
      <c r="Q9" s="134" t="str">
        <f t="array" ref="Q9">IFERROR(VLOOKUP($A9&amp;"-"&amp;Q$2, CHOOSE({1,2}, 'S12 Operations'!$C$2:$C$534&amp;"-"&amp;'S12 Operations'!$E$2:$E$534, 'S12 Operations'!$D$2:$D$534), 2, 0), "")</f>
        <v/>
      </c>
      <c r="R9" s="135" t="str">
        <f t="array" ref="R9">IFERROR(VLOOKUP($A9&amp;"-"&amp;R$2, CHOOSE({1,2}, 'S12 Operations'!$C$2:$C$534&amp;"-"&amp;'S12 Operations'!$E$2:$E$534, 'S12 Operations'!$D$2:$D$534), 2, 0), "")</f>
        <v/>
      </c>
      <c r="S9" s="135">
        <f t="array" ref="S9">IFERROR(VLOOKUP($A9&amp;"-"&amp;S$2, CHOOSE({1,2}, 'S12 Operations'!$C$2:$C$534&amp;"-"&amp;'S12 Operations'!$E$2:$E$534, 'S12 Operations'!$D$2:$D$534), 2, 0), "")</f>
        <v>50</v>
      </c>
      <c r="T9" s="136" t="str">
        <f t="array" ref="T9">IFERROR(VLOOKUP($A9&amp;"-"&amp;T$2, CHOOSE({1,2}, 'S12 Operations'!$C$2:$C$534&amp;"-"&amp;'S12 Operations'!$E$2:$E$534, 'S12 Operations'!$D$2:$D$534), 2, 0), "")</f>
        <v/>
      </c>
      <c r="U9" s="131">
        <f t="array" ref="U9">IFERROR(VLOOKUP($A9&amp;"-"&amp;U$2, CHOOSE({1,2}, 'S12 Operations'!$C$2:$C$534&amp;"-"&amp;'S12 Operations'!$E$2:$E$534, 'S12 Operations'!$D$2:$D$534), 2, 0), "")</f>
        <v>60</v>
      </c>
      <c r="V9" s="133" t="str">
        <f t="array" ref="V9">IFERROR(VLOOKUP($A9&amp;"-"&amp;V$2, CHOOSE({1,2}, 'S12 Operations'!$C$2:$C$534&amp;"-"&amp;'S12 Operations'!$E$2:$E$534, 'S12 Operations'!$D$2:$D$534), 2, 0), "")</f>
        <v/>
      </c>
      <c r="W9" s="134">
        <f t="array" ref="W9">IFERROR(VLOOKUP($A9&amp;"-"&amp;W$2, CHOOSE({1,2}, 'S12 Operations'!$C$2:$C$534&amp;"-"&amp;'S12 Operations'!$E$2:$E$534, 'S12 Operations'!$D$2:$D$534), 2, 0), "")</f>
        <v>70</v>
      </c>
      <c r="X9" s="135" t="str">
        <f t="array" ref="X9">IFERROR(VLOOKUP($A9&amp;"-"&amp;X$2, CHOOSE({1,2}, 'S12 Operations'!$C$2:$C$534&amp;"-"&amp;'S12 Operations'!$E$2:$E$534, 'S12 Operations'!$D$2:$D$534), 2, 0), "")</f>
        <v/>
      </c>
      <c r="Y9" s="136" t="str">
        <f t="array" ref="Y9">IFERROR(VLOOKUP($A9&amp;"-"&amp;Y$2, CHOOSE({1,2}, 'S12 Operations'!$C$2:$C$534&amp;"-"&amp;'S12 Operations'!$E$2:$E$534, 'S12 Operations'!$D$2:$D$534), 2, 0), "")</f>
        <v/>
      </c>
      <c r="Z9" s="120" t="str">
        <f t="array" ref="Z9">IFERROR(VLOOKUP($A9&amp;"-"&amp;Z$2, CHOOSE({1,2}, 'S12 Operations'!$C$2:$C$534&amp;"-"&amp;'S12 Operations'!$E$2:$E$534, 'S12 Operations'!$D$2:$D$534), 2, 0), "")</f>
        <v/>
      </c>
      <c r="AA9" s="119">
        <f t="array" ref="AA9">IFERROR(VLOOKUP($A9&amp;"-"&amp;AA$2, CHOOSE({1,2}, 'S12 Operations'!$C$2:$C$534&amp;"-"&amp;'S12 Operations'!$E$2:$E$534, 'S12 Operations'!$D$2:$D$534), 2, 0), "")</f>
        <v>80</v>
      </c>
    </row>
    <row r="10" spans="1:27" ht="17">
      <c r="A10" s="143" t="str">
        <f>'S08 ABC Output'!A15</f>
        <v>I-073</v>
      </c>
      <c r="B10" s="59">
        <f t="array" ref="B10">IFERROR(VLOOKUP($A10&amp;"-"&amp;B$2, CHOOSE({1,2}, 'S12 Operations'!$C$2:$C$534&amp;"-"&amp;'S12 Operations'!$E$2:$E$534, 'S12 Operations'!$D$2:$D$534), 2, 0), "")</f>
        <v>10</v>
      </c>
      <c r="C10" s="124" t="str">
        <f t="array" ref="C10">IFERROR(VLOOKUP($A10&amp;"-"&amp;C$2, CHOOSE({1,2}, 'S12 Operations'!$C$2:$C$534&amp;"-"&amp;'S12 Operations'!$E$2:$E$534, 'S12 Operations'!$D$2:$D$534), 2, 0), "")</f>
        <v/>
      </c>
      <c r="D10" s="122">
        <f t="array" ref="D10">IFERROR(VLOOKUP($A10&amp;"-"&amp;D$2, CHOOSE({1,2}, 'S12 Operations'!$C$2:$C$534&amp;"-"&amp;'S12 Operations'!$E$2:$E$534, 'S12 Operations'!$D$2:$D$534), 2, 0), "")</f>
        <v>20</v>
      </c>
      <c r="E10" s="125" t="str">
        <f t="array" ref="E10">IFERROR(VLOOKUP($A10&amp;"-"&amp;E$2, CHOOSE({1,2}, 'S12 Operations'!$C$2:$C$534&amp;"-"&amp;'S12 Operations'!$E$2:$E$534, 'S12 Operations'!$D$2:$D$534), 2, 0), "")</f>
        <v/>
      </c>
      <c r="F10" s="60" t="str">
        <f t="array" ref="F10">IFERROR(VLOOKUP($A10&amp;"-"&amp;F$2, CHOOSE({1,2}, 'S12 Operations'!$C$2:$C$534&amp;"-"&amp;'S12 Operations'!$E$2:$E$534, 'S12 Operations'!$D$2:$D$534), 2, 0), "")</f>
        <v/>
      </c>
      <c r="G10" s="4" t="str">
        <f t="array" ref="G10">IFERROR(VLOOKUP($A10&amp;"-"&amp;G$2, CHOOSE({1,2}, 'S12 Operations'!$C$2:$C$534&amp;"-"&amp;'S12 Operations'!$E$2:$E$534, 'S12 Operations'!$D$2:$D$534), 2, 0), "")</f>
        <v/>
      </c>
      <c r="H10" s="61">
        <f t="array" ref="H10">IFERROR(VLOOKUP($A10&amp;"-"&amp;H$2, CHOOSE({1,2}, 'S12 Operations'!$C$2:$C$534&amp;"-"&amp;'S12 Operations'!$E$2:$E$534, 'S12 Operations'!$D$2:$D$534), 2, 0), "")</f>
        <v>30</v>
      </c>
      <c r="I10" s="124" t="str">
        <f t="array" ref="I10">IFERROR(VLOOKUP($A10&amp;"-"&amp;I$2, CHOOSE({1,2}, 'S12 Operations'!$C$2:$C$534&amp;"-"&amp;'S12 Operations'!$E$2:$E$534, 'S12 Operations'!$D$2:$D$534), 2, 0), "")</f>
        <v/>
      </c>
      <c r="J10" s="122" t="str">
        <f t="array" ref="J10">IFERROR(VLOOKUP($A10&amp;"-"&amp;J$2, CHOOSE({1,2}, 'S12 Operations'!$C$2:$C$534&amp;"-"&amp;'S12 Operations'!$E$2:$E$534, 'S12 Operations'!$D$2:$D$534), 2, 0), "")</f>
        <v/>
      </c>
      <c r="K10" s="122" t="str">
        <f t="array" ref="K10">IFERROR(VLOOKUP($A10&amp;"-"&amp;K$2, CHOOSE({1,2}, 'S12 Operations'!$C$2:$C$534&amp;"-"&amp;'S12 Operations'!$E$2:$E$534, 'S12 Operations'!$D$2:$D$534), 2, 0), "")</f>
        <v/>
      </c>
      <c r="L10" s="122" t="str">
        <f t="array" ref="L10">IFERROR(VLOOKUP($A10&amp;"-"&amp;L$2, CHOOSE({1,2}, 'S12 Operations'!$C$2:$C$534&amp;"-"&amp;'S12 Operations'!$E$2:$E$534, 'S12 Operations'!$D$2:$D$534), 2, 0), "")</f>
        <v/>
      </c>
      <c r="M10" s="122" t="str">
        <f t="array" ref="M10">IFERROR(VLOOKUP($A10&amp;"-"&amp;M$2, CHOOSE({1,2}, 'S12 Operations'!$C$2:$C$534&amp;"-"&amp;'S12 Operations'!$E$2:$E$534, 'S12 Operations'!$D$2:$D$534), 2, 0), "")</f>
        <v/>
      </c>
      <c r="N10" s="122">
        <f t="array" ref="N10">IFERROR(VLOOKUP($A10&amp;"-"&amp;N$2, CHOOSE({1,2}, 'S12 Operations'!$C$2:$C$534&amp;"-"&amp;'S12 Operations'!$E$2:$E$534, 'S12 Operations'!$D$2:$D$534), 2, 0), "")</f>
        <v>40</v>
      </c>
      <c r="O10" s="122" t="str">
        <f t="array" ref="O10">IFERROR(VLOOKUP($A10&amp;"-"&amp;O$2, CHOOSE({1,2}, 'S12 Operations'!$C$2:$C$534&amp;"-"&amp;'S12 Operations'!$E$2:$E$534, 'S12 Operations'!$D$2:$D$534), 2, 0), "")</f>
        <v/>
      </c>
      <c r="P10" s="125" t="str">
        <f t="array" ref="P10">IFERROR(VLOOKUP($A10&amp;"-"&amp;P$2, CHOOSE({1,2}, 'S12 Operations'!$C$2:$C$534&amp;"-"&amp;'S12 Operations'!$E$2:$E$534, 'S12 Operations'!$D$2:$D$534), 2, 0), "")</f>
        <v/>
      </c>
      <c r="Q10" s="60" t="str">
        <f t="array" ref="Q10">IFERROR(VLOOKUP($A10&amp;"-"&amp;Q$2, CHOOSE({1,2}, 'S12 Operations'!$C$2:$C$534&amp;"-"&amp;'S12 Operations'!$E$2:$E$534, 'S12 Operations'!$D$2:$D$534), 2, 0), "")</f>
        <v/>
      </c>
      <c r="R10" s="4" t="str">
        <f t="array" ref="R10">IFERROR(VLOOKUP($A10&amp;"-"&amp;R$2, CHOOSE({1,2}, 'S12 Operations'!$C$2:$C$534&amp;"-"&amp;'S12 Operations'!$E$2:$E$534, 'S12 Operations'!$D$2:$D$534), 2, 0), "")</f>
        <v/>
      </c>
      <c r="S10" s="4">
        <f t="array" ref="S10">IFERROR(VLOOKUP($A10&amp;"-"&amp;S$2, CHOOSE({1,2}, 'S12 Operations'!$C$2:$C$534&amp;"-"&amp;'S12 Operations'!$E$2:$E$534, 'S12 Operations'!$D$2:$D$534), 2, 0), "")</f>
        <v>50</v>
      </c>
      <c r="T10" s="61" t="str">
        <f t="array" ref="T10">IFERROR(VLOOKUP($A10&amp;"-"&amp;T$2, CHOOSE({1,2}, 'S12 Operations'!$C$2:$C$534&amp;"-"&amp;'S12 Operations'!$E$2:$E$534, 'S12 Operations'!$D$2:$D$534), 2, 0), "")</f>
        <v/>
      </c>
      <c r="U10" s="124">
        <f t="array" ref="U10">IFERROR(VLOOKUP($A10&amp;"-"&amp;U$2, CHOOSE({1,2}, 'S12 Operations'!$C$2:$C$534&amp;"-"&amp;'S12 Operations'!$E$2:$E$534, 'S12 Operations'!$D$2:$D$534), 2, 0), "")</f>
        <v>60</v>
      </c>
      <c r="V10" s="125" t="str">
        <f t="array" ref="V10">IFERROR(VLOOKUP($A10&amp;"-"&amp;V$2, CHOOSE({1,2}, 'S12 Operations'!$C$2:$C$534&amp;"-"&amp;'S12 Operations'!$E$2:$E$534, 'S12 Operations'!$D$2:$D$534), 2, 0), "")</f>
        <v/>
      </c>
      <c r="W10" s="60">
        <f t="array" ref="W10">IFERROR(VLOOKUP($A10&amp;"-"&amp;W$2, CHOOSE({1,2}, 'S12 Operations'!$C$2:$C$534&amp;"-"&amp;'S12 Operations'!$E$2:$E$534, 'S12 Operations'!$D$2:$D$534), 2, 0), "")</f>
        <v>70</v>
      </c>
      <c r="X10" s="4" t="str">
        <f t="array" ref="X10">IFERROR(VLOOKUP($A10&amp;"-"&amp;X$2, CHOOSE({1,2}, 'S12 Operations'!$C$2:$C$534&amp;"-"&amp;'S12 Operations'!$E$2:$E$534, 'S12 Operations'!$D$2:$D$534), 2, 0), "")</f>
        <v/>
      </c>
      <c r="Y10" s="61" t="str">
        <f t="array" ref="Y10">IFERROR(VLOOKUP($A10&amp;"-"&amp;Y$2, CHOOSE({1,2}, 'S12 Operations'!$C$2:$C$534&amp;"-"&amp;'S12 Operations'!$E$2:$E$534, 'S12 Operations'!$D$2:$D$534), 2, 0), "")</f>
        <v/>
      </c>
      <c r="Z10" s="129" t="str">
        <f t="array" ref="Z10">IFERROR(VLOOKUP($A10&amp;"-"&amp;Z$2, CHOOSE({1,2}, 'S12 Operations'!$C$2:$C$534&amp;"-"&amp;'S12 Operations'!$E$2:$E$534, 'S12 Operations'!$D$2:$D$534), 2, 0), "")</f>
        <v/>
      </c>
      <c r="AA10" s="59">
        <f t="array" ref="AA10">IFERROR(VLOOKUP($A10&amp;"-"&amp;AA$2, CHOOSE({1,2}, 'S12 Operations'!$C$2:$C$534&amp;"-"&amp;'S12 Operations'!$E$2:$E$534, 'S12 Operations'!$D$2:$D$534), 2, 0), "")</f>
        <v>80</v>
      </c>
    </row>
    <row r="11" spans="1:27" ht="18" thickBot="1">
      <c r="A11" s="121" t="str">
        <f>'S08 ABC Output'!A18</f>
        <v>I-074</v>
      </c>
      <c r="B11" s="62">
        <f t="array" ref="B11">IFERROR(VLOOKUP($A11&amp;"-"&amp;B$2, CHOOSE({1,2}, 'S12 Operations'!$C$2:$C$534&amp;"-"&amp;'S12 Operations'!$E$2:$E$534, 'S12 Operations'!$D$2:$D$534), 2, 0), "")</f>
        <v>10</v>
      </c>
      <c r="C11" s="126" t="str">
        <f t="array" ref="C11">IFERROR(VLOOKUP($A11&amp;"-"&amp;C$2, CHOOSE({1,2}, 'S12 Operations'!$C$2:$C$534&amp;"-"&amp;'S12 Operations'!$E$2:$E$534, 'S12 Operations'!$D$2:$D$534), 2, 0), "")</f>
        <v/>
      </c>
      <c r="D11" s="127">
        <f t="array" ref="D11">IFERROR(VLOOKUP($A11&amp;"-"&amp;D$2, CHOOSE({1,2}, 'S12 Operations'!$C$2:$C$534&amp;"-"&amp;'S12 Operations'!$E$2:$E$534, 'S12 Operations'!$D$2:$D$534), 2, 0), "")</f>
        <v>20</v>
      </c>
      <c r="E11" s="128" t="str">
        <f t="array" ref="E11">IFERROR(VLOOKUP($A11&amp;"-"&amp;E$2, CHOOSE({1,2}, 'S12 Operations'!$C$2:$C$534&amp;"-"&amp;'S12 Operations'!$E$2:$E$534, 'S12 Operations'!$D$2:$D$534), 2, 0), "")</f>
        <v/>
      </c>
      <c r="F11" s="63" t="str">
        <f t="array" ref="F11">IFERROR(VLOOKUP($A11&amp;"-"&amp;F$2, CHOOSE({1,2}, 'S12 Operations'!$C$2:$C$534&amp;"-"&amp;'S12 Operations'!$E$2:$E$534, 'S12 Operations'!$D$2:$D$534), 2, 0), "")</f>
        <v/>
      </c>
      <c r="G11" s="64" t="str">
        <f t="array" ref="G11">IFERROR(VLOOKUP($A11&amp;"-"&amp;G$2, CHOOSE({1,2}, 'S12 Operations'!$C$2:$C$534&amp;"-"&amp;'S12 Operations'!$E$2:$E$534, 'S12 Operations'!$D$2:$D$534), 2, 0), "")</f>
        <v/>
      </c>
      <c r="H11" s="65">
        <f t="array" ref="H11">IFERROR(VLOOKUP($A11&amp;"-"&amp;H$2, CHOOSE({1,2}, 'S12 Operations'!$C$2:$C$534&amp;"-"&amp;'S12 Operations'!$E$2:$E$534, 'S12 Operations'!$D$2:$D$534), 2, 0), "")</f>
        <v>30</v>
      </c>
      <c r="I11" s="126" t="str">
        <f t="array" ref="I11">IFERROR(VLOOKUP($A11&amp;"-"&amp;I$2, CHOOSE({1,2}, 'S12 Operations'!$C$2:$C$534&amp;"-"&amp;'S12 Operations'!$E$2:$E$534, 'S12 Operations'!$D$2:$D$534), 2, 0), "")</f>
        <v/>
      </c>
      <c r="J11" s="127" t="str">
        <f t="array" ref="J11">IFERROR(VLOOKUP($A11&amp;"-"&amp;J$2, CHOOSE({1,2}, 'S12 Operations'!$C$2:$C$534&amp;"-"&amp;'S12 Operations'!$E$2:$E$534, 'S12 Operations'!$D$2:$D$534), 2, 0), "")</f>
        <v/>
      </c>
      <c r="K11" s="127" t="str">
        <f t="array" ref="K11">IFERROR(VLOOKUP($A11&amp;"-"&amp;K$2, CHOOSE({1,2}, 'S12 Operations'!$C$2:$C$534&amp;"-"&amp;'S12 Operations'!$E$2:$E$534, 'S12 Operations'!$D$2:$D$534), 2, 0), "")</f>
        <v/>
      </c>
      <c r="L11" s="127" t="str">
        <f t="array" ref="L11">IFERROR(VLOOKUP($A11&amp;"-"&amp;L$2, CHOOSE({1,2}, 'S12 Operations'!$C$2:$C$534&amp;"-"&amp;'S12 Operations'!$E$2:$E$534, 'S12 Operations'!$D$2:$D$534), 2, 0), "")</f>
        <v/>
      </c>
      <c r="M11" s="127" t="str">
        <f t="array" ref="M11">IFERROR(VLOOKUP($A11&amp;"-"&amp;M$2, CHOOSE({1,2}, 'S12 Operations'!$C$2:$C$534&amp;"-"&amp;'S12 Operations'!$E$2:$E$534, 'S12 Operations'!$D$2:$D$534), 2, 0), "")</f>
        <v/>
      </c>
      <c r="N11" s="127">
        <f t="array" ref="N11">IFERROR(VLOOKUP($A11&amp;"-"&amp;N$2, CHOOSE({1,2}, 'S12 Operations'!$C$2:$C$534&amp;"-"&amp;'S12 Operations'!$E$2:$E$534, 'S12 Operations'!$D$2:$D$534), 2, 0), "")</f>
        <v>40</v>
      </c>
      <c r="O11" s="127" t="str">
        <f t="array" ref="O11">IFERROR(VLOOKUP($A11&amp;"-"&amp;O$2, CHOOSE({1,2}, 'S12 Operations'!$C$2:$C$534&amp;"-"&amp;'S12 Operations'!$E$2:$E$534, 'S12 Operations'!$D$2:$D$534), 2, 0), "")</f>
        <v/>
      </c>
      <c r="P11" s="128" t="str">
        <f t="array" ref="P11">IFERROR(VLOOKUP($A11&amp;"-"&amp;P$2, CHOOSE({1,2}, 'S12 Operations'!$C$2:$C$534&amp;"-"&amp;'S12 Operations'!$E$2:$E$534, 'S12 Operations'!$D$2:$D$534), 2, 0), "")</f>
        <v/>
      </c>
      <c r="Q11" s="63" t="str">
        <f t="array" ref="Q11">IFERROR(VLOOKUP($A11&amp;"-"&amp;Q$2, CHOOSE({1,2}, 'S12 Operations'!$C$2:$C$534&amp;"-"&amp;'S12 Operations'!$E$2:$E$534, 'S12 Operations'!$D$2:$D$534), 2, 0), "")</f>
        <v/>
      </c>
      <c r="R11" s="64" t="str">
        <f t="array" ref="R11">IFERROR(VLOOKUP($A11&amp;"-"&amp;R$2, CHOOSE({1,2}, 'S12 Operations'!$C$2:$C$534&amp;"-"&amp;'S12 Operations'!$E$2:$E$534, 'S12 Operations'!$D$2:$D$534), 2, 0), "")</f>
        <v/>
      </c>
      <c r="S11" s="64">
        <f t="array" ref="S11">IFERROR(VLOOKUP($A11&amp;"-"&amp;S$2, CHOOSE({1,2}, 'S12 Operations'!$C$2:$C$534&amp;"-"&amp;'S12 Operations'!$E$2:$E$534, 'S12 Operations'!$D$2:$D$534), 2, 0), "")</f>
        <v>50</v>
      </c>
      <c r="T11" s="65" t="str">
        <f t="array" ref="T11">IFERROR(VLOOKUP($A11&amp;"-"&amp;T$2, CHOOSE({1,2}, 'S12 Operations'!$C$2:$C$534&amp;"-"&amp;'S12 Operations'!$E$2:$E$534, 'S12 Operations'!$D$2:$D$534), 2, 0), "")</f>
        <v/>
      </c>
      <c r="U11" s="126">
        <f t="array" ref="U11">IFERROR(VLOOKUP($A11&amp;"-"&amp;U$2, CHOOSE({1,2}, 'S12 Operations'!$C$2:$C$534&amp;"-"&amp;'S12 Operations'!$E$2:$E$534, 'S12 Operations'!$D$2:$D$534), 2, 0), "")</f>
        <v>60</v>
      </c>
      <c r="V11" s="128" t="str">
        <f t="array" ref="V11">IFERROR(VLOOKUP($A11&amp;"-"&amp;V$2, CHOOSE({1,2}, 'S12 Operations'!$C$2:$C$534&amp;"-"&amp;'S12 Operations'!$E$2:$E$534, 'S12 Operations'!$D$2:$D$534), 2, 0), "")</f>
        <v/>
      </c>
      <c r="W11" s="63">
        <f t="array" ref="W11">IFERROR(VLOOKUP($A11&amp;"-"&amp;W$2, CHOOSE({1,2}, 'S12 Operations'!$C$2:$C$534&amp;"-"&amp;'S12 Operations'!$E$2:$E$534, 'S12 Operations'!$D$2:$D$534), 2, 0), "")</f>
        <v>70</v>
      </c>
      <c r="X11" s="64" t="str">
        <f t="array" ref="X11">IFERROR(VLOOKUP($A11&amp;"-"&amp;X$2, CHOOSE({1,2}, 'S12 Operations'!$C$2:$C$534&amp;"-"&amp;'S12 Operations'!$E$2:$E$534, 'S12 Operations'!$D$2:$D$534), 2, 0), "")</f>
        <v/>
      </c>
      <c r="Y11" s="65" t="str">
        <f t="array" ref="Y11">IFERROR(VLOOKUP($A11&amp;"-"&amp;Y$2, CHOOSE({1,2}, 'S12 Operations'!$C$2:$C$534&amp;"-"&amp;'S12 Operations'!$E$2:$E$534, 'S12 Operations'!$D$2:$D$534), 2, 0), "")</f>
        <v/>
      </c>
      <c r="Z11" s="130" t="str">
        <f t="array" ref="Z11">IFERROR(VLOOKUP($A11&amp;"-"&amp;Z$2, CHOOSE({1,2}, 'S12 Operations'!$C$2:$C$534&amp;"-"&amp;'S12 Operations'!$E$2:$E$534, 'S12 Operations'!$D$2:$D$534), 2, 0), "")</f>
        <v/>
      </c>
      <c r="AA11" s="62">
        <f t="array" ref="AA11">IFERROR(VLOOKUP($A11&amp;"-"&amp;AA$2, CHOOSE({1,2}, 'S12 Operations'!$C$2:$C$534&amp;"-"&amp;'S12 Operations'!$E$2:$E$534, 'S12 Operations'!$D$2:$D$534), 2, 0), "")</f>
        <v>80</v>
      </c>
    </row>
    <row r="12" spans="1:27" ht="17">
      <c r="A12" s="142" t="str">
        <f>'S08 ABC Output'!A14</f>
        <v>I-006</v>
      </c>
      <c r="B12" s="119">
        <f t="array" ref="B12">IFERROR(VLOOKUP($A12&amp;"-"&amp;B$2, CHOOSE({1,2}, 'S12 Operations'!$C$2:$C$534&amp;"-"&amp;'S12 Operations'!$E$2:$E$534, 'S12 Operations'!$D$2:$D$534), 2, 0), "")</f>
        <v>10</v>
      </c>
      <c r="C12" s="131" t="str">
        <f t="array" ref="C12">IFERROR(VLOOKUP($A12&amp;"-"&amp;C$2, CHOOSE({1,2}, 'S12 Operations'!$C$2:$C$534&amp;"-"&amp;'S12 Operations'!$E$2:$E$534, 'S12 Operations'!$D$2:$D$534), 2, 0), "")</f>
        <v/>
      </c>
      <c r="D12" s="132" t="str">
        <f t="array" ref="D12">IFERROR(VLOOKUP($A12&amp;"-"&amp;D$2, CHOOSE({1,2}, 'S12 Operations'!$C$2:$C$534&amp;"-"&amp;'S12 Operations'!$E$2:$E$534, 'S12 Operations'!$D$2:$D$534), 2, 0), "")</f>
        <v/>
      </c>
      <c r="E12" s="133">
        <f t="array" ref="E12">IFERROR(VLOOKUP($A12&amp;"-"&amp;E$2, CHOOSE({1,2}, 'S12 Operations'!$C$2:$C$534&amp;"-"&amp;'S12 Operations'!$E$2:$E$534, 'S12 Operations'!$D$2:$D$534), 2, 0), "")</f>
        <v>20</v>
      </c>
      <c r="F12" s="134">
        <f t="array" ref="F12">IFERROR(VLOOKUP($A12&amp;"-"&amp;F$2, CHOOSE({1,2}, 'S12 Operations'!$C$2:$C$534&amp;"-"&amp;'S12 Operations'!$E$2:$E$534, 'S12 Operations'!$D$2:$D$534), 2, 0), "")</f>
        <v>30</v>
      </c>
      <c r="G12" s="135" t="str">
        <f t="array" ref="G12">IFERROR(VLOOKUP($A12&amp;"-"&amp;G$2, CHOOSE({1,2}, 'S12 Operations'!$C$2:$C$534&amp;"-"&amp;'S12 Operations'!$E$2:$E$534, 'S12 Operations'!$D$2:$D$534), 2, 0), "")</f>
        <v/>
      </c>
      <c r="H12" s="136" t="str">
        <f t="array" ref="H12">IFERROR(VLOOKUP($A12&amp;"-"&amp;H$2, CHOOSE({1,2}, 'S12 Operations'!$C$2:$C$534&amp;"-"&amp;'S12 Operations'!$E$2:$E$534, 'S12 Operations'!$D$2:$D$534), 2, 0), "")</f>
        <v/>
      </c>
      <c r="I12" s="131" t="str">
        <f t="array" ref="I12">IFERROR(VLOOKUP($A12&amp;"-"&amp;I$2, CHOOSE({1,2}, 'S12 Operations'!$C$2:$C$534&amp;"-"&amp;'S12 Operations'!$E$2:$E$534, 'S12 Operations'!$D$2:$D$534), 2, 0), "")</f>
        <v/>
      </c>
      <c r="J12" s="132" t="str">
        <f t="array" ref="J12">IFERROR(VLOOKUP($A12&amp;"-"&amp;J$2, CHOOSE({1,2}, 'S12 Operations'!$C$2:$C$534&amp;"-"&amp;'S12 Operations'!$E$2:$E$534, 'S12 Operations'!$D$2:$D$534), 2, 0), "")</f>
        <v/>
      </c>
      <c r="K12" s="132" t="str">
        <f t="array" ref="K12">IFERROR(VLOOKUP($A12&amp;"-"&amp;K$2, CHOOSE({1,2}, 'S12 Operations'!$C$2:$C$534&amp;"-"&amp;'S12 Operations'!$E$2:$E$534, 'S12 Operations'!$D$2:$D$534), 2, 0), "")</f>
        <v/>
      </c>
      <c r="L12" s="132">
        <f t="array" ref="L12">IFERROR(VLOOKUP($A12&amp;"-"&amp;L$2, CHOOSE({1,2}, 'S12 Operations'!$C$2:$C$534&amp;"-"&amp;'S12 Operations'!$E$2:$E$534, 'S12 Operations'!$D$2:$D$534), 2, 0), "")</f>
        <v>40</v>
      </c>
      <c r="M12" s="132" t="str">
        <f t="array" ref="M12">IFERROR(VLOOKUP($A12&amp;"-"&amp;M$2, CHOOSE({1,2}, 'S12 Operations'!$C$2:$C$534&amp;"-"&amp;'S12 Operations'!$E$2:$E$534, 'S12 Operations'!$D$2:$D$534), 2, 0), "")</f>
        <v/>
      </c>
      <c r="N12" s="132" t="str">
        <f t="array" ref="N12">IFERROR(VLOOKUP($A12&amp;"-"&amp;N$2, CHOOSE({1,2}, 'S12 Operations'!$C$2:$C$534&amp;"-"&amp;'S12 Operations'!$E$2:$E$534, 'S12 Operations'!$D$2:$D$534), 2, 0), "")</f>
        <v/>
      </c>
      <c r="O12" s="132" t="str">
        <f t="array" ref="O12">IFERROR(VLOOKUP($A12&amp;"-"&amp;O$2, CHOOSE({1,2}, 'S12 Operations'!$C$2:$C$534&amp;"-"&amp;'S12 Operations'!$E$2:$E$534, 'S12 Operations'!$D$2:$D$534), 2, 0), "")</f>
        <v/>
      </c>
      <c r="P12" s="133">
        <f t="array" ref="P12">IFERROR(VLOOKUP($A12&amp;"-"&amp;P$2, CHOOSE({1,2}, 'S12 Operations'!$C$2:$C$534&amp;"-"&amp;'S12 Operations'!$E$2:$E$534, 'S12 Operations'!$D$2:$D$534), 2, 0), "")</f>
        <v>50</v>
      </c>
      <c r="Q12" s="134" t="str">
        <f t="array" ref="Q12">IFERROR(VLOOKUP($A12&amp;"-"&amp;Q$2, CHOOSE({1,2}, 'S12 Operations'!$C$2:$C$534&amp;"-"&amp;'S12 Operations'!$E$2:$E$534, 'S12 Operations'!$D$2:$D$534), 2, 0), "")</f>
        <v/>
      </c>
      <c r="R12" s="135" t="str">
        <f t="array" ref="R12">IFERROR(VLOOKUP($A12&amp;"-"&amp;R$2, CHOOSE({1,2}, 'S12 Operations'!$C$2:$C$534&amp;"-"&amp;'S12 Operations'!$E$2:$E$534, 'S12 Operations'!$D$2:$D$534), 2, 0), "")</f>
        <v/>
      </c>
      <c r="S12" s="135" t="str">
        <f t="array" ref="S12">IFERROR(VLOOKUP($A12&amp;"-"&amp;S$2, CHOOSE({1,2}, 'S12 Operations'!$C$2:$C$534&amp;"-"&amp;'S12 Operations'!$E$2:$E$534, 'S12 Operations'!$D$2:$D$534), 2, 0), "")</f>
        <v/>
      </c>
      <c r="T12" s="136" t="str">
        <f t="array" ref="T12">IFERROR(VLOOKUP($A12&amp;"-"&amp;T$2, CHOOSE({1,2}, 'S12 Operations'!$C$2:$C$534&amp;"-"&amp;'S12 Operations'!$E$2:$E$534, 'S12 Operations'!$D$2:$D$534), 2, 0), "")</f>
        <v/>
      </c>
      <c r="U12" s="131" t="str">
        <f t="array" ref="U12">IFERROR(VLOOKUP($A12&amp;"-"&amp;U$2, CHOOSE({1,2}, 'S12 Operations'!$C$2:$C$534&amp;"-"&amp;'S12 Operations'!$E$2:$E$534, 'S12 Operations'!$D$2:$D$534), 2, 0), "")</f>
        <v/>
      </c>
      <c r="V12" s="133">
        <f t="array" ref="V12">IFERROR(VLOOKUP($A12&amp;"-"&amp;V$2, CHOOSE({1,2}, 'S12 Operations'!$C$2:$C$534&amp;"-"&amp;'S12 Operations'!$E$2:$E$534, 'S12 Operations'!$D$2:$D$534), 2, 0), "")</f>
        <v>60</v>
      </c>
      <c r="W12" s="134" t="str">
        <f t="array" ref="W12">IFERROR(VLOOKUP($A12&amp;"-"&amp;W$2, CHOOSE({1,2}, 'S12 Operations'!$C$2:$C$534&amp;"-"&amp;'S12 Operations'!$E$2:$E$534, 'S12 Operations'!$D$2:$D$534), 2, 0), "")</f>
        <v/>
      </c>
      <c r="X12" s="135">
        <f t="array" ref="X12">IFERROR(VLOOKUP($A12&amp;"-"&amp;X$2, CHOOSE({1,2}, 'S12 Operations'!$C$2:$C$534&amp;"-"&amp;'S12 Operations'!$E$2:$E$534, 'S12 Operations'!$D$2:$D$534), 2, 0), "")</f>
        <v>70</v>
      </c>
      <c r="Y12" s="136" t="str">
        <f t="array" ref="Y12">IFERROR(VLOOKUP($A12&amp;"-"&amp;Y$2, CHOOSE({1,2}, 'S12 Operations'!$C$2:$C$534&amp;"-"&amp;'S12 Operations'!$E$2:$E$534, 'S12 Operations'!$D$2:$D$534), 2, 0), "")</f>
        <v/>
      </c>
      <c r="Z12" s="120" t="str">
        <f t="array" ref="Z12">IFERROR(VLOOKUP($A12&amp;"-"&amp;Z$2, CHOOSE({1,2}, 'S12 Operations'!$C$2:$C$534&amp;"-"&amp;'S12 Operations'!$E$2:$E$534, 'S12 Operations'!$D$2:$D$534), 2, 0), "")</f>
        <v/>
      </c>
      <c r="AA12" s="119">
        <f t="array" ref="AA12">IFERROR(VLOOKUP($A12&amp;"-"&amp;AA$2, CHOOSE({1,2}, 'S12 Operations'!$C$2:$C$534&amp;"-"&amp;'S12 Operations'!$E$2:$E$534, 'S12 Operations'!$D$2:$D$534), 2, 0), "")</f>
        <v>80</v>
      </c>
    </row>
    <row r="13" spans="1:27" ht="17">
      <c r="A13" s="143" t="str">
        <f>'S08 ABC Output'!A17</f>
        <v>I-007</v>
      </c>
      <c r="B13" s="59">
        <f t="array" ref="B13">IFERROR(VLOOKUP($A13&amp;"-"&amp;B$2, CHOOSE({1,2}, 'S12 Operations'!$C$2:$C$534&amp;"-"&amp;'S12 Operations'!$E$2:$E$534, 'S12 Operations'!$D$2:$D$534), 2, 0), "")</f>
        <v>10</v>
      </c>
      <c r="C13" s="124" t="str">
        <f t="array" ref="C13">IFERROR(VLOOKUP($A13&amp;"-"&amp;C$2, CHOOSE({1,2}, 'S12 Operations'!$C$2:$C$534&amp;"-"&amp;'S12 Operations'!$E$2:$E$534, 'S12 Operations'!$D$2:$D$534), 2, 0), "")</f>
        <v/>
      </c>
      <c r="D13" s="122" t="str">
        <f t="array" ref="D13">IFERROR(VLOOKUP($A13&amp;"-"&amp;D$2, CHOOSE({1,2}, 'S12 Operations'!$C$2:$C$534&amp;"-"&amp;'S12 Operations'!$E$2:$E$534, 'S12 Operations'!$D$2:$D$534), 2, 0), "")</f>
        <v/>
      </c>
      <c r="E13" s="125">
        <f t="array" ref="E13">IFERROR(VLOOKUP($A13&amp;"-"&amp;E$2, CHOOSE({1,2}, 'S12 Operations'!$C$2:$C$534&amp;"-"&amp;'S12 Operations'!$E$2:$E$534, 'S12 Operations'!$D$2:$D$534), 2, 0), "")</f>
        <v>20</v>
      </c>
      <c r="F13" s="60">
        <f t="array" ref="F13">IFERROR(VLOOKUP($A13&amp;"-"&amp;F$2, CHOOSE({1,2}, 'S12 Operations'!$C$2:$C$534&amp;"-"&amp;'S12 Operations'!$E$2:$E$534, 'S12 Operations'!$D$2:$D$534), 2, 0), "")</f>
        <v>30</v>
      </c>
      <c r="G13" s="4" t="str">
        <f t="array" ref="G13">IFERROR(VLOOKUP($A13&amp;"-"&amp;G$2, CHOOSE({1,2}, 'S12 Operations'!$C$2:$C$534&amp;"-"&amp;'S12 Operations'!$E$2:$E$534, 'S12 Operations'!$D$2:$D$534), 2, 0), "")</f>
        <v/>
      </c>
      <c r="H13" s="61" t="str">
        <f t="array" ref="H13">IFERROR(VLOOKUP($A13&amp;"-"&amp;H$2, CHOOSE({1,2}, 'S12 Operations'!$C$2:$C$534&amp;"-"&amp;'S12 Operations'!$E$2:$E$534, 'S12 Operations'!$D$2:$D$534), 2, 0), "")</f>
        <v/>
      </c>
      <c r="I13" s="124" t="str">
        <f t="array" ref="I13">IFERROR(VLOOKUP($A13&amp;"-"&amp;I$2, CHOOSE({1,2}, 'S12 Operations'!$C$2:$C$534&amp;"-"&amp;'S12 Operations'!$E$2:$E$534, 'S12 Operations'!$D$2:$D$534), 2, 0), "")</f>
        <v/>
      </c>
      <c r="J13" s="122" t="str">
        <f t="array" ref="J13">IFERROR(VLOOKUP($A13&amp;"-"&amp;J$2, CHOOSE({1,2}, 'S12 Operations'!$C$2:$C$534&amp;"-"&amp;'S12 Operations'!$E$2:$E$534, 'S12 Operations'!$D$2:$D$534), 2, 0), "")</f>
        <v/>
      </c>
      <c r="K13" s="122" t="str">
        <f t="array" ref="K13">IFERROR(VLOOKUP($A13&amp;"-"&amp;K$2, CHOOSE({1,2}, 'S12 Operations'!$C$2:$C$534&amp;"-"&amp;'S12 Operations'!$E$2:$E$534, 'S12 Operations'!$D$2:$D$534), 2, 0), "")</f>
        <v/>
      </c>
      <c r="L13" s="122">
        <f t="array" ref="L13">IFERROR(VLOOKUP($A13&amp;"-"&amp;L$2, CHOOSE({1,2}, 'S12 Operations'!$C$2:$C$534&amp;"-"&amp;'S12 Operations'!$E$2:$E$534, 'S12 Operations'!$D$2:$D$534), 2, 0), "")</f>
        <v>40</v>
      </c>
      <c r="M13" s="122" t="str">
        <f t="array" ref="M13">IFERROR(VLOOKUP($A13&amp;"-"&amp;M$2, CHOOSE({1,2}, 'S12 Operations'!$C$2:$C$534&amp;"-"&amp;'S12 Operations'!$E$2:$E$534, 'S12 Operations'!$D$2:$D$534), 2, 0), "")</f>
        <v/>
      </c>
      <c r="N13" s="122" t="str">
        <f t="array" ref="N13">IFERROR(VLOOKUP($A13&amp;"-"&amp;N$2, CHOOSE({1,2}, 'S12 Operations'!$C$2:$C$534&amp;"-"&amp;'S12 Operations'!$E$2:$E$534, 'S12 Operations'!$D$2:$D$534), 2, 0), "")</f>
        <v/>
      </c>
      <c r="O13" s="122" t="str">
        <f t="array" ref="O13">IFERROR(VLOOKUP($A13&amp;"-"&amp;O$2, CHOOSE({1,2}, 'S12 Operations'!$C$2:$C$534&amp;"-"&amp;'S12 Operations'!$E$2:$E$534, 'S12 Operations'!$D$2:$D$534), 2, 0), "")</f>
        <v/>
      </c>
      <c r="P13" s="125">
        <f t="array" ref="P13">IFERROR(VLOOKUP($A13&amp;"-"&amp;P$2, CHOOSE({1,2}, 'S12 Operations'!$C$2:$C$534&amp;"-"&amp;'S12 Operations'!$E$2:$E$534, 'S12 Operations'!$D$2:$D$534), 2, 0), "")</f>
        <v>50</v>
      </c>
      <c r="Q13" s="60" t="str">
        <f t="array" ref="Q13">IFERROR(VLOOKUP($A13&amp;"-"&amp;Q$2, CHOOSE({1,2}, 'S12 Operations'!$C$2:$C$534&amp;"-"&amp;'S12 Operations'!$E$2:$E$534, 'S12 Operations'!$D$2:$D$534), 2, 0), "")</f>
        <v/>
      </c>
      <c r="R13" s="4" t="str">
        <f t="array" ref="R13">IFERROR(VLOOKUP($A13&amp;"-"&amp;R$2, CHOOSE({1,2}, 'S12 Operations'!$C$2:$C$534&amp;"-"&amp;'S12 Operations'!$E$2:$E$534, 'S12 Operations'!$D$2:$D$534), 2, 0), "")</f>
        <v/>
      </c>
      <c r="S13" s="4" t="str">
        <f t="array" ref="S13">IFERROR(VLOOKUP($A13&amp;"-"&amp;S$2, CHOOSE({1,2}, 'S12 Operations'!$C$2:$C$534&amp;"-"&amp;'S12 Operations'!$E$2:$E$534, 'S12 Operations'!$D$2:$D$534), 2, 0), "")</f>
        <v/>
      </c>
      <c r="T13" s="61" t="str">
        <f t="array" ref="T13">IFERROR(VLOOKUP($A13&amp;"-"&amp;T$2, CHOOSE({1,2}, 'S12 Operations'!$C$2:$C$534&amp;"-"&amp;'S12 Operations'!$E$2:$E$534, 'S12 Operations'!$D$2:$D$534), 2, 0), "")</f>
        <v/>
      </c>
      <c r="U13" s="124" t="str">
        <f t="array" ref="U13">IFERROR(VLOOKUP($A13&amp;"-"&amp;U$2, CHOOSE({1,2}, 'S12 Operations'!$C$2:$C$534&amp;"-"&amp;'S12 Operations'!$E$2:$E$534, 'S12 Operations'!$D$2:$D$534), 2, 0), "")</f>
        <v/>
      </c>
      <c r="V13" s="125">
        <f t="array" ref="V13">IFERROR(VLOOKUP($A13&amp;"-"&amp;V$2, CHOOSE({1,2}, 'S12 Operations'!$C$2:$C$534&amp;"-"&amp;'S12 Operations'!$E$2:$E$534, 'S12 Operations'!$D$2:$D$534), 2, 0), "")</f>
        <v>60</v>
      </c>
      <c r="W13" s="60" t="str">
        <f t="array" ref="W13">IFERROR(VLOOKUP($A13&amp;"-"&amp;W$2, CHOOSE({1,2}, 'S12 Operations'!$C$2:$C$534&amp;"-"&amp;'S12 Operations'!$E$2:$E$534, 'S12 Operations'!$D$2:$D$534), 2, 0), "")</f>
        <v/>
      </c>
      <c r="X13" s="4">
        <f t="array" ref="X13">IFERROR(VLOOKUP($A13&amp;"-"&amp;X$2, CHOOSE({1,2}, 'S12 Operations'!$C$2:$C$534&amp;"-"&amp;'S12 Operations'!$E$2:$E$534, 'S12 Operations'!$D$2:$D$534), 2, 0), "")</f>
        <v>70</v>
      </c>
      <c r="Y13" s="61" t="str">
        <f t="array" ref="Y13">IFERROR(VLOOKUP($A13&amp;"-"&amp;Y$2, CHOOSE({1,2}, 'S12 Operations'!$C$2:$C$534&amp;"-"&amp;'S12 Operations'!$E$2:$E$534, 'S12 Operations'!$D$2:$D$534), 2, 0), "")</f>
        <v/>
      </c>
      <c r="Z13" s="129" t="str">
        <f t="array" ref="Z13">IFERROR(VLOOKUP($A13&amp;"-"&amp;Z$2, CHOOSE({1,2}, 'S12 Operations'!$C$2:$C$534&amp;"-"&amp;'S12 Operations'!$E$2:$E$534, 'S12 Operations'!$D$2:$D$534), 2, 0), "")</f>
        <v/>
      </c>
      <c r="AA13" s="59">
        <f t="array" ref="AA13">IFERROR(VLOOKUP($A13&amp;"-"&amp;AA$2, CHOOSE({1,2}, 'S12 Operations'!$C$2:$C$534&amp;"-"&amp;'S12 Operations'!$E$2:$E$534, 'S12 Operations'!$D$2:$D$534), 2, 0), "")</f>
        <v>80</v>
      </c>
    </row>
    <row r="14" spans="1:27" ht="18" thickBot="1">
      <c r="A14" s="121" t="str">
        <f>'S08 ABC Output'!A3</f>
        <v>I-010</v>
      </c>
      <c r="B14" s="62">
        <f t="array" ref="B14">IFERROR(VLOOKUP($A14&amp;"-"&amp;B$2, CHOOSE({1,2}, 'S12 Operations'!$C$2:$C$534&amp;"-"&amp;'S12 Operations'!$E$2:$E$534, 'S12 Operations'!$D$2:$D$534), 2, 0), "")</f>
        <v>10</v>
      </c>
      <c r="C14" s="126" t="str">
        <f t="array" ref="C14">IFERROR(VLOOKUP($A14&amp;"-"&amp;C$2, CHOOSE({1,2}, 'S12 Operations'!$C$2:$C$534&amp;"-"&amp;'S12 Operations'!$E$2:$E$534, 'S12 Operations'!$D$2:$D$534), 2, 0), "")</f>
        <v/>
      </c>
      <c r="D14" s="127" t="str">
        <f t="array" ref="D14">IFERROR(VLOOKUP($A14&amp;"-"&amp;D$2, CHOOSE({1,2}, 'S12 Operations'!$C$2:$C$534&amp;"-"&amp;'S12 Operations'!$E$2:$E$534, 'S12 Operations'!$D$2:$D$534), 2, 0), "")</f>
        <v/>
      </c>
      <c r="E14" s="128">
        <f t="array" ref="E14">IFERROR(VLOOKUP($A14&amp;"-"&amp;E$2, CHOOSE({1,2}, 'S12 Operations'!$C$2:$C$534&amp;"-"&amp;'S12 Operations'!$E$2:$E$534, 'S12 Operations'!$D$2:$D$534), 2, 0), "")</f>
        <v>20</v>
      </c>
      <c r="F14" s="63">
        <f t="array" ref="F14">IFERROR(VLOOKUP($A14&amp;"-"&amp;F$2, CHOOSE({1,2}, 'S12 Operations'!$C$2:$C$534&amp;"-"&amp;'S12 Operations'!$E$2:$E$534, 'S12 Operations'!$D$2:$D$534), 2, 0), "")</f>
        <v>30</v>
      </c>
      <c r="G14" s="64" t="str">
        <f t="array" ref="G14">IFERROR(VLOOKUP($A14&amp;"-"&amp;G$2, CHOOSE({1,2}, 'S12 Operations'!$C$2:$C$534&amp;"-"&amp;'S12 Operations'!$E$2:$E$534, 'S12 Operations'!$D$2:$D$534), 2, 0), "")</f>
        <v/>
      </c>
      <c r="H14" s="65" t="str">
        <f t="array" ref="H14">IFERROR(VLOOKUP($A14&amp;"-"&amp;H$2, CHOOSE({1,2}, 'S12 Operations'!$C$2:$C$534&amp;"-"&amp;'S12 Operations'!$E$2:$E$534, 'S12 Operations'!$D$2:$D$534), 2, 0), "")</f>
        <v/>
      </c>
      <c r="I14" s="126" t="str">
        <f t="array" ref="I14">IFERROR(VLOOKUP($A14&amp;"-"&amp;I$2, CHOOSE({1,2}, 'S12 Operations'!$C$2:$C$534&amp;"-"&amp;'S12 Operations'!$E$2:$E$534, 'S12 Operations'!$D$2:$D$534), 2, 0), "")</f>
        <v/>
      </c>
      <c r="J14" s="127" t="str">
        <f t="array" ref="J14">IFERROR(VLOOKUP($A14&amp;"-"&amp;J$2, CHOOSE({1,2}, 'S12 Operations'!$C$2:$C$534&amp;"-"&amp;'S12 Operations'!$E$2:$E$534, 'S12 Operations'!$D$2:$D$534), 2, 0), "")</f>
        <v/>
      </c>
      <c r="K14" s="127" t="str">
        <f t="array" ref="K14">IFERROR(VLOOKUP($A14&amp;"-"&amp;K$2, CHOOSE({1,2}, 'S12 Operations'!$C$2:$C$534&amp;"-"&amp;'S12 Operations'!$E$2:$E$534, 'S12 Operations'!$D$2:$D$534), 2, 0), "")</f>
        <v/>
      </c>
      <c r="L14" s="127">
        <f t="array" ref="L14">IFERROR(VLOOKUP($A14&amp;"-"&amp;L$2, CHOOSE({1,2}, 'S12 Operations'!$C$2:$C$534&amp;"-"&amp;'S12 Operations'!$E$2:$E$534, 'S12 Operations'!$D$2:$D$534), 2, 0), "")</f>
        <v>40</v>
      </c>
      <c r="M14" s="127" t="str">
        <f t="array" ref="M14">IFERROR(VLOOKUP($A14&amp;"-"&amp;M$2, CHOOSE({1,2}, 'S12 Operations'!$C$2:$C$534&amp;"-"&amp;'S12 Operations'!$E$2:$E$534, 'S12 Operations'!$D$2:$D$534), 2, 0), "")</f>
        <v/>
      </c>
      <c r="N14" s="127" t="str">
        <f t="array" ref="N14">IFERROR(VLOOKUP($A14&amp;"-"&amp;N$2, CHOOSE({1,2}, 'S12 Operations'!$C$2:$C$534&amp;"-"&amp;'S12 Operations'!$E$2:$E$534, 'S12 Operations'!$D$2:$D$534), 2, 0), "")</f>
        <v/>
      </c>
      <c r="O14" s="127" t="str">
        <f t="array" ref="O14">IFERROR(VLOOKUP($A14&amp;"-"&amp;O$2, CHOOSE({1,2}, 'S12 Operations'!$C$2:$C$534&amp;"-"&amp;'S12 Operations'!$E$2:$E$534, 'S12 Operations'!$D$2:$D$534), 2, 0), "")</f>
        <v/>
      </c>
      <c r="P14" s="128">
        <f t="array" ref="P14">IFERROR(VLOOKUP($A14&amp;"-"&amp;P$2, CHOOSE({1,2}, 'S12 Operations'!$C$2:$C$534&amp;"-"&amp;'S12 Operations'!$E$2:$E$534, 'S12 Operations'!$D$2:$D$534), 2, 0), "")</f>
        <v>50</v>
      </c>
      <c r="Q14" s="63" t="str">
        <f t="array" ref="Q14">IFERROR(VLOOKUP($A14&amp;"-"&amp;Q$2, CHOOSE({1,2}, 'S12 Operations'!$C$2:$C$534&amp;"-"&amp;'S12 Operations'!$E$2:$E$534, 'S12 Operations'!$D$2:$D$534), 2, 0), "")</f>
        <v/>
      </c>
      <c r="R14" s="64" t="str">
        <f t="array" ref="R14">IFERROR(VLOOKUP($A14&amp;"-"&amp;R$2, CHOOSE({1,2}, 'S12 Operations'!$C$2:$C$534&amp;"-"&amp;'S12 Operations'!$E$2:$E$534, 'S12 Operations'!$D$2:$D$534), 2, 0), "")</f>
        <v/>
      </c>
      <c r="S14" s="64" t="str">
        <f t="array" ref="S14">IFERROR(VLOOKUP($A14&amp;"-"&amp;S$2, CHOOSE({1,2}, 'S12 Operations'!$C$2:$C$534&amp;"-"&amp;'S12 Operations'!$E$2:$E$534, 'S12 Operations'!$D$2:$D$534), 2, 0), "")</f>
        <v/>
      </c>
      <c r="T14" s="65" t="str">
        <f t="array" ref="T14">IFERROR(VLOOKUP($A14&amp;"-"&amp;T$2, CHOOSE({1,2}, 'S12 Operations'!$C$2:$C$534&amp;"-"&amp;'S12 Operations'!$E$2:$E$534, 'S12 Operations'!$D$2:$D$534), 2, 0), "")</f>
        <v/>
      </c>
      <c r="U14" s="126" t="str">
        <f t="array" ref="U14">IFERROR(VLOOKUP($A14&amp;"-"&amp;U$2, CHOOSE({1,2}, 'S12 Operations'!$C$2:$C$534&amp;"-"&amp;'S12 Operations'!$E$2:$E$534, 'S12 Operations'!$D$2:$D$534), 2, 0), "")</f>
        <v/>
      </c>
      <c r="V14" s="128">
        <f t="array" ref="V14">IFERROR(VLOOKUP($A14&amp;"-"&amp;V$2, CHOOSE({1,2}, 'S12 Operations'!$C$2:$C$534&amp;"-"&amp;'S12 Operations'!$E$2:$E$534, 'S12 Operations'!$D$2:$D$534), 2, 0), "")</f>
        <v>60</v>
      </c>
      <c r="W14" s="63" t="str">
        <f t="array" ref="W14">IFERROR(VLOOKUP($A14&amp;"-"&amp;W$2, CHOOSE({1,2}, 'S12 Operations'!$C$2:$C$534&amp;"-"&amp;'S12 Operations'!$E$2:$E$534, 'S12 Operations'!$D$2:$D$534), 2, 0), "")</f>
        <v/>
      </c>
      <c r="X14" s="64">
        <f t="array" ref="X14">IFERROR(VLOOKUP($A14&amp;"-"&amp;X$2, CHOOSE({1,2}, 'S12 Operations'!$C$2:$C$534&amp;"-"&amp;'S12 Operations'!$E$2:$E$534, 'S12 Operations'!$D$2:$D$534), 2, 0), "")</f>
        <v>70</v>
      </c>
      <c r="Y14" s="65" t="str">
        <f t="array" ref="Y14">IFERROR(VLOOKUP($A14&amp;"-"&amp;Y$2, CHOOSE({1,2}, 'S12 Operations'!$C$2:$C$534&amp;"-"&amp;'S12 Operations'!$E$2:$E$534, 'S12 Operations'!$D$2:$D$534), 2, 0), "")</f>
        <v/>
      </c>
      <c r="Z14" s="130" t="str">
        <f t="array" ref="Z14">IFERROR(VLOOKUP($A14&amp;"-"&amp;Z$2, CHOOSE({1,2}, 'S12 Operations'!$C$2:$C$534&amp;"-"&amp;'S12 Operations'!$E$2:$E$534, 'S12 Operations'!$D$2:$D$534), 2, 0), "")</f>
        <v/>
      </c>
      <c r="AA14" s="62">
        <f t="array" ref="AA14">IFERROR(VLOOKUP($A14&amp;"-"&amp;AA$2, CHOOSE({1,2}, 'S12 Operations'!$C$2:$C$534&amp;"-"&amp;'S12 Operations'!$E$2:$E$534, 'S12 Operations'!$D$2:$D$534), 2, 0), "")</f>
        <v>80</v>
      </c>
    </row>
    <row r="15" spans="1:27" ht="17">
      <c r="A15" s="142" t="str">
        <f>'S08 ABC Output'!A10</f>
        <v>I-012</v>
      </c>
      <c r="B15" s="119">
        <f t="array" ref="B15">IFERROR(VLOOKUP($A15&amp;"-"&amp;B$2, CHOOSE({1,2}, 'S12 Operations'!$C$2:$C$534&amp;"-"&amp;'S12 Operations'!$E$2:$E$534, 'S12 Operations'!$D$2:$D$534), 2, 0), "")</f>
        <v>10</v>
      </c>
      <c r="C15" s="131" t="str">
        <f t="array" ref="C15">IFERROR(VLOOKUP($A15&amp;"-"&amp;C$2, CHOOSE({1,2}, 'S12 Operations'!$C$2:$C$534&amp;"-"&amp;'S12 Operations'!$E$2:$E$534, 'S12 Operations'!$D$2:$D$534), 2, 0), "")</f>
        <v/>
      </c>
      <c r="D15" s="132" t="str">
        <f t="array" ref="D15">IFERROR(VLOOKUP($A15&amp;"-"&amp;D$2, CHOOSE({1,2}, 'S12 Operations'!$C$2:$C$534&amp;"-"&amp;'S12 Operations'!$E$2:$E$534, 'S12 Operations'!$D$2:$D$534), 2, 0), "")</f>
        <v/>
      </c>
      <c r="E15" s="133">
        <f t="array" ref="E15">IFERROR(VLOOKUP($A15&amp;"-"&amp;E$2, CHOOSE({1,2}, 'S12 Operations'!$C$2:$C$534&amp;"-"&amp;'S12 Operations'!$E$2:$E$534, 'S12 Operations'!$D$2:$D$534), 2, 0), "")</f>
        <v>20</v>
      </c>
      <c r="F15" s="134" t="str">
        <f t="array" ref="F15">IFERROR(VLOOKUP($A15&amp;"-"&amp;F$2, CHOOSE({1,2}, 'S12 Operations'!$C$2:$C$534&amp;"-"&amp;'S12 Operations'!$E$2:$E$534, 'S12 Operations'!$D$2:$D$534), 2, 0), "")</f>
        <v/>
      </c>
      <c r="G15" s="135" t="str">
        <f t="array" ref="G15">IFERROR(VLOOKUP($A15&amp;"-"&amp;G$2, CHOOSE({1,2}, 'S12 Operations'!$C$2:$C$534&amp;"-"&amp;'S12 Operations'!$E$2:$E$534, 'S12 Operations'!$D$2:$D$534), 2, 0), "")</f>
        <v/>
      </c>
      <c r="H15" s="136">
        <f t="array" ref="H15">IFERROR(VLOOKUP($A15&amp;"-"&amp;H$2, CHOOSE({1,2}, 'S12 Operations'!$C$2:$C$534&amp;"-"&amp;'S12 Operations'!$E$2:$E$534, 'S12 Operations'!$D$2:$D$534), 2, 0), "")</f>
        <v>30</v>
      </c>
      <c r="I15" s="131" t="str">
        <f t="array" ref="I15">IFERROR(VLOOKUP($A15&amp;"-"&amp;I$2, CHOOSE({1,2}, 'S12 Operations'!$C$2:$C$534&amp;"-"&amp;'S12 Operations'!$E$2:$E$534, 'S12 Operations'!$D$2:$D$534), 2, 0), "")</f>
        <v/>
      </c>
      <c r="J15" s="132" t="str">
        <f t="array" ref="J15">IFERROR(VLOOKUP($A15&amp;"-"&amp;J$2, CHOOSE({1,2}, 'S12 Operations'!$C$2:$C$534&amp;"-"&amp;'S12 Operations'!$E$2:$E$534, 'S12 Operations'!$D$2:$D$534), 2, 0), "")</f>
        <v/>
      </c>
      <c r="K15" s="132">
        <f t="array" ref="K15">IFERROR(VLOOKUP($A15&amp;"-"&amp;K$2, CHOOSE({1,2}, 'S12 Operations'!$C$2:$C$534&amp;"-"&amp;'S12 Operations'!$E$2:$E$534, 'S12 Operations'!$D$2:$D$534), 2, 0), "")</f>
        <v>40</v>
      </c>
      <c r="L15" s="132" t="str">
        <f t="array" ref="L15">IFERROR(VLOOKUP($A15&amp;"-"&amp;L$2, CHOOSE({1,2}, 'S12 Operations'!$C$2:$C$534&amp;"-"&amp;'S12 Operations'!$E$2:$E$534, 'S12 Operations'!$D$2:$D$534), 2, 0), "")</f>
        <v/>
      </c>
      <c r="M15" s="132">
        <f t="array" ref="M15">IFERROR(VLOOKUP($A15&amp;"-"&amp;M$2, CHOOSE({1,2}, 'S12 Operations'!$C$2:$C$534&amp;"-"&amp;'S12 Operations'!$E$2:$E$534, 'S12 Operations'!$D$2:$D$534), 2, 0), "")</f>
        <v>50</v>
      </c>
      <c r="N15" s="132" t="str">
        <f t="array" ref="N15">IFERROR(VLOOKUP($A15&amp;"-"&amp;N$2, CHOOSE({1,2}, 'S12 Operations'!$C$2:$C$534&amp;"-"&amp;'S12 Operations'!$E$2:$E$534, 'S12 Operations'!$D$2:$D$534), 2, 0), "")</f>
        <v/>
      </c>
      <c r="O15" s="132" t="str">
        <f t="array" ref="O15">IFERROR(VLOOKUP($A15&amp;"-"&amp;O$2, CHOOSE({1,2}, 'S12 Operations'!$C$2:$C$534&amp;"-"&amp;'S12 Operations'!$E$2:$E$534, 'S12 Operations'!$D$2:$D$534), 2, 0), "")</f>
        <v/>
      </c>
      <c r="P15" s="133" t="str">
        <f t="array" ref="P15">IFERROR(VLOOKUP($A15&amp;"-"&amp;P$2, CHOOSE({1,2}, 'S12 Operations'!$C$2:$C$534&amp;"-"&amp;'S12 Operations'!$E$2:$E$534, 'S12 Operations'!$D$2:$D$534), 2, 0), "")</f>
        <v/>
      </c>
      <c r="Q15" s="134" t="str">
        <f t="array" ref="Q15">IFERROR(VLOOKUP($A15&amp;"-"&amp;Q$2, CHOOSE({1,2}, 'S12 Operations'!$C$2:$C$534&amp;"-"&amp;'S12 Operations'!$E$2:$E$534, 'S12 Operations'!$D$2:$D$534), 2, 0), "")</f>
        <v/>
      </c>
      <c r="R15" s="135">
        <f t="array" ref="R15">IFERROR(VLOOKUP($A15&amp;"-"&amp;R$2, CHOOSE({1,2}, 'S12 Operations'!$C$2:$C$534&amp;"-"&amp;'S12 Operations'!$E$2:$E$534, 'S12 Operations'!$D$2:$D$534), 2, 0), "")</f>
        <v>60</v>
      </c>
      <c r="S15" s="135" t="str">
        <f t="array" ref="S15">IFERROR(VLOOKUP($A15&amp;"-"&amp;S$2, CHOOSE({1,2}, 'S12 Operations'!$C$2:$C$534&amp;"-"&amp;'S12 Operations'!$E$2:$E$534, 'S12 Operations'!$D$2:$D$534), 2, 0), "")</f>
        <v/>
      </c>
      <c r="T15" s="136" t="str">
        <f t="array" ref="T15">IFERROR(VLOOKUP($A15&amp;"-"&amp;T$2, CHOOSE({1,2}, 'S12 Operations'!$C$2:$C$534&amp;"-"&amp;'S12 Operations'!$E$2:$E$534, 'S12 Operations'!$D$2:$D$534), 2, 0), "")</f>
        <v/>
      </c>
      <c r="U15" s="131" t="str">
        <f t="array" ref="U15">IFERROR(VLOOKUP($A15&amp;"-"&amp;U$2, CHOOSE({1,2}, 'S12 Operations'!$C$2:$C$534&amp;"-"&amp;'S12 Operations'!$E$2:$E$534, 'S12 Operations'!$D$2:$D$534), 2, 0), "")</f>
        <v/>
      </c>
      <c r="V15" s="133" t="str">
        <f t="array" ref="V15">IFERROR(VLOOKUP($A15&amp;"-"&amp;V$2, CHOOSE({1,2}, 'S12 Operations'!$C$2:$C$534&amp;"-"&amp;'S12 Operations'!$E$2:$E$534, 'S12 Operations'!$D$2:$D$534), 2, 0), "")</f>
        <v/>
      </c>
      <c r="W15" s="134">
        <f t="array" ref="W15">IFERROR(VLOOKUP($A15&amp;"-"&amp;W$2, CHOOSE({1,2}, 'S12 Operations'!$C$2:$C$534&amp;"-"&amp;'S12 Operations'!$E$2:$E$534, 'S12 Operations'!$D$2:$D$534), 2, 0), "")</f>
        <v>70</v>
      </c>
      <c r="X15" s="135" t="str">
        <f t="array" ref="X15">IFERROR(VLOOKUP($A15&amp;"-"&amp;X$2, CHOOSE({1,2}, 'S12 Operations'!$C$2:$C$534&amp;"-"&amp;'S12 Operations'!$E$2:$E$534, 'S12 Operations'!$D$2:$D$534), 2, 0), "")</f>
        <v/>
      </c>
      <c r="Y15" s="136" t="str">
        <f t="array" ref="Y15">IFERROR(VLOOKUP($A15&amp;"-"&amp;Y$2, CHOOSE({1,2}, 'S12 Operations'!$C$2:$C$534&amp;"-"&amp;'S12 Operations'!$E$2:$E$534, 'S12 Operations'!$D$2:$D$534), 2, 0), "")</f>
        <v/>
      </c>
      <c r="Z15" s="120" t="str">
        <f t="array" ref="Z15">IFERROR(VLOOKUP($A15&amp;"-"&amp;Z$2, CHOOSE({1,2}, 'S12 Operations'!$C$2:$C$534&amp;"-"&amp;'S12 Operations'!$E$2:$E$534, 'S12 Operations'!$D$2:$D$534), 2, 0), "")</f>
        <v/>
      </c>
      <c r="AA15" s="119">
        <f t="array" ref="AA15">IFERROR(VLOOKUP($A15&amp;"-"&amp;AA$2, CHOOSE({1,2}, 'S12 Operations'!$C$2:$C$534&amp;"-"&amp;'S12 Operations'!$E$2:$E$534, 'S12 Operations'!$D$2:$D$534), 2, 0), "")</f>
        <v>80</v>
      </c>
    </row>
    <row r="16" spans="1:27" ht="18" thickBot="1">
      <c r="A16" s="121" t="str">
        <f>'S08 ABC Output'!A7</f>
        <v>I-052</v>
      </c>
      <c r="B16" s="62">
        <f t="array" ref="B16">IFERROR(VLOOKUP($A16&amp;"-"&amp;B$2, CHOOSE({1,2}, 'S12 Operations'!$C$2:$C$534&amp;"-"&amp;'S12 Operations'!$E$2:$E$534, 'S12 Operations'!$D$2:$D$534), 2, 0), "")</f>
        <v>10</v>
      </c>
      <c r="C16" s="126" t="str">
        <f t="array" ref="C16">IFERROR(VLOOKUP($A16&amp;"-"&amp;C$2, CHOOSE({1,2}, 'S12 Operations'!$C$2:$C$534&amp;"-"&amp;'S12 Operations'!$E$2:$E$534, 'S12 Operations'!$D$2:$D$534), 2, 0), "")</f>
        <v/>
      </c>
      <c r="D16" s="127" t="str">
        <f t="array" ref="D16">IFERROR(VLOOKUP($A16&amp;"-"&amp;D$2, CHOOSE({1,2}, 'S12 Operations'!$C$2:$C$534&amp;"-"&amp;'S12 Operations'!$E$2:$E$534, 'S12 Operations'!$D$2:$D$534), 2, 0), "")</f>
        <v/>
      </c>
      <c r="E16" s="128">
        <f t="array" ref="E16">IFERROR(VLOOKUP($A16&amp;"-"&amp;E$2, CHOOSE({1,2}, 'S12 Operations'!$C$2:$C$534&amp;"-"&amp;'S12 Operations'!$E$2:$E$534, 'S12 Operations'!$D$2:$D$534), 2, 0), "")</f>
        <v>20</v>
      </c>
      <c r="F16" s="63" t="str">
        <f t="array" ref="F16">IFERROR(VLOOKUP($A16&amp;"-"&amp;F$2, CHOOSE({1,2}, 'S12 Operations'!$C$2:$C$534&amp;"-"&amp;'S12 Operations'!$E$2:$E$534, 'S12 Operations'!$D$2:$D$534), 2, 0), "")</f>
        <v/>
      </c>
      <c r="G16" s="64" t="str">
        <f t="array" ref="G16">IFERROR(VLOOKUP($A16&amp;"-"&amp;G$2, CHOOSE({1,2}, 'S12 Operations'!$C$2:$C$534&amp;"-"&amp;'S12 Operations'!$E$2:$E$534, 'S12 Operations'!$D$2:$D$534), 2, 0), "")</f>
        <v/>
      </c>
      <c r="H16" s="65">
        <f t="array" ref="H16">IFERROR(VLOOKUP($A16&amp;"-"&amp;H$2, CHOOSE({1,2}, 'S12 Operations'!$C$2:$C$534&amp;"-"&amp;'S12 Operations'!$E$2:$E$534, 'S12 Operations'!$D$2:$D$534), 2, 0), "")</f>
        <v>30</v>
      </c>
      <c r="I16" s="126" t="str">
        <f t="array" ref="I16">IFERROR(VLOOKUP($A16&amp;"-"&amp;I$2, CHOOSE({1,2}, 'S12 Operations'!$C$2:$C$534&amp;"-"&amp;'S12 Operations'!$E$2:$E$534, 'S12 Operations'!$D$2:$D$534), 2, 0), "")</f>
        <v/>
      </c>
      <c r="J16" s="127" t="str">
        <f t="array" ref="J16">IFERROR(VLOOKUP($A16&amp;"-"&amp;J$2, CHOOSE({1,2}, 'S12 Operations'!$C$2:$C$534&amp;"-"&amp;'S12 Operations'!$E$2:$E$534, 'S12 Operations'!$D$2:$D$534), 2, 0), "")</f>
        <v/>
      </c>
      <c r="K16" s="127">
        <f t="array" ref="K16">IFERROR(VLOOKUP($A16&amp;"-"&amp;K$2, CHOOSE({1,2}, 'S12 Operations'!$C$2:$C$534&amp;"-"&amp;'S12 Operations'!$E$2:$E$534, 'S12 Operations'!$D$2:$D$534), 2, 0), "")</f>
        <v>40</v>
      </c>
      <c r="L16" s="127" t="str">
        <f t="array" ref="L16">IFERROR(VLOOKUP($A16&amp;"-"&amp;L$2, CHOOSE({1,2}, 'S12 Operations'!$C$2:$C$534&amp;"-"&amp;'S12 Operations'!$E$2:$E$534, 'S12 Operations'!$D$2:$D$534), 2, 0), "")</f>
        <v/>
      </c>
      <c r="M16" s="127">
        <f t="array" ref="M16">IFERROR(VLOOKUP($A16&amp;"-"&amp;M$2, CHOOSE({1,2}, 'S12 Operations'!$C$2:$C$534&amp;"-"&amp;'S12 Operations'!$E$2:$E$534, 'S12 Operations'!$D$2:$D$534), 2, 0), "")</f>
        <v>50</v>
      </c>
      <c r="N16" s="127" t="str">
        <f t="array" ref="N16">IFERROR(VLOOKUP($A16&amp;"-"&amp;N$2, CHOOSE({1,2}, 'S12 Operations'!$C$2:$C$534&amp;"-"&amp;'S12 Operations'!$E$2:$E$534, 'S12 Operations'!$D$2:$D$534), 2, 0), "")</f>
        <v/>
      </c>
      <c r="O16" s="127" t="str">
        <f t="array" ref="O16">IFERROR(VLOOKUP($A16&amp;"-"&amp;O$2, CHOOSE({1,2}, 'S12 Operations'!$C$2:$C$534&amp;"-"&amp;'S12 Operations'!$E$2:$E$534, 'S12 Operations'!$D$2:$D$534), 2, 0), "")</f>
        <v/>
      </c>
      <c r="P16" s="128" t="str">
        <f t="array" ref="P16">IFERROR(VLOOKUP($A16&amp;"-"&amp;P$2, CHOOSE({1,2}, 'S12 Operations'!$C$2:$C$534&amp;"-"&amp;'S12 Operations'!$E$2:$E$534, 'S12 Operations'!$D$2:$D$534), 2, 0), "")</f>
        <v/>
      </c>
      <c r="Q16" s="63" t="str">
        <f t="array" ref="Q16">IFERROR(VLOOKUP($A16&amp;"-"&amp;Q$2, CHOOSE({1,2}, 'S12 Operations'!$C$2:$C$534&amp;"-"&amp;'S12 Operations'!$E$2:$E$534, 'S12 Operations'!$D$2:$D$534), 2, 0), "")</f>
        <v/>
      </c>
      <c r="R16" s="64">
        <f t="array" ref="R16">IFERROR(VLOOKUP($A16&amp;"-"&amp;R$2, CHOOSE({1,2}, 'S12 Operations'!$C$2:$C$534&amp;"-"&amp;'S12 Operations'!$E$2:$E$534, 'S12 Operations'!$D$2:$D$534), 2, 0), "")</f>
        <v>60</v>
      </c>
      <c r="S16" s="64" t="str">
        <f t="array" ref="S16">IFERROR(VLOOKUP($A16&amp;"-"&amp;S$2, CHOOSE({1,2}, 'S12 Operations'!$C$2:$C$534&amp;"-"&amp;'S12 Operations'!$E$2:$E$534, 'S12 Operations'!$D$2:$D$534), 2, 0), "")</f>
        <v/>
      </c>
      <c r="T16" s="65" t="str">
        <f t="array" ref="T16">IFERROR(VLOOKUP($A16&amp;"-"&amp;T$2, CHOOSE({1,2}, 'S12 Operations'!$C$2:$C$534&amp;"-"&amp;'S12 Operations'!$E$2:$E$534, 'S12 Operations'!$D$2:$D$534), 2, 0), "")</f>
        <v/>
      </c>
      <c r="U16" s="126" t="str">
        <f t="array" ref="U16">IFERROR(VLOOKUP($A16&amp;"-"&amp;U$2, CHOOSE({1,2}, 'S12 Operations'!$C$2:$C$534&amp;"-"&amp;'S12 Operations'!$E$2:$E$534, 'S12 Operations'!$D$2:$D$534), 2, 0), "")</f>
        <v/>
      </c>
      <c r="V16" s="128" t="str">
        <f t="array" ref="V16">IFERROR(VLOOKUP($A16&amp;"-"&amp;V$2, CHOOSE({1,2}, 'S12 Operations'!$C$2:$C$534&amp;"-"&amp;'S12 Operations'!$E$2:$E$534, 'S12 Operations'!$D$2:$D$534), 2, 0), "")</f>
        <v/>
      </c>
      <c r="W16" s="63">
        <f t="array" ref="W16">IFERROR(VLOOKUP($A16&amp;"-"&amp;W$2, CHOOSE({1,2}, 'S12 Operations'!$C$2:$C$534&amp;"-"&amp;'S12 Operations'!$E$2:$E$534, 'S12 Operations'!$D$2:$D$534), 2, 0), "")</f>
        <v>70</v>
      </c>
      <c r="X16" s="64" t="str">
        <f t="array" ref="X16">IFERROR(VLOOKUP($A16&amp;"-"&amp;X$2, CHOOSE({1,2}, 'S12 Operations'!$C$2:$C$534&amp;"-"&amp;'S12 Operations'!$E$2:$E$534, 'S12 Operations'!$D$2:$D$534), 2, 0), "")</f>
        <v/>
      </c>
      <c r="Y16" s="65" t="str">
        <f t="array" ref="Y16">IFERROR(VLOOKUP($A16&amp;"-"&amp;Y$2, CHOOSE({1,2}, 'S12 Operations'!$C$2:$C$534&amp;"-"&amp;'S12 Operations'!$E$2:$E$534, 'S12 Operations'!$D$2:$D$534), 2, 0), "")</f>
        <v/>
      </c>
      <c r="Z16" s="130" t="str">
        <f t="array" ref="Z16">IFERROR(VLOOKUP($A16&amp;"-"&amp;Z$2, CHOOSE({1,2}, 'S12 Operations'!$C$2:$C$534&amp;"-"&amp;'S12 Operations'!$E$2:$E$534, 'S12 Operations'!$D$2:$D$534), 2, 0), "")</f>
        <v/>
      </c>
      <c r="AA16" s="62">
        <f t="array" ref="AA16">IFERROR(VLOOKUP($A16&amp;"-"&amp;AA$2, CHOOSE({1,2}, 'S12 Operations'!$C$2:$C$534&amp;"-"&amp;'S12 Operations'!$E$2:$E$534, 'S12 Operations'!$D$2:$D$534), 2, 0), "")</f>
        <v>80</v>
      </c>
    </row>
    <row r="17" spans="1:27" ht="17">
      <c r="A17" s="142" t="str">
        <f>'S08 ABC Output'!A9</f>
        <v>I-053</v>
      </c>
      <c r="B17" s="119">
        <f t="array" ref="B17">IFERROR(VLOOKUP($A17&amp;"-"&amp;B$2, CHOOSE({1,2}, 'S12 Operations'!$C$2:$C$534&amp;"-"&amp;'S12 Operations'!$E$2:$E$534, 'S12 Operations'!$D$2:$D$534), 2, 0), "")</f>
        <v>10</v>
      </c>
      <c r="C17" s="131" t="str">
        <f t="array" ref="C17">IFERROR(VLOOKUP($A17&amp;"-"&amp;C$2, CHOOSE({1,2}, 'S12 Operations'!$C$2:$C$534&amp;"-"&amp;'S12 Operations'!$E$2:$E$534, 'S12 Operations'!$D$2:$D$534), 2, 0), "")</f>
        <v/>
      </c>
      <c r="D17" s="132" t="str">
        <f t="array" ref="D17">IFERROR(VLOOKUP($A17&amp;"-"&amp;D$2, CHOOSE({1,2}, 'S12 Operations'!$C$2:$C$534&amp;"-"&amp;'S12 Operations'!$E$2:$E$534, 'S12 Operations'!$D$2:$D$534), 2, 0), "")</f>
        <v/>
      </c>
      <c r="E17" s="133">
        <f t="array" ref="E17">IFERROR(VLOOKUP($A17&amp;"-"&amp;E$2, CHOOSE({1,2}, 'S12 Operations'!$C$2:$C$534&amp;"-"&amp;'S12 Operations'!$E$2:$E$534, 'S12 Operations'!$D$2:$D$534), 2, 0), "")</f>
        <v>20</v>
      </c>
      <c r="F17" s="134" t="str">
        <f t="array" ref="F17">IFERROR(VLOOKUP($A17&amp;"-"&amp;F$2, CHOOSE({1,2}, 'S12 Operations'!$C$2:$C$534&amp;"-"&amp;'S12 Operations'!$E$2:$E$534, 'S12 Operations'!$D$2:$D$534), 2, 0), "")</f>
        <v/>
      </c>
      <c r="G17" s="135">
        <f t="array" ref="G17">IFERROR(VLOOKUP($A17&amp;"-"&amp;G$2, CHOOSE({1,2}, 'S12 Operations'!$C$2:$C$534&amp;"-"&amp;'S12 Operations'!$E$2:$E$534, 'S12 Operations'!$D$2:$D$534), 2, 0), "")</f>
        <v>30</v>
      </c>
      <c r="H17" s="136" t="str">
        <f t="array" ref="H17">IFERROR(VLOOKUP($A17&amp;"-"&amp;H$2, CHOOSE({1,2}, 'S12 Operations'!$C$2:$C$534&amp;"-"&amp;'S12 Operations'!$E$2:$E$534, 'S12 Operations'!$D$2:$D$534), 2, 0), "")</f>
        <v/>
      </c>
      <c r="I17" s="131">
        <f t="array" ref="I17">IFERROR(VLOOKUP($A17&amp;"-"&amp;I$2, CHOOSE({1,2}, 'S12 Operations'!$C$2:$C$534&amp;"-"&amp;'S12 Operations'!$E$2:$E$534, 'S12 Operations'!$D$2:$D$534), 2, 0), "")</f>
        <v>40</v>
      </c>
      <c r="J17" s="132" t="str">
        <f t="array" ref="J17">IFERROR(VLOOKUP($A17&amp;"-"&amp;J$2, CHOOSE({1,2}, 'S12 Operations'!$C$2:$C$534&amp;"-"&amp;'S12 Operations'!$E$2:$E$534, 'S12 Operations'!$D$2:$D$534), 2, 0), "")</f>
        <v/>
      </c>
      <c r="K17" s="132" t="str">
        <f t="array" ref="K17">IFERROR(VLOOKUP($A17&amp;"-"&amp;K$2, CHOOSE({1,2}, 'S12 Operations'!$C$2:$C$534&amp;"-"&amp;'S12 Operations'!$E$2:$E$534, 'S12 Operations'!$D$2:$D$534), 2, 0), "")</f>
        <v/>
      </c>
      <c r="L17" s="132" t="str">
        <f t="array" ref="L17">IFERROR(VLOOKUP($A17&amp;"-"&amp;L$2, CHOOSE({1,2}, 'S12 Operations'!$C$2:$C$534&amp;"-"&amp;'S12 Operations'!$E$2:$E$534, 'S12 Operations'!$D$2:$D$534), 2, 0), "")</f>
        <v/>
      </c>
      <c r="M17" s="132" t="str">
        <f t="array" ref="M17">IFERROR(VLOOKUP($A17&amp;"-"&amp;M$2, CHOOSE({1,2}, 'S12 Operations'!$C$2:$C$534&amp;"-"&amp;'S12 Operations'!$E$2:$E$534, 'S12 Operations'!$D$2:$D$534), 2, 0), "")</f>
        <v/>
      </c>
      <c r="N17" s="132" t="str">
        <f t="array" ref="N17">IFERROR(VLOOKUP($A17&amp;"-"&amp;N$2, CHOOSE({1,2}, 'S12 Operations'!$C$2:$C$534&amp;"-"&amp;'S12 Operations'!$E$2:$E$534, 'S12 Operations'!$D$2:$D$534), 2, 0), "")</f>
        <v/>
      </c>
      <c r="O17" s="132">
        <f t="array" ref="O17">IFERROR(VLOOKUP($A17&amp;"-"&amp;O$2, CHOOSE({1,2}, 'S12 Operations'!$C$2:$C$534&amp;"-"&amp;'S12 Operations'!$E$2:$E$534, 'S12 Operations'!$D$2:$D$534), 2, 0), "")</f>
        <v>50</v>
      </c>
      <c r="P17" s="133" t="str">
        <f t="array" ref="P17">IFERROR(VLOOKUP($A17&amp;"-"&amp;P$2, CHOOSE({1,2}, 'S12 Operations'!$C$2:$C$534&amp;"-"&amp;'S12 Operations'!$E$2:$E$534, 'S12 Operations'!$D$2:$D$534), 2, 0), "")</f>
        <v/>
      </c>
      <c r="Q17" s="134" t="str">
        <f t="array" ref="Q17">IFERROR(VLOOKUP($A17&amp;"-"&amp;Q$2, CHOOSE({1,2}, 'S12 Operations'!$C$2:$C$534&amp;"-"&amp;'S12 Operations'!$E$2:$E$534, 'S12 Operations'!$D$2:$D$534), 2, 0), "")</f>
        <v/>
      </c>
      <c r="R17" s="135" t="str">
        <f t="array" ref="R17">IFERROR(VLOOKUP($A17&amp;"-"&amp;R$2, CHOOSE({1,2}, 'S12 Operations'!$C$2:$C$534&amp;"-"&amp;'S12 Operations'!$E$2:$E$534, 'S12 Operations'!$D$2:$D$534), 2, 0), "")</f>
        <v/>
      </c>
      <c r="S17" s="135" t="str">
        <f t="array" ref="S17">IFERROR(VLOOKUP($A17&amp;"-"&amp;S$2, CHOOSE({1,2}, 'S12 Operations'!$C$2:$C$534&amp;"-"&amp;'S12 Operations'!$E$2:$E$534, 'S12 Operations'!$D$2:$D$534), 2, 0), "")</f>
        <v/>
      </c>
      <c r="T17" s="136">
        <f t="array" ref="T17">IFERROR(VLOOKUP($A17&amp;"-"&amp;T$2, CHOOSE({1,2}, 'S12 Operations'!$C$2:$C$534&amp;"-"&amp;'S12 Operations'!$E$2:$E$534, 'S12 Operations'!$D$2:$D$534), 2, 0), "")</f>
        <v>60</v>
      </c>
      <c r="U17" s="131" t="str">
        <f t="array" ref="U17">IFERROR(VLOOKUP($A17&amp;"-"&amp;U$2, CHOOSE({1,2}, 'S12 Operations'!$C$2:$C$534&amp;"-"&amp;'S12 Operations'!$E$2:$E$534, 'S12 Operations'!$D$2:$D$534), 2, 0), "")</f>
        <v/>
      </c>
      <c r="V17" s="133" t="str">
        <f t="array" ref="V17">IFERROR(VLOOKUP($A17&amp;"-"&amp;V$2, CHOOSE({1,2}, 'S12 Operations'!$C$2:$C$534&amp;"-"&amp;'S12 Operations'!$E$2:$E$534, 'S12 Operations'!$D$2:$D$534), 2, 0), "")</f>
        <v/>
      </c>
      <c r="W17" s="134">
        <f t="array" ref="W17">IFERROR(VLOOKUP($A17&amp;"-"&amp;W$2, CHOOSE({1,2}, 'S12 Operations'!$C$2:$C$534&amp;"-"&amp;'S12 Operations'!$E$2:$E$534, 'S12 Operations'!$D$2:$D$534), 2, 0), "")</f>
        <v>70</v>
      </c>
      <c r="X17" s="135" t="str">
        <f t="array" ref="X17">IFERROR(VLOOKUP($A17&amp;"-"&amp;X$2, CHOOSE({1,2}, 'S12 Operations'!$C$2:$C$534&amp;"-"&amp;'S12 Operations'!$E$2:$E$534, 'S12 Operations'!$D$2:$D$534), 2, 0), "")</f>
        <v/>
      </c>
      <c r="Y17" s="136" t="str">
        <f t="array" ref="Y17">IFERROR(VLOOKUP($A17&amp;"-"&amp;Y$2, CHOOSE({1,2}, 'S12 Operations'!$C$2:$C$534&amp;"-"&amp;'S12 Operations'!$E$2:$E$534, 'S12 Operations'!$D$2:$D$534), 2, 0), "")</f>
        <v/>
      </c>
      <c r="Z17" s="120" t="str">
        <f t="array" ref="Z17">IFERROR(VLOOKUP($A17&amp;"-"&amp;Z$2, CHOOSE({1,2}, 'S12 Operations'!$C$2:$C$534&amp;"-"&amp;'S12 Operations'!$E$2:$E$534, 'S12 Operations'!$D$2:$D$534), 2, 0), "")</f>
        <v/>
      </c>
      <c r="AA17" s="119">
        <f t="array" ref="AA17">IFERROR(VLOOKUP($A17&amp;"-"&amp;AA$2, CHOOSE({1,2}, 'S12 Operations'!$C$2:$C$534&amp;"-"&amp;'S12 Operations'!$E$2:$E$534, 'S12 Operations'!$D$2:$D$534), 2, 0), "")</f>
        <v>80</v>
      </c>
    </row>
    <row r="18" spans="1:27" ht="18" thickBot="1">
      <c r="A18" s="121" t="str">
        <f>'S08 ABC Output'!A6</f>
        <v>I-064</v>
      </c>
      <c r="B18" s="62">
        <f t="array" ref="B18">IFERROR(VLOOKUP($A18&amp;"-"&amp;B$2, CHOOSE({1,2}, 'S12 Operations'!$C$2:$C$534&amp;"-"&amp;'S12 Operations'!$E$2:$E$534, 'S12 Operations'!$D$2:$D$534), 2, 0), "")</f>
        <v>10</v>
      </c>
      <c r="C18" s="126" t="str">
        <f t="array" ref="C18">IFERROR(VLOOKUP($A18&amp;"-"&amp;C$2, CHOOSE({1,2}, 'S12 Operations'!$C$2:$C$534&amp;"-"&amp;'S12 Operations'!$E$2:$E$534, 'S12 Operations'!$D$2:$D$534), 2, 0), "")</f>
        <v/>
      </c>
      <c r="D18" s="127" t="str">
        <f t="array" ref="D18">IFERROR(VLOOKUP($A18&amp;"-"&amp;D$2, CHOOSE({1,2}, 'S12 Operations'!$C$2:$C$534&amp;"-"&amp;'S12 Operations'!$E$2:$E$534, 'S12 Operations'!$D$2:$D$534), 2, 0), "")</f>
        <v/>
      </c>
      <c r="E18" s="128">
        <f t="array" ref="E18">IFERROR(VLOOKUP($A18&amp;"-"&amp;E$2, CHOOSE({1,2}, 'S12 Operations'!$C$2:$C$534&amp;"-"&amp;'S12 Operations'!$E$2:$E$534, 'S12 Operations'!$D$2:$D$534), 2, 0), "")</f>
        <v>20</v>
      </c>
      <c r="F18" s="63" t="str">
        <f t="array" ref="F18">IFERROR(VLOOKUP($A18&amp;"-"&amp;F$2, CHOOSE({1,2}, 'S12 Operations'!$C$2:$C$534&amp;"-"&amp;'S12 Operations'!$E$2:$E$534, 'S12 Operations'!$D$2:$D$534), 2, 0), "")</f>
        <v/>
      </c>
      <c r="G18" s="64">
        <f t="array" ref="G18">IFERROR(VLOOKUP($A18&amp;"-"&amp;G$2, CHOOSE({1,2}, 'S12 Operations'!$C$2:$C$534&amp;"-"&amp;'S12 Operations'!$E$2:$E$534, 'S12 Operations'!$D$2:$D$534), 2, 0), "")</f>
        <v>30</v>
      </c>
      <c r="H18" s="65" t="str">
        <f t="array" ref="H18">IFERROR(VLOOKUP($A18&amp;"-"&amp;H$2, CHOOSE({1,2}, 'S12 Operations'!$C$2:$C$534&amp;"-"&amp;'S12 Operations'!$E$2:$E$534, 'S12 Operations'!$D$2:$D$534), 2, 0), "")</f>
        <v/>
      </c>
      <c r="I18" s="126">
        <f t="array" ref="I18">IFERROR(VLOOKUP($A18&amp;"-"&amp;I$2, CHOOSE({1,2}, 'S12 Operations'!$C$2:$C$534&amp;"-"&amp;'S12 Operations'!$E$2:$E$534, 'S12 Operations'!$D$2:$D$534), 2, 0), "")</f>
        <v>40</v>
      </c>
      <c r="J18" s="127" t="str">
        <f t="array" ref="J18">IFERROR(VLOOKUP($A18&amp;"-"&amp;J$2, CHOOSE({1,2}, 'S12 Operations'!$C$2:$C$534&amp;"-"&amp;'S12 Operations'!$E$2:$E$534, 'S12 Operations'!$D$2:$D$534), 2, 0), "")</f>
        <v/>
      </c>
      <c r="K18" s="127" t="str">
        <f t="array" ref="K18">IFERROR(VLOOKUP($A18&amp;"-"&amp;K$2, CHOOSE({1,2}, 'S12 Operations'!$C$2:$C$534&amp;"-"&amp;'S12 Operations'!$E$2:$E$534, 'S12 Operations'!$D$2:$D$534), 2, 0), "")</f>
        <v/>
      </c>
      <c r="L18" s="127" t="str">
        <f t="array" ref="L18">IFERROR(VLOOKUP($A18&amp;"-"&amp;L$2, CHOOSE({1,2}, 'S12 Operations'!$C$2:$C$534&amp;"-"&amp;'S12 Operations'!$E$2:$E$534, 'S12 Operations'!$D$2:$D$534), 2, 0), "")</f>
        <v/>
      </c>
      <c r="M18" s="127" t="str">
        <f t="array" ref="M18">IFERROR(VLOOKUP($A18&amp;"-"&amp;M$2, CHOOSE({1,2}, 'S12 Operations'!$C$2:$C$534&amp;"-"&amp;'S12 Operations'!$E$2:$E$534, 'S12 Operations'!$D$2:$D$534), 2, 0), "")</f>
        <v/>
      </c>
      <c r="N18" s="127" t="str">
        <f t="array" ref="N18">IFERROR(VLOOKUP($A18&amp;"-"&amp;N$2, CHOOSE({1,2}, 'S12 Operations'!$C$2:$C$534&amp;"-"&amp;'S12 Operations'!$E$2:$E$534, 'S12 Operations'!$D$2:$D$534), 2, 0), "")</f>
        <v/>
      </c>
      <c r="O18" s="127">
        <f t="array" ref="O18">IFERROR(VLOOKUP($A18&amp;"-"&amp;O$2, CHOOSE({1,2}, 'S12 Operations'!$C$2:$C$534&amp;"-"&amp;'S12 Operations'!$E$2:$E$534, 'S12 Operations'!$D$2:$D$534), 2, 0), "")</f>
        <v>50</v>
      </c>
      <c r="P18" s="128" t="str">
        <f t="array" ref="P18">IFERROR(VLOOKUP($A18&amp;"-"&amp;P$2, CHOOSE({1,2}, 'S12 Operations'!$C$2:$C$534&amp;"-"&amp;'S12 Operations'!$E$2:$E$534, 'S12 Operations'!$D$2:$D$534), 2, 0), "")</f>
        <v/>
      </c>
      <c r="Q18" s="63" t="str">
        <f t="array" ref="Q18">IFERROR(VLOOKUP($A18&amp;"-"&amp;Q$2, CHOOSE({1,2}, 'S12 Operations'!$C$2:$C$534&amp;"-"&amp;'S12 Operations'!$E$2:$E$534, 'S12 Operations'!$D$2:$D$534), 2, 0), "")</f>
        <v/>
      </c>
      <c r="R18" s="64" t="str">
        <f t="array" ref="R18">IFERROR(VLOOKUP($A18&amp;"-"&amp;R$2, CHOOSE({1,2}, 'S12 Operations'!$C$2:$C$534&amp;"-"&amp;'S12 Operations'!$E$2:$E$534, 'S12 Operations'!$D$2:$D$534), 2, 0), "")</f>
        <v/>
      </c>
      <c r="S18" s="64" t="str">
        <f t="array" ref="S18">IFERROR(VLOOKUP($A18&amp;"-"&amp;S$2, CHOOSE({1,2}, 'S12 Operations'!$C$2:$C$534&amp;"-"&amp;'S12 Operations'!$E$2:$E$534, 'S12 Operations'!$D$2:$D$534), 2, 0), "")</f>
        <v/>
      </c>
      <c r="T18" s="65">
        <f t="array" ref="T18">IFERROR(VLOOKUP($A18&amp;"-"&amp;T$2, CHOOSE({1,2}, 'S12 Operations'!$C$2:$C$534&amp;"-"&amp;'S12 Operations'!$E$2:$E$534, 'S12 Operations'!$D$2:$D$534), 2, 0), "")</f>
        <v>60</v>
      </c>
      <c r="U18" s="126" t="str">
        <f t="array" ref="U18">IFERROR(VLOOKUP($A18&amp;"-"&amp;U$2, CHOOSE({1,2}, 'S12 Operations'!$C$2:$C$534&amp;"-"&amp;'S12 Operations'!$E$2:$E$534, 'S12 Operations'!$D$2:$D$534), 2, 0), "")</f>
        <v/>
      </c>
      <c r="V18" s="128" t="str">
        <f t="array" ref="V18">IFERROR(VLOOKUP($A18&amp;"-"&amp;V$2, CHOOSE({1,2}, 'S12 Operations'!$C$2:$C$534&amp;"-"&amp;'S12 Operations'!$E$2:$E$534, 'S12 Operations'!$D$2:$D$534), 2, 0), "")</f>
        <v/>
      </c>
      <c r="W18" s="63">
        <f t="array" ref="W18">IFERROR(VLOOKUP($A18&amp;"-"&amp;W$2, CHOOSE({1,2}, 'S12 Operations'!$C$2:$C$534&amp;"-"&amp;'S12 Operations'!$E$2:$E$534, 'S12 Operations'!$D$2:$D$534), 2, 0), "")</f>
        <v>70</v>
      </c>
      <c r="X18" s="64" t="str">
        <f t="array" ref="X18">IFERROR(VLOOKUP($A18&amp;"-"&amp;X$2, CHOOSE({1,2}, 'S12 Operations'!$C$2:$C$534&amp;"-"&amp;'S12 Operations'!$E$2:$E$534, 'S12 Operations'!$D$2:$D$534), 2, 0), "")</f>
        <v/>
      </c>
      <c r="Y18" s="65" t="str">
        <f t="array" ref="Y18">IFERROR(VLOOKUP($A18&amp;"-"&amp;Y$2, CHOOSE({1,2}, 'S12 Operations'!$C$2:$C$534&amp;"-"&amp;'S12 Operations'!$E$2:$E$534, 'S12 Operations'!$D$2:$D$534), 2, 0), "")</f>
        <v/>
      </c>
      <c r="Z18" s="130">
        <f t="array" ref="Z18">IFERROR(VLOOKUP($A18&amp;"-"&amp;Z$2, CHOOSE({1,2}, 'S12 Operations'!$C$2:$C$534&amp;"-"&amp;'S12 Operations'!$E$2:$E$534, 'S12 Operations'!$D$2:$D$534), 2, 0), "")</f>
        <v>80</v>
      </c>
      <c r="AA18" s="62">
        <f t="array" ref="AA18">IFERROR(VLOOKUP($A18&amp;"-"&amp;AA$2, CHOOSE({1,2}, 'S12 Operations'!$C$2:$C$534&amp;"-"&amp;'S12 Operations'!$E$2:$E$534, 'S12 Operations'!$D$2:$D$534), 2, 0), "")</f>
        <v>90</v>
      </c>
    </row>
    <row r="19" spans="1:27" ht="17" thickBot="1"/>
    <row r="20" spans="1:27" ht="18" thickBot="1">
      <c r="A20" s="172" t="s">
        <v>808</v>
      </c>
      <c r="B20" s="52" t="s">
        <v>566</v>
      </c>
      <c r="C20" s="411" t="s">
        <v>567</v>
      </c>
      <c r="D20" s="412"/>
      <c r="E20" s="413"/>
      <c r="F20" s="408" t="s">
        <v>568</v>
      </c>
      <c r="G20" s="409"/>
      <c r="H20" s="410"/>
      <c r="I20" s="411" t="s">
        <v>569</v>
      </c>
      <c r="J20" s="412"/>
      <c r="K20" s="412"/>
      <c r="L20" s="412"/>
      <c r="M20" s="412"/>
      <c r="N20" s="412"/>
      <c r="O20" s="412"/>
      <c r="P20" s="413"/>
      <c r="Q20" s="408" t="s">
        <v>570</v>
      </c>
      <c r="R20" s="409"/>
      <c r="S20" s="409"/>
      <c r="T20" s="410"/>
      <c r="U20" s="411" t="s">
        <v>571</v>
      </c>
      <c r="V20" s="413"/>
      <c r="W20" s="408" t="s">
        <v>567</v>
      </c>
      <c r="X20" s="409"/>
      <c r="Y20" s="410"/>
      <c r="Z20" s="110" t="s">
        <v>572</v>
      </c>
      <c r="AA20" s="52" t="s">
        <v>566</v>
      </c>
    </row>
    <row r="21" spans="1:27" ht="18" thickBot="1">
      <c r="A21" s="175" t="s">
        <v>170</v>
      </c>
      <c r="B21" s="176" t="s">
        <v>616</v>
      </c>
      <c r="C21" s="177" t="s">
        <v>609</v>
      </c>
      <c r="D21" s="178" t="s">
        <v>611</v>
      </c>
      <c r="E21" s="179" t="s">
        <v>613</v>
      </c>
      <c r="F21" s="54" t="s">
        <v>575</v>
      </c>
      <c r="G21" s="55" t="s">
        <v>577</v>
      </c>
      <c r="H21" s="56" t="s">
        <v>580</v>
      </c>
      <c r="I21" s="177" t="s">
        <v>576</v>
      </c>
      <c r="J21" s="178" t="s">
        <v>578</v>
      </c>
      <c r="K21" s="178" t="s">
        <v>581</v>
      </c>
      <c r="L21" s="178" t="s">
        <v>591</v>
      </c>
      <c r="M21" s="178" t="s">
        <v>593</v>
      </c>
      <c r="N21" s="178" t="s">
        <v>594</v>
      </c>
      <c r="O21" s="178" t="s">
        <v>596</v>
      </c>
      <c r="P21" s="179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177" t="s">
        <v>600</v>
      </c>
      <c r="V21" s="179" t="s">
        <v>602</v>
      </c>
      <c r="W21" s="54" t="s">
        <v>605</v>
      </c>
      <c r="X21" s="55" t="s">
        <v>606</v>
      </c>
      <c r="Y21" s="56" t="s">
        <v>607</v>
      </c>
      <c r="Z21" s="180" t="s">
        <v>615</v>
      </c>
      <c r="AA21" s="176" t="s">
        <v>617</v>
      </c>
    </row>
    <row r="22" spans="1:27" ht="17">
      <c r="A22" s="173" t="str">
        <f>'S08 ABC Output'!A3</f>
        <v>I-010</v>
      </c>
      <c r="B22" s="174">
        <f>IFERROR(VLOOKUP($A22&amp;"-"&amp;B$21, 'S12 Operations'!$A$2:$D$534, 4, 0), "")</f>
        <v>10</v>
      </c>
      <c r="C22" s="174" t="str">
        <f>IFERROR(VLOOKUP($A22&amp;"-"&amp;C$21, 'S12 Operations'!$A$2:$D$534, 4, 0), "")</f>
        <v/>
      </c>
      <c r="D22" s="174" t="str">
        <f>IFERROR(VLOOKUP($A22&amp;"-"&amp;D$21, 'S12 Operations'!$A$2:$D$534, 4, 0), "")</f>
        <v/>
      </c>
      <c r="E22" s="174">
        <f>IFERROR(VLOOKUP($A22&amp;"-"&amp;E$21, 'S12 Operations'!$A$2:$D$534, 4, 0), "")</f>
        <v>20</v>
      </c>
      <c r="F22" s="174">
        <f>IFERROR(VLOOKUP($A22&amp;"-"&amp;F$21, 'S12 Operations'!$A$2:$D$534, 4, 0), "")</f>
        <v>30</v>
      </c>
      <c r="G22" s="174" t="str">
        <f>IFERROR(VLOOKUP($A22&amp;"-"&amp;G$21, 'S12 Operations'!$A$2:$D$534, 4, 0), "")</f>
        <v/>
      </c>
      <c r="H22" s="174" t="str">
        <f>IFERROR(VLOOKUP($A22&amp;"-"&amp;H$21, 'S12 Operations'!$A$2:$D$534, 4, 0), "")</f>
        <v/>
      </c>
      <c r="I22" s="174" t="str">
        <f>IFERROR(VLOOKUP($A22&amp;"-"&amp;I$21, 'S12 Operations'!$A$2:$D$534, 4, 0), "")</f>
        <v/>
      </c>
      <c r="J22" s="174" t="str">
        <f>IFERROR(VLOOKUP($A22&amp;"-"&amp;J$21, 'S12 Operations'!$A$2:$D$534, 4, 0), "")</f>
        <v/>
      </c>
      <c r="K22" s="174" t="str">
        <f>IFERROR(VLOOKUP($A22&amp;"-"&amp;K$21, 'S12 Operations'!$A$2:$D$534, 4, 0), "")</f>
        <v/>
      </c>
      <c r="L22" s="174">
        <f>IFERROR(VLOOKUP($A22&amp;"-"&amp;L$21, 'S12 Operations'!$A$2:$D$534, 4, 0), "")</f>
        <v>40</v>
      </c>
      <c r="M22" s="174" t="str">
        <f>IFERROR(VLOOKUP($A22&amp;"-"&amp;M$21, 'S12 Operations'!$A$2:$D$534, 4, 0), "")</f>
        <v/>
      </c>
      <c r="N22" s="174" t="str">
        <f>IFERROR(VLOOKUP($A22&amp;"-"&amp;N$21, 'S12 Operations'!$A$2:$D$534, 4, 0), "")</f>
        <v/>
      </c>
      <c r="O22" s="174" t="str">
        <f>IFERROR(VLOOKUP($A22&amp;"-"&amp;O$21, 'S12 Operations'!$A$2:$D$534, 4, 0), "")</f>
        <v/>
      </c>
      <c r="P22" s="174">
        <f>IFERROR(VLOOKUP($A22&amp;"-"&amp;P$21, 'S12 Operations'!$A$2:$D$534, 4, 0), "")</f>
        <v>50</v>
      </c>
      <c r="Q22" s="174" t="str">
        <f>IFERROR(VLOOKUP($A22&amp;"-"&amp;Q$21, 'S12 Operations'!$A$2:$D$534, 4, 0), "")</f>
        <v/>
      </c>
      <c r="R22" s="174" t="str">
        <f>IFERROR(VLOOKUP($A22&amp;"-"&amp;R$21, 'S12 Operations'!$A$2:$D$534, 4, 0), "")</f>
        <v/>
      </c>
      <c r="S22" s="174" t="str">
        <f>IFERROR(VLOOKUP($A22&amp;"-"&amp;S$21, 'S12 Operations'!$A$2:$D$534, 4, 0), "")</f>
        <v/>
      </c>
      <c r="T22" s="174" t="str">
        <f>IFERROR(VLOOKUP($A22&amp;"-"&amp;T$21, 'S12 Operations'!$A$2:$D$534, 4, 0), "")</f>
        <v/>
      </c>
      <c r="U22" s="174" t="str">
        <f>IFERROR(VLOOKUP($A22&amp;"-"&amp;U$21, 'S12 Operations'!$A$2:$D$534, 4, 0), "")</f>
        <v/>
      </c>
      <c r="V22" s="174">
        <f>IFERROR(VLOOKUP($A22&amp;"-"&amp;V$21, 'S12 Operations'!$A$2:$D$534, 4, 0), "")</f>
        <v>60</v>
      </c>
      <c r="W22" s="174" t="str">
        <f>IFERROR(VLOOKUP($A22&amp;"-"&amp;W$21, 'S12 Operations'!$A$2:$D$534, 4, 0), "")</f>
        <v/>
      </c>
      <c r="X22" s="174">
        <f>IFERROR(VLOOKUP($A22&amp;"-"&amp;X$21, 'S12 Operations'!$A$2:$D$534, 4, 0), "")</f>
        <v>70</v>
      </c>
      <c r="Y22" s="174" t="str">
        <f>IFERROR(VLOOKUP($A22&amp;"-"&amp;Y$21, 'S12 Operations'!$A$2:$D$534, 4, 0), "")</f>
        <v/>
      </c>
      <c r="Z22" s="174" t="str">
        <f>IFERROR(VLOOKUP($A22&amp;"-"&amp;Z$21, 'S12 Operations'!$A$2:$D$534, 4, 0), "")</f>
        <v/>
      </c>
      <c r="AA22" s="174">
        <f>IFERROR(VLOOKUP($A22&amp;"-"&amp;AA$21, 'S12 Operations'!$A$2:$D$534, 4, 0), "")</f>
        <v>80</v>
      </c>
    </row>
    <row r="23" spans="1:27" ht="17">
      <c r="A23" s="173" t="str">
        <f>'S08 ABC Output'!A4</f>
        <v>I-004</v>
      </c>
      <c r="B23" s="174">
        <f>IFERROR(VLOOKUP($A23&amp;"-"&amp;B$21, 'S12 Operations'!$A$2:$D$534, 4, 0), "")</f>
        <v>10</v>
      </c>
      <c r="C23" s="174">
        <f>IFERROR(VLOOKUP($A23&amp;"-"&amp;C$21, 'S12 Operations'!$A$2:$D$534, 4, 0), "")</f>
        <v>20</v>
      </c>
      <c r="D23" s="174" t="str">
        <f>IFERROR(VLOOKUP($A23&amp;"-"&amp;D$21, 'S12 Operations'!$A$2:$D$534, 4, 0), "")</f>
        <v/>
      </c>
      <c r="E23" s="174" t="str">
        <f>IFERROR(VLOOKUP($A23&amp;"-"&amp;E$21, 'S12 Operations'!$A$2:$D$534, 4, 0), "")</f>
        <v/>
      </c>
      <c r="F23" s="174" t="str">
        <f>IFERROR(VLOOKUP($A23&amp;"-"&amp;F$21, 'S12 Operations'!$A$2:$D$534, 4, 0), "")</f>
        <v/>
      </c>
      <c r="G23" s="174" t="str">
        <f>IFERROR(VLOOKUP($A23&amp;"-"&amp;G$21, 'S12 Operations'!$A$2:$D$534, 4, 0), "")</f>
        <v/>
      </c>
      <c r="H23" s="174" t="str">
        <f>IFERROR(VLOOKUP($A23&amp;"-"&amp;H$21, 'S12 Operations'!$A$2:$D$534, 4, 0), "")</f>
        <v/>
      </c>
      <c r="I23" s="174" t="str">
        <f>IFERROR(VLOOKUP($A23&amp;"-"&amp;I$21, 'S12 Operations'!$A$2:$D$534, 4, 0), "")</f>
        <v/>
      </c>
      <c r="J23" s="174">
        <f>IFERROR(VLOOKUP($A23&amp;"-"&amp;J$21, 'S12 Operations'!$A$2:$D$534, 4, 0), "")</f>
        <v>30</v>
      </c>
      <c r="K23" s="174" t="str">
        <f>IFERROR(VLOOKUP($A23&amp;"-"&amp;K$21, 'S12 Operations'!$A$2:$D$534, 4, 0), "")</f>
        <v/>
      </c>
      <c r="L23" s="174" t="str">
        <f>IFERROR(VLOOKUP($A23&amp;"-"&amp;L$21, 'S12 Operations'!$A$2:$D$534, 4, 0), "")</f>
        <v/>
      </c>
      <c r="M23" s="174" t="str">
        <f>IFERROR(VLOOKUP($A23&amp;"-"&amp;M$21, 'S12 Operations'!$A$2:$D$534, 4, 0), "")</f>
        <v/>
      </c>
      <c r="N23" s="174" t="str">
        <f>IFERROR(VLOOKUP($A23&amp;"-"&amp;N$21, 'S12 Operations'!$A$2:$D$534, 4, 0), "")</f>
        <v/>
      </c>
      <c r="O23" s="174" t="str">
        <f>IFERROR(VLOOKUP($A23&amp;"-"&amp;O$21, 'S12 Operations'!$A$2:$D$534, 4, 0), "")</f>
        <v/>
      </c>
      <c r="P23" s="174" t="str">
        <f>IFERROR(VLOOKUP($A23&amp;"-"&amp;P$21, 'S12 Operations'!$A$2:$D$534, 4, 0), "")</f>
        <v/>
      </c>
      <c r="Q23" s="174">
        <f>IFERROR(VLOOKUP($A23&amp;"-"&amp;Q$21, 'S12 Operations'!$A$2:$D$534, 4, 0), "")</f>
        <v>40</v>
      </c>
      <c r="R23" s="174" t="str">
        <f>IFERROR(VLOOKUP($A23&amp;"-"&amp;R$21, 'S12 Operations'!$A$2:$D$534, 4, 0), "")</f>
        <v/>
      </c>
      <c r="S23" s="174" t="str">
        <f>IFERROR(VLOOKUP($A23&amp;"-"&amp;S$21, 'S12 Operations'!$A$2:$D$534, 4, 0), "")</f>
        <v/>
      </c>
      <c r="T23" s="174" t="str">
        <f>IFERROR(VLOOKUP($A23&amp;"-"&amp;T$21, 'S12 Operations'!$A$2:$D$534, 4, 0), "")</f>
        <v/>
      </c>
      <c r="U23" s="174" t="str">
        <f>IFERROR(VLOOKUP($A23&amp;"-"&amp;U$21, 'S12 Operations'!$A$2:$D$534, 4, 0), "")</f>
        <v/>
      </c>
      <c r="V23" s="174" t="str">
        <f>IFERROR(VLOOKUP($A23&amp;"-"&amp;V$21, 'S12 Operations'!$A$2:$D$534, 4, 0), "")</f>
        <v/>
      </c>
      <c r="W23" s="174" t="str">
        <f>IFERROR(VLOOKUP($A23&amp;"-"&amp;W$21, 'S12 Operations'!$A$2:$D$534, 4, 0), "")</f>
        <v/>
      </c>
      <c r="X23" s="174" t="str">
        <f>IFERROR(VLOOKUP($A23&amp;"-"&amp;X$21, 'S12 Operations'!$A$2:$D$534, 4, 0), "")</f>
        <v/>
      </c>
      <c r="Y23" s="174">
        <f>IFERROR(VLOOKUP($A23&amp;"-"&amp;Y$21, 'S12 Operations'!$A$2:$D$534, 4, 0), "")</f>
        <v>50</v>
      </c>
      <c r="Z23" s="174" t="str">
        <f>IFERROR(VLOOKUP($A23&amp;"-"&amp;Z$21, 'S12 Operations'!$A$2:$D$534, 4, 0), "")</f>
        <v/>
      </c>
      <c r="AA23" s="174">
        <f>IFERROR(VLOOKUP($A23&amp;"-"&amp;AA$21, 'S12 Operations'!$A$2:$D$534, 4, 0), "")</f>
        <v>60</v>
      </c>
    </row>
    <row r="24" spans="1:27" ht="17">
      <c r="A24" s="173" t="str">
        <f>'S08 ABC Output'!A5</f>
        <v>I-037</v>
      </c>
      <c r="B24" s="174">
        <f>IFERROR(VLOOKUP($A24&amp;"-"&amp;B$21, 'S12 Operations'!$A$2:$D$534, 4, 0), "")</f>
        <v>10</v>
      </c>
      <c r="C24" s="174" t="str">
        <f>IFERROR(VLOOKUP($A24&amp;"-"&amp;C$21, 'S12 Operations'!$A$2:$D$534, 4, 0), "")</f>
        <v/>
      </c>
      <c r="D24" s="174">
        <f>IFERROR(VLOOKUP($A24&amp;"-"&amp;D$21, 'S12 Operations'!$A$2:$D$534, 4, 0), "")</f>
        <v>20</v>
      </c>
      <c r="E24" s="174" t="str">
        <f>IFERROR(VLOOKUP($A24&amp;"-"&amp;E$21, 'S12 Operations'!$A$2:$D$534, 4, 0), "")</f>
        <v/>
      </c>
      <c r="F24" s="174" t="str">
        <f>IFERROR(VLOOKUP($A24&amp;"-"&amp;F$21, 'S12 Operations'!$A$2:$D$534, 4, 0), "")</f>
        <v/>
      </c>
      <c r="G24" s="174" t="str">
        <f>IFERROR(VLOOKUP($A24&amp;"-"&amp;G$21, 'S12 Operations'!$A$2:$D$534, 4, 0), "")</f>
        <v/>
      </c>
      <c r="H24" s="174">
        <f>IFERROR(VLOOKUP($A24&amp;"-"&amp;H$21, 'S12 Operations'!$A$2:$D$534, 4, 0), "")</f>
        <v>30</v>
      </c>
      <c r="I24" s="174" t="str">
        <f>IFERROR(VLOOKUP($A24&amp;"-"&amp;I$21, 'S12 Operations'!$A$2:$D$534, 4, 0), "")</f>
        <v/>
      </c>
      <c r="J24" s="174" t="str">
        <f>IFERROR(VLOOKUP($A24&amp;"-"&amp;J$21, 'S12 Operations'!$A$2:$D$534, 4, 0), "")</f>
        <v/>
      </c>
      <c r="K24" s="174" t="str">
        <f>IFERROR(VLOOKUP($A24&amp;"-"&amp;K$21, 'S12 Operations'!$A$2:$D$534, 4, 0), "")</f>
        <v/>
      </c>
      <c r="L24" s="174" t="str">
        <f>IFERROR(VLOOKUP($A24&amp;"-"&amp;L$21, 'S12 Operations'!$A$2:$D$534, 4, 0), "")</f>
        <v/>
      </c>
      <c r="M24" s="174" t="str">
        <f>IFERROR(VLOOKUP($A24&amp;"-"&amp;M$21, 'S12 Operations'!$A$2:$D$534, 4, 0), "")</f>
        <v/>
      </c>
      <c r="N24" s="174">
        <f>IFERROR(VLOOKUP($A24&amp;"-"&amp;N$21, 'S12 Operations'!$A$2:$D$534, 4, 0), "")</f>
        <v>40</v>
      </c>
      <c r="O24" s="174" t="str">
        <f>IFERROR(VLOOKUP($A24&amp;"-"&amp;O$21, 'S12 Operations'!$A$2:$D$534, 4, 0), "")</f>
        <v/>
      </c>
      <c r="P24" s="174" t="str">
        <f>IFERROR(VLOOKUP($A24&amp;"-"&amp;P$21, 'S12 Operations'!$A$2:$D$534, 4, 0), "")</f>
        <v/>
      </c>
      <c r="Q24" s="174" t="str">
        <f>IFERROR(VLOOKUP($A24&amp;"-"&amp;Q$21, 'S12 Operations'!$A$2:$D$534, 4, 0), "")</f>
        <v/>
      </c>
      <c r="R24" s="174" t="str">
        <f>IFERROR(VLOOKUP($A24&amp;"-"&amp;R$21, 'S12 Operations'!$A$2:$D$534, 4, 0), "")</f>
        <v/>
      </c>
      <c r="S24" s="174">
        <f>IFERROR(VLOOKUP($A24&amp;"-"&amp;S$21, 'S12 Operations'!$A$2:$D$534, 4, 0), "")</f>
        <v>50</v>
      </c>
      <c r="T24" s="174" t="str">
        <f>IFERROR(VLOOKUP($A24&amp;"-"&amp;T$21, 'S12 Operations'!$A$2:$D$534, 4, 0), "")</f>
        <v/>
      </c>
      <c r="U24" s="174">
        <f>IFERROR(VLOOKUP($A24&amp;"-"&amp;U$21, 'S12 Operations'!$A$2:$D$534, 4, 0), "")</f>
        <v>60</v>
      </c>
      <c r="V24" s="174" t="str">
        <f>IFERROR(VLOOKUP($A24&amp;"-"&amp;V$21, 'S12 Operations'!$A$2:$D$534, 4, 0), "")</f>
        <v/>
      </c>
      <c r="W24" s="174">
        <f>IFERROR(VLOOKUP($A24&amp;"-"&amp;W$21, 'S12 Operations'!$A$2:$D$534, 4, 0), "")</f>
        <v>70</v>
      </c>
      <c r="X24" s="174" t="str">
        <f>IFERROR(VLOOKUP($A24&amp;"-"&amp;X$21, 'S12 Operations'!$A$2:$D$534, 4, 0), "")</f>
        <v/>
      </c>
      <c r="Y24" s="174" t="str">
        <f>IFERROR(VLOOKUP($A24&amp;"-"&amp;Y$21, 'S12 Operations'!$A$2:$D$534, 4, 0), "")</f>
        <v/>
      </c>
      <c r="Z24" s="174" t="str">
        <f>IFERROR(VLOOKUP($A24&amp;"-"&amp;Z$21, 'S12 Operations'!$A$2:$D$534, 4, 0), "")</f>
        <v/>
      </c>
      <c r="AA24" s="174">
        <f>IFERROR(VLOOKUP($A24&amp;"-"&amp;AA$21, 'S12 Operations'!$A$2:$D$534, 4, 0), "")</f>
        <v>80</v>
      </c>
    </row>
    <row r="25" spans="1:27" ht="17">
      <c r="A25" s="173" t="str">
        <f>'S08 ABC Output'!A6</f>
        <v>I-064</v>
      </c>
      <c r="B25" s="174">
        <f>IFERROR(VLOOKUP($A25&amp;"-"&amp;B$21, 'S12 Operations'!$A$2:$D$534, 4, 0), "")</f>
        <v>10</v>
      </c>
      <c r="C25" s="174" t="str">
        <f>IFERROR(VLOOKUP($A25&amp;"-"&amp;C$21, 'S12 Operations'!$A$2:$D$534, 4, 0), "")</f>
        <v/>
      </c>
      <c r="D25" s="174" t="str">
        <f>IFERROR(VLOOKUP($A25&amp;"-"&amp;D$21, 'S12 Operations'!$A$2:$D$534, 4, 0), "")</f>
        <v/>
      </c>
      <c r="E25" s="174">
        <f>IFERROR(VLOOKUP($A25&amp;"-"&amp;E$21, 'S12 Operations'!$A$2:$D$534, 4, 0), "")</f>
        <v>20</v>
      </c>
      <c r="F25" s="174" t="str">
        <f>IFERROR(VLOOKUP($A25&amp;"-"&amp;F$21, 'S12 Operations'!$A$2:$D$534, 4, 0), "")</f>
        <v/>
      </c>
      <c r="G25" s="174">
        <f>IFERROR(VLOOKUP($A25&amp;"-"&amp;G$21, 'S12 Operations'!$A$2:$D$534, 4, 0), "")</f>
        <v>30</v>
      </c>
      <c r="H25" s="174" t="str">
        <f>IFERROR(VLOOKUP($A25&amp;"-"&amp;H$21, 'S12 Operations'!$A$2:$D$534, 4, 0), "")</f>
        <v/>
      </c>
      <c r="I25" s="174">
        <f>IFERROR(VLOOKUP($A25&amp;"-"&amp;I$21, 'S12 Operations'!$A$2:$D$534, 4, 0), "")</f>
        <v>40</v>
      </c>
      <c r="J25" s="174" t="str">
        <f>IFERROR(VLOOKUP($A25&amp;"-"&amp;J$21, 'S12 Operations'!$A$2:$D$534, 4, 0), "")</f>
        <v/>
      </c>
      <c r="K25" s="174" t="str">
        <f>IFERROR(VLOOKUP($A25&amp;"-"&amp;K$21, 'S12 Operations'!$A$2:$D$534, 4, 0), "")</f>
        <v/>
      </c>
      <c r="L25" s="174" t="str">
        <f>IFERROR(VLOOKUP($A25&amp;"-"&amp;L$21, 'S12 Operations'!$A$2:$D$534, 4, 0), "")</f>
        <v/>
      </c>
      <c r="M25" s="174" t="str">
        <f>IFERROR(VLOOKUP($A25&amp;"-"&amp;M$21, 'S12 Operations'!$A$2:$D$534, 4, 0), "")</f>
        <v/>
      </c>
      <c r="N25" s="174" t="str">
        <f>IFERROR(VLOOKUP($A25&amp;"-"&amp;N$21, 'S12 Operations'!$A$2:$D$534, 4, 0), "")</f>
        <v/>
      </c>
      <c r="O25" s="174">
        <f>IFERROR(VLOOKUP($A25&amp;"-"&amp;O$21, 'S12 Operations'!$A$2:$D$534, 4, 0), "")</f>
        <v>50</v>
      </c>
      <c r="P25" s="174" t="str">
        <f>IFERROR(VLOOKUP($A25&amp;"-"&amp;P$21, 'S12 Operations'!$A$2:$D$534, 4, 0), "")</f>
        <v/>
      </c>
      <c r="Q25" s="174" t="str">
        <f>IFERROR(VLOOKUP($A25&amp;"-"&amp;Q$21, 'S12 Operations'!$A$2:$D$534, 4, 0), "")</f>
        <v/>
      </c>
      <c r="R25" s="174" t="str">
        <f>IFERROR(VLOOKUP($A25&amp;"-"&amp;R$21, 'S12 Operations'!$A$2:$D$534, 4, 0), "")</f>
        <v/>
      </c>
      <c r="S25" s="174" t="str">
        <f>IFERROR(VLOOKUP($A25&amp;"-"&amp;S$21, 'S12 Operations'!$A$2:$D$534, 4, 0), "")</f>
        <v/>
      </c>
      <c r="T25" s="174">
        <f>IFERROR(VLOOKUP($A25&amp;"-"&amp;T$21, 'S12 Operations'!$A$2:$D$534, 4, 0), "")</f>
        <v>60</v>
      </c>
      <c r="U25" s="174" t="str">
        <f>IFERROR(VLOOKUP($A25&amp;"-"&amp;U$21, 'S12 Operations'!$A$2:$D$534, 4, 0), "")</f>
        <v/>
      </c>
      <c r="V25" s="174" t="str">
        <f>IFERROR(VLOOKUP($A25&amp;"-"&amp;V$21, 'S12 Operations'!$A$2:$D$534, 4, 0), "")</f>
        <v/>
      </c>
      <c r="W25" s="174">
        <f>IFERROR(VLOOKUP($A25&amp;"-"&amp;W$21, 'S12 Operations'!$A$2:$D$534, 4, 0), "")</f>
        <v>70</v>
      </c>
      <c r="X25" s="174" t="str">
        <f>IFERROR(VLOOKUP($A25&amp;"-"&amp;X$21, 'S12 Operations'!$A$2:$D$534, 4, 0), "")</f>
        <v/>
      </c>
      <c r="Y25" s="174" t="str">
        <f>IFERROR(VLOOKUP($A25&amp;"-"&amp;Y$21, 'S12 Operations'!$A$2:$D$534, 4, 0), "")</f>
        <v/>
      </c>
      <c r="Z25" s="174">
        <f>IFERROR(VLOOKUP($A25&amp;"-"&amp;Z$21, 'S12 Operations'!$A$2:$D$534, 4, 0), "")</f>
        <v>80</v>
      </c>
      <c r="AA25" s="174">
        <f>IFERROR(VLOOKUP($A25&amp;"-"&amp;AA$21, 'S12 Operations'!$A$2:$D$534, 4, 0), "")</f>
        <v>90</v>
      </c>
    </row>
    <row r="26" spans="1:27" ht="17">
      <c r="A26" s="173" t="str">
        <f>'S08 ABC Output'!A7</f>
        <v>I-052</v>
      </c>
      <c r="B26" s="174">
        <f>IFERROR(VLOOKUP($A26&amp;"-"&amp;B$21, 'S12 Operations'!$A$2:$D$534, 4, 0), "")</f>
        <v>10</v>
      </c>
      <c r="C26" s="174" t="str">
        <f>IFERROR(VLOOKUP($A26&amp;"-"&amp;C$21, 'S12 Operations'!$A$2:$D$534, 4, 0), "")</f>
        <v/>
      </c>
      <c r="D26" s="174" t="str">
        <f>IFERROR(VLOOKUP($A26&amp;"-"&amp;D$21, 'S12 Operations'!$A$2:$D$534, 4, 0), "")</f>
        <v/>
      </c>
      <c r="E26" s="174">
        <f>IFERROR(VLOOKUP($A26&amp;"-"&amp;E$21, 'S12 Operations'!$A$2:$D$534, 4, 0), "")</f>
        <v>20</v>
      </c>
      <c r="F26" s="174" t="str">
        <f>IFERROR(VLOOKUP($A26&amp;"-"&amp;F$21, 'S12 Operations'!$A$2:$D$534, 4, 0), "")</f>
        <v/>
      </c>
      <c r="G26" s="174" t="str">
        <f>IFERROR(VLOOKUP($A26&amp;"-"&amp;G$21, 'S12 Operations'!$A$2:$D$534, 4, 0), "")</f>
        <v/>
      </c>
      <c r="H26" s="174">
        <f>IFERROR(VLOOKUP($A26&amp;"-"&amp;H$21, 'S12 Operations'!$A$2:$D$534, 4, 0), "")</f>
        <v>30</v>
      </c>
      <c r="I26" s="174" t="str">
        <f>IFERROR(VLOOKUP($A26&amp;"-"&amp;I$21, 'S12 Operations'!$A$2:$D$534, 4, 0), "")</f>
        <v/>
      </c>
      <c r="J26" s="174" t="str">
        <f>IFERROR(VLOOKUP($A26&amp;"-"&amp;J$21, 'S12 Operations'!$A$2:$D$534, 4, 0), "")</f>
        <v/>
      </c>
      <c r="K26" s="174">
        <f>IFERROR(VLOOKUP($A26&amp;"-"&amp;K$21, 'S12 Operations'!$A$2:$D$534, 4, 0), "")</f>
        <v>40</v>
      </c>
      <c r="L26" s="174" t="str">
        <f>IFERROR(VLOOKUP($A26&amp;"-"&amp;L$21, 'S12 Operations'!$A$2:$D$534, 4, 0), "")</f>
        <v/>
      </c>
      <c r="M26" s="174">
        <f>IFERROR(VLOOKUP($A26&amp;"-"&amp;M$21, 'S12 Operations'!$A$2:$D$534, 4, 0), "")</f>
        <v>50</v>
      </c>
      <c r="N26" s="174" t="str">
        <f>IFERROR(VLOOKUP($A26&amp;"-"&amp;N$21, 'S12 Operations'!$A$2:$D$534, 4, 0), "")</f>
        <v/>
      </c>
      <c r="O26" s="174" t="str">
        <f>IFERROR(VLOOKUP($A26&amp;"-"&amp;O$21, 'S12 Operations'!$A$2:$D$534, 4, 0), "")</f>
        <v/>
      </c>
      <c r="P26" s="174" t="str">
        <f>IFERROR(VLOOKUP($A26&amp;"-"&amp;P$21, 'S12 Operations'!$A$2:$D$534, 4, 0), "")</f>
        <v/>
      </c>
      <c r="Q26" s="174" t="str">
        <f>IFERROR(VLOOKUP($A26&amp;"-"&amp;Q$21, 'S12 Operations'!$A$2:$D$534, 4, 0), "")</f>
        <v/>
      </c>
      <c r="R26" s="174">
        <f>IFERROR(VLOOKUP($A26&amp;"-"&amp;R$21, 'S12 Operations'!$A$2:$D$534, 4, 0), "")</f>
        <v>60</v>
      </c>
      <c r="S26" s="174" t="str">
        <f>IFERROR(VLOOKUP($A26&amp;"-"&amp;S$21, 'S12 Operations'!$A$2:$D$534, 4, 0), "")</f>
        <v/>
      </c>
      <c r="T26" s="174" t="str">
        <f>IFERROR(VLOOKUP($A26&amp;"-"&amp;T$21, 'S12 Operations'!$A$2:$D$534, 4, 0), "")</f>
        <v/>
      </c>
      <c r="U26" s="174" t="str">
        <f>IFERROR(VLOOKUP($A26&amp;"-"&amp;U$21, 'S12 Operations'!$A$2:$D$534, 4, 0), "")</f>
        <v/>
      </c>
      <c r="V26" s="174" t="str">
        <f>IFERROR(VLOOKUP($A26&amp;"-"&amp;V$21, 'S12 Operations'!$A$2:$D$534, 4, 0), "")</f>
        <v/>
      </c>
      <c r="W26" s="174">
        <f>IFERROR(VLOOKUP($A26&amp;"-"&amp;W$21, 'S12 Operations'!$A$2:$D$534, 4, 0), "")</f>
        <v>70</v>
      </c>
      <c r="X26" s="174" t="str">
        <f>IFERROR(VLOOKUP($A26&amp;"-"&amp;X$21, 'S12 Operations'!$A$2:$D$534, 4, 0), "")</f>
        <v/>
      </c>
      <c r="Y26" s="174" t="str">
        <f>IFERROR(VLOOKUP($A26&amp;"-"&amp;Y$21, 'S12 Operations'!$A$2:$D$534, 4, 0), "")</f>
        <v/>
      </c>
      <c r="Z26" s="174" t="str">
        <f>IFERROR(VLOOKUP($A26&amp;"-"&amp;Z$21, 'S12 Operations'!$A$2:$D$534, 4, 0), "")</f>
        <v/>
      </c>
      <c r="AA26" s="174">
        <f>IFERROR(VLOOKUP($A26&amp;"-"&amp;AA$21, 'S12 Operations'!$A$2:$D$534, 4, 0), "")</f>
        <v>80</v>
      </c>
    </row>
    <row r="27" spans="1:27" ht="17">
      <c r="A27" s="173" t="str">
        <f>'S08 ABC Output'!A8</f>
        <v>I-068</v>
      </c>
      <c r="B27" s="174">
        <f>IFERROR(VLOOKUP($A27&amp;"-"&amp;B$21, 'S12 Operations'!$A$2:$D$534, 4, 0), "")</f>
        <v>10</v>
      </c>
      <c r="C27" s="174">
        <f>IFERROR(VLOOKUP($A27&amp;"-"&amp;C$21, 'S12 Operations'!$A$2:$D$534, 4, 0), "")</f>
        <v>20</v>
      </c>
      <c r="D27" s="174" t="str">
        <f>IFERROR(VLOOKUP($A27&amp;"-"&amp;D$21, 'S12 Operations'!$A$2:$D$534, 4, 0), "")</f>
        <v/>
      </c>
      <c r="E27" s="174" t="str">
        <f>IFERROR(VLOOKUP($A27&amp;"-"&amp;E$21, 'S12 Operations'!$A$2:$D$534, 4, 0), "")</f>
        <v/>
      </c>
      <c r="F27" s="174" t="str">
        <f>IFERROR(VLOOKUP($A27&amp;"-"&amp;F$21, 'S12 Operations'!$A$2:$D$534, 4, 0), "")</f>
        <v/>
      </c>
      <c r="G27" s="174" t="str">
        <f>IFERROR(VLOOKUP($A27&amp;"-"&amp;G$21, 'S12 Operations'!$A$2:$D$534, 4, 0), "")</f>
        <v/>
      </c>
      <c r="H27" s="174" t="str">
        <f>IFERROR(VLOOKUP($A27&amp;"-"&amp;H$21, 'S12 Operations'!$A$2:$D$534, 4, 0), "")</f>
        <v/>
      </c>
      <c r="I27" s="174" t="str">
        <f>IFERROR(VLOOKUP($A27&amp;"-"&amp;I$21, 'S12 Operations'!$A$2:$D$534, 4, 0), "")</f>
        <v/>
      </c>
      <c r="J27" s="174">
        <f>IFERROR(VLOOKUP($A27&amp;"-"&amp;J$21, 'S12 Operations'!$A$2:$D$534, 4, 0), "")</f>
        <v>30</v>
      </c>
      <c r="K27" s="174" t="str">
        <f>IFERROR(VLOOKUP($A27&amp;"-"&amp;K$21, 'S12 Operations'!$A$2:$D$534, 4, 0), "")</f>
        <v/>
      </c>
      <c r="L27" s="174" t="str">
        <f>IFERROR(VLOOKUP($A27&amp;"-"&amp;L$21, 'S12 Operations'!$A$2:$D$534, 4, 0), "")</f>
        <v/>
      </c>
      <c r="M27" s="174" t="str">
        <f>IFERROR(VLOOKUP($A27&amp;"-"&amp;M$21, 'S12 Operations'!$A$2:$D$534, 4, 0), "")</f>
        <v/>
      </c>
      <c r="N27" s="174" t="str">
        <f>IFERROR(VLOOKUP($A27&amp;"-"&amp;N$21, 'S12 Operations'!$A$2:$D$534, 4, 0), "")</f>
        <v/>
      </c>
      <c r="O27" s="174" t="str">
        <f>IFERROR(VLOOKUP($A27&amp;"-"&amp;O$21, 'S12 Operations'!$A$2:$D$534, 4, 0), "")</f>
        <v/>
      </c>
      <c r="P27" s="174" t="str">
        <f>IFERROR(VLOOKUP($A27&amp;"-"&amp;P$21, 'S12 Operations'!$A$2:$D$534, 4, 0), "")</f>
        <v/>
      </c>
      <c r="Q27" s="174">
        <f>IFERROR(VLOOKUP($A27&amp;"-"&amp;Q$21, 'S12 Operations'!$A$2:$D$534, 4, 0), "")</f>
        <v>40</v>
      </c>
      <c r="R27" s="174" t="str">
        <f>IFERROR(VLOOKUP($A27&amp;"-"&amp;R$21, 'S12 Operations'!$A$2:$D$534, 4, 0), "")</f>
        <v/>
      </c>
      <c r="S27" s="174" t="str">
        <f>IFERROR(VLOOKUP($A27&amp;"-"&amp;S$21, 'S12 Operations'!$A$2:$D$534, 4, 0), "")</f>
        <v/>
      </c>
      <c r="T27" s="174" t="str">
        <f>IFERROR(VLOOKUP($A27&amp;"-"&amp;T$21, 'S12 Operations'!$A$2:$D$534, 4, 0), "")</f>
        <v/>
      </c>
      <c r="U27" s="174" t="str">
        <f>IFERROR(VLOOKUP($A27&amp;"-"&amp;U$21, 'S12 Operations'!$A$2:$D$534, 4, 0), "")</f>
        <v/>
      </c>
      <c r="V27" s="174" t="str">
        <f>IFERROR(VLOOKUP($A27&amp;"-"&amp;V$21, 'S12 Operations'!$A$2:$D$534, 4, 0), "")</f>
        <v/>
      </c>
      <c r="W27" s="174" t="str">
        <f>IFERROR(VLOOKUP($A27&amp;"-"&amp;W$21, 'S12 Operations'!$A$2:$D$534, 4, 0), "")</f>
        <v/>
      </c>
      <c r="X27" s="174" t="str">
        <f>IFERROR(VLOOKUP($A27&amp;"-"&amp;X$21, 'S12 Operations'!$A$2:$D$534, 4, 0), "")</f>
        <v/>
      </c>
      <c r="Y27" s="174">
        <f>IFERROR(VLOOKUP($A27&amp;"-"&amp;Y$21, 'S12 Operations'!$A$2:$D$534, 4, 0), "")</f>
        <v>50</v>
      </c>
      <c r="Z27" s="174" t="str">
        <f>IFERROR(VLOOKUP($A27&amp;"-"&amp;Z$21, 'S12 Operations'!$A$2:$D$534, 4, 0), "")</f>
        <v/>
      </c>
      <c r="AA27" s="174">
        <f>IFERROR(VLOOKUP($A27&amp;"-"&amp;AA$21, 'S12 Operations'!$A$2:$D$534, 4, 0), "")</f>
        <v>60</v>
      </c>
    </row>
    <row r="28" spans="1:27" ht="17">
      <c r="A28" s="173" t="str">
        <f>'S08 ABC Output'!A9</f>
        <v>I-053</v>
      </c>
      <c r="B28" s="174">
        <f>IFERROR(VLOOKUP($A28&amp;"-"&amp;B$21, 'S12 Operations'!$A$2:$D$534, 4, 0), "")</f>
        <v>10</v>
      </c>
      <c r="C28" s="174" t="str">
        <f>IFERROR(VLOOKUP($A28&amp;"-"&amp;C$21, 'S12 Operations'!$A$2:$D$534, 4, 0), "")</f>
        <v/>
      </c>
      <c r="D28" s="174" t="str">
        <f>IFERROR(VLOOKUP($A28&amp;"-"&amp;D$21, 'S12 Operations'!$A$2:$D$534, 4, 0), "")</f>
        <v/>
      </c>
      <c r="E28" s="174">
        <f>IFERROR(VLOOKUP($A28&amp;"-"&amp;E$21, 'S12 Operations'!$A$2:$D$534, 4, 0), "")</f>
        <v>20</v>
      </c>
      <c r="F28" s="174" t="str">
        <f>IFERROR(VLOOKUP($A28&amp;"-"&amp;F$21, 'S12 Operations'!$A$2:$D$534, 4, 0), "")</f>
        <v/>
      </c>
      <c r="G28" s="174">
        <f>IFERROR(VLOOKUP($A28&amp;"-"&amp;G$21, 'S12 Operations'!$A$2:$D$534, 4, 0), "")</f>
        <v>30</v>
      </c>
      <c r="H28" s="174" t="str">
        <f>IFERROR(VLOOKUP($A28&amp;"-"&amp;H$21, 'S12 Operations'!$A$2:$D$534, 4, 0), "")</f>
        <v/>
      </c>
      <c r="I28" s="174">
        <f>IFERROR(VLOOKUP($A28&amp;"-"&amp;I$21, 'S12 Operations'!$A$2:$D$534, 4, 0), "")</f>
        <v>40</v>
      </c>
      <c r="J28" s="174" t="str">
        <f>IFERROR(VLOOKUP($A28&amp;"-"&amp;J$21, 'S12 Operations'!$A$2:$D$534, 4, 0), "")</f>
        <v/>
      </c>
      <c r="K28" s="174" t="str">
        <f>IFERROR(VLOOKUP($A28&amp;"-"&amp;K$21, 'S12 Operations'!$A$2:$D$534, 4, 0), "")</f>
        <v/>
      </c>
      <c r="L28" s="174" t="str">
        <f>IFERROR(VLOOKUP($A28&amp;"-"&amp;L$21, 'S12 Operations'!$A$2:$D$534, 4, 0), "")</f>
        <v/>
      </c>
      <c r="M28" s="174" t="str">
        <f>IFERROR(VLOOKUP($A28&amp;"-"&amp;M$21, 'S12 Operations'!$A$2:$D$534, 4, 0), "")</f>
        <v/>
      </c>
      <c r="N28" s="174" t="str">
        <f>IFERROR(VLOOKUP($A28&amp;"-"&amp;N$21, 'S12 Operations'!$A$2:$D$534, 4, 0), "")</f>
        <v/>
      </c>
      <c r="O28" s="174">
        <f>IFERROR(VLOOKUP($A28&amp;"-"&amp;O$21, 'S12 Operations'!$A$2:$D$534, 4, 0), "")</f>
        <v>50</v>
      </c>
      <c r="P28" s="174" t="str">
        <f>IFERROR(VLOOKUP($A28&amp;"-"&amp;P$21, 'S12 Operations'!$A$2:$D$534, 4, 0), "")</f>
        <v/>
      </c>
      <c r="Q28" s="174" t="str">
        <f>IFERROR(VLOOKUP($A28&amp;"-"&amp;Q$21, 'S12 Operations'!$A$2:$D$534, 4, 0), "")</f>
        <v/>
      </c>
      <c r="R28" s="174" t="str">
        <f>IFERROR(VLOOKUP($A28&amp;"-"&amp;R$21, 'S12 Operations'!$A$2:$D$534, 4, 0), "")</f>
        <v/>
      </c>
      <c r="S28" s="174" t="str">
        <f>IFERROR(VLOOKUP($A28&amp;"-"&amp;S$21, 'S12 Operations'!$A$2:$D$534, 4, 0), "")</f>
        <v/>
      </c>
      <c r="T28" s="174">
        <f>IFERROR(VLOOKUP($A28&amp;"-"&amp;T$21, 'S12 Operations'!$A$2:$D$534, 4, 0), "")</f>
        <v>60</v>
      </c>
      <c r="U28" s="174" t="str">
        <f>IFERROR(VLOOKUP($A28&amp;"-"&amp;U$21, 'S12 Operations'!$A$2:$D$534, 4, 0), "")</f>
        <v/>
      </c>
      <c r="V28" s="174" t="str">
        <f>IFERROR(VLOOKUP($A28&amp;"-"&amp;V$21, 'S12 Operations'!$A$2:$D$534, 4, 0), "")</f>
        <v/>
      </c>
      <c r="W28" s="174">
        <f>IFERROR(VLOOKUP($A28&amp;"-"&amp;W$21, 'S12 Operations'!$A$2:$D$534, 4, 0), "")</f>
        <v>70</v>
      </c>
      <c r="X28" s="174" t="str">
        <f>IFERROR(VLOOKUP($A28&amp;"-"&amp;X$21, 'S12 Operations'!$A$2:$D$534, 4, 0), "")</f>
        <v/>
      </c>
      <c r="Y28" s="174" t="str">
        <f>IFERROR(VLOOKUP($A28&amp;"-"&amp;Y$21, 'S12 Operations'!$A$2:$D$534, 4, 0), "")</f>
        <v/>
      </c>
      <c r="Z28" s="174" t="str">
        <f>IFERROR(VLOOKUP($A28&amp;"-"&amp;Z$21, 'S12 Operations'!$A$2:$D$534, 4, 0), "")</f>
        <v/>
      </c>
      <c r="AA28" s="174">
        <f>IFERROR(VLOOKUP($A28&amp;"-"&amp;AA$21, 'S12 Operations'!$A$2:$D$534, 4, 0), "")</f>
        <v>80</v>
      </c>
    </row>
    <row r="29" spans="1:27" ht="17">
      <c r="A29" s="173" t="str">
        <f>'S08 ABC Output'!A10</f>
        <v>I-012</v>
      </c>
      <c r="B29" s="174">
        <f>IFERROR(VLOOKUP($A29&amp;"-"&amp;B$21, 'S12 Operations'!$A$2:$D$534, 4, 0), "")</f>
        <v>10</v>
      </c>
      <c r="C29" s="174" t="str">
        <f>IFERROR(VLOOKUP($A29&amp;"-"&amp;C$21, 'S12 Operations'!$A$2:$D$534, 4, 0), "")</f>
        <v/>
      </c>
      <c r="D29" s="174" t="str">
        <f>IFERROR(VLOOKUP($A29&amp;"-"&amp;D$21, 'S12 Operations'!$A$2:$D$534, 4, 0), "")</f>
        <v/>
      </c>
      <c r="E29" s="174">
        <f>IFERROR(VLOOKUP($A29&amp;"-"&amp;E$21, 'S12 Operations'!$A$2:$D$534, 4, 0), "")</f>
        <v>20</v>
      </c>
      <c r="F29" s="174" t="str">
        <f>IFERROR(VLOOKUP($A29&amp;"-"&amp;F$21, 'S12 Operations'!$A$2:$D$534, 4, 0), "")</f>
        <v/>
      </c>
      <c r="G29" s="174" t="str">
        <f>IFERROR(VLOOKUP($A29&amp;"-"&amp;G$21, 'S12 Operations'!$A$2:$D$534, 4, 0), "")</f>
        <v/>
      </c>
      <c r="H29" s="174">
        <f>IFERROR(VLOOKUP($A29&amp;"-"&amp;H$21, 'S12 Operations'!$A$2:$D$534, 4, 0), "")</f>
        <v>30</v>
      </c>
      <c r="I29" s="174" t="str">
        <f>IFERROR(VLOOKUP($A29&amp;"-"&amp;I$21, 'S12 Operations'!$A$2:$D$534, 4, 0), "")</f>
        <v/>
      </c>
      <c r="J29" s="174" t="str">
        <f>IFERROR(VLOOKUP($A29&amp;"-"&amp;J$21, 'S12 Operations'!$A$2:$D$534, 4, 0), "")</f>
        <v/>
      </c>
      <c r="K29" s="174">
        <f>IFERROR(VLOOKUP($A29&amp;"-"&amp;K$21, 'S12 Operations'!$A$2:$D$534, 4, 0), "")</f>
        <v>40</v>
      </c>
      <c r="L29" s="174" t="str">
        <f>IFERROR(VLOOKUP($A29&amp;"-"&amp;L$21, 'S12 Operations'!$A$2:$D$534, 4, 0), "")</f>
        <v/>
      </c>
      <c r="M29" s="174">
        <f>IFERROR(VLOOKUP($A29&amp;"-"&amp;M$21, 'S12 Operations'!$A$2:$D$534, 4, 0), "")</f>
        <v>50</v>
      </c>
      <c r="N29" s="174" t="str">
        <f>IFERROR(VLOOKUP($A29&amp;"-"&amp;N$21, 'S12 Operations'!$A$2:$D$534, 4, 0), "")</f>
        <v/>
      </c>
      <c r="O29" s="174" t="str">
        <f>IFERROR(VLOOKUP($A29&amp;"-"&amp;O$21, 'S12 Operations'!$A$2:$D$534, 4, 0), "")</f>
        <v/>
      </c>
      <c r="P29" s="174" t="str">
        <f>IFERROR(VLOOKUP($A29&amp;"-"&amp;P$21, 'S12 Operations'!$A$2:$D$534, 4, 0), "")</f>
        <v/>
      </c>
      <c r="Q29" s="174" t="str">
        <f>IFERROR(VLOOKUP($A29&amp;"-"&amp;Q$21, 'S12 Operations'!$A$2:$D$534, 4, 0), "")</f>
        <v/>
      </c>
      <c r="R29" s="174">
        <f>IFERROR(VLOOKUP($A29&amp;"-"&amp;R$21, 'S12 Operations'!$A$2:$D$534, 4, 0), "")</f>
        <v>60</v>
      </c>
      <c r="S29" s="174" t="str">
        <f>IFERROR(VLOOKUP($A29&amp;"-"&amp;S$21, 'S12 Operations'!$A$2:$D$534, 4, 0), "")</f>
        <v/>
      </c>
      <c r="T29" s="174" t="str">
        <f>IFERROR(VLOOKUP($A29&amp;"-"&amp;T$21, 'S12 Operations'!$A$2:$D$534, 4, 0), "")</f>
        <v/>
      </c>
      <c r="U29" s="174" t="str">
        <f>IFERROR(VLOOKUP($A29&amp;"-"&amp;U$21, 'S12 Operations'!$A$2:$D$534, 4, 0), "")</f>
        <v/>
      </c>
      <c r="V29" s="174" t="str">
        <f>IFERROR(VLOOKUP($A29&amp;"-"&amp;V$21, 'S12 Operations'!$A$2:$D$534, 4, 0), "")</f>
        <v/>
      </c>
      <c r="W29" s="174">
        <f>IFERROR(VLOOKUP($A29&amp;"-"&amp;W$21, 'S12 Operations'!$A$2:$D$534, 4, 0), "")</f>
        <v>70</v>
      </c>
      <c r="X29" s="174" t="str">
        <f>IFERROR(VLOOKUP($A29&amp;"-"&amp;X$21, 'S12 Operations'!$A$2:$D$534, 4, 0), "")</f>
        <v/>
      </c>
      <c r="Y29" s="174" t="str">
        <f>IFERROR(VLOOKUP($A29&amp;"-"&amp;Y$21, 'S12 Operations'!$A$2:$D$534, 4, 0), "")</f>
        <v/>
      </c>
      <c r="Z29" s="174" t="str">
        <f>IFERROR(VLOOKUP($A29&amp;"-"&amp;Z$21, 'S12 Operations'!$A$2:$D$534, 4, 0), "")</f>
        <v/>
      </c>
      <c r="AA29" s="174">
        <f>IFERROR(VLOOKUP($A29&amp;"-"&amp;AA$21, 'S12 Operations'!$A$2:$D$534, 4, 0), "")</f>
        <v>80</v>
      </c>
    </row>
    <row r="30" spans="1:27" ht="17">
      <c r="A30" s="173" t="str">
        <f>'S08 ABC Output'!A11</f>
        <v>I-066</v>
      </c>
      <c r="B30" s="174">
        <f>IFERROR(VLOOKUP($A30&amp;"-"&amp;B$21, 'S12 Operations'!$A$2:$D$534, 4, 0), "")</f>
        <v>10</v>
      </c>
      <c r="C30" s="174">
        <f>IFERROR(VLOOKUP($A30&amp;"-"&amp;C$21, 'S12 Operations'!$A$2:$D$534, 4, 0), "")</f>
        <v>20</v>
      </c>
      <c r="D30" s="174" t="str">
        <f>IFERROR(VLOOKUP($A30&amp;"-"&amp;D$21, 'S12 Operations'!$A$2:$D$534, 4, 0), "")</f>
        <v/>
      </c>
      <c r="E30" s="174" t="str">
        <f>IFERROR(VLOOKUP($A30&amp;"-"&amp;E$21, 'S12 Operations'!$A$2:$D$534, 4, 0), "")</f>
        <v/>
      </c>
      <c r="F30" s="174" t="str">
        <f>IFERROR(VLOOKUP($A30&amp;"-"&amp;F$21, 'S12 Operations'!$A$2:$D$534, 4, 0), "")</f>
        <v/>
      </c>
      <c r="G30" s="174" t="str">
        <f>IFERROR(VLOOKUP($A30&amp;"-"&amp;G$21, 'S12 Operations'!$A$2:$D$534, 4, 0), "")</f>
        <v/>
      </c>
      <c r="H30" s="174" t="str">
        <f>IFERROR(VLOOKUP($A30&amp;"-"&amp;H$21, 'S12 Operations'!$A$2:$D$534, 4, 0), "")</f>
        <v/>
      </c>
      <c r="I30" s="174" t="str">
        <f>IFERROR(VLOOKUP($A30&amp;"-"&amp;I$21, 'S12 Operations'!$A$2:$D$534, 4, 0), "")</f>
        <v/>
      </c>
      <c r="J30" s="174">
        <f>IFERROR(VLOOKUP($A30&amp;"-"&amp;J$21, 'S12 Operations'!$A$2:$D$534, 4, 0), "")</f>
        <v>30</v>
      </c>
      <c r="K30" s="174" t="str">
        <f>IFERROR(VLOOKUP($A30&amp;"-"&amp;K$21, 'S12 Operations'!$A$2:$D$534, 4, 0), "")</f>
        <v/>
      </c>
      <c r="L30" s="174" t="str">
        <f>IFERROR(VLOOKUP($A30&amp;"-"&amp;L$21, 'S12 Operations'!$A$2:$D$534, 4, 0), "")</f>
        <v/>
      </c>
      <c r="M30" s="174" t="str">
        <f>IFERROR(VLOOKUP($A30&amp;"-"&amp;M$21, 'S12 Operations'!$A$2:$D$534, 4, 0), "")</f>
        <v/>
      </c>
      <c r="N30" s="174" t="str">
        <f>IFERROR(VLOOKUP($A30&amp;"-"&amp;N$21, 'S12 Operations'!$A$2:$D$534, 4, 0), "")</f>
        <v/>
      </c>
      <c r="O30" s="174" t="str">
        <f>IFERROR(VLOOKUP($A30&amp;"-"&amp;O$21, 'S12 Operations'!$A$2:$D$534, 4, 0), "")</f>
        <v/>
      </c>
      <c r="P30" s="174" t="str">
        <f>IFERROR(VLOOKUP($A30&amp;"-"&amp;P$21, 'S12 Operations'!$A$2:$D$534, 4, 0), "")</f>
        <v/>
      </c>
      <c r="Q30" s="174">
        <f>IFERROR(VLOOKUP($A30&amp;"-"&amp;Q$21, 'S12 Operations'!$A$2:$D$534, 4, 0), "")</f>
        <v>40</v>
      </c>
      <c r="R30" s="174" t="str">
        <f>IFERROR(VLOOKUP($A30&amp;"-"&amp;R$21, 'S12 Operations'!$A$2:$D$534, 4, 0), "")</f>
        <v/>
      </c>
      <c r="S30" s="174" t="str">
        <f>IFERROR(VLOOKUP($A30&amp;"-"&amp;S$21, 'S12 Operations'!$A$2:$D$534, 4, 0), "")</f>
        <v/>
      </c>
      <c r="T30" s="174" t="str">
        <f>IFERROR(VLOOKUP($A30&amp;"-"&amp;T$21, 'S12 Operations'!$A$2:$D$534, 4, 0), "")</f>
        <v/>
      </c>
      <c r="U30" s="174" t="str">
        <f>IFERROR(VLOOKUP($A30&amp;"-"&amp;U$21, 'S12 Operations'!$A$2:$D$534, 4, 0), "")</f>
        <v/>
      </c>
      <c r="V30" s="174" t="str">
        <f>IFERROR(VLOOKUP($A30&amp;"-"&amp;V$21, 'S12 Operations'!$A$2:$D$534, 4, 0), "")</f>
        <v/>
      </c>
      <c r="W30" s="174" t="str">
        <f>IFERROR(VLOOKUP($A30&amp;"-"&amp;W$21, 'S12 Operations'!$A$2:$D$534, 4, 0), "")</f>
        <v/>
      </c>
      <c r="X30" s="174" t="str">
        <f>IFERROR(VLOOKUP($A30&amp;"-"&amp;X$21, 'S12 Operations'!$A$2:$D$534, 4, 0), "")</f>
        <v/>
      </c>
      <c r="Y30" s="174">
        <f>IFERROR(VLOOKUP($A30&amp;"-"&amp;Y$21, 'S12 Operations'!$A$2:$D$534, 4, 0), "")</f>
        <v>50</v>
      </c>
      <c r="Z30" s="174" t="str">
        <f>IFERROR(VLOOKUP($A30&amp;"-"&amp;Z$21, 'S12 Operations'!$A$2:$D$534, 4, 0), "")</f>
        <v/>
      </c>
      <c r="AA30" s="174">
        <f>IFERROR(VLOOKUP($A30&amp;"-"&amp;AA$21, 'S12 Operations'!$A$2:$D$534, 4, 0), "")</f>
        <v>60</v>
      </c>
    </row>
    <row r="31" spans="1:27" ht="17">
      <c r="A31" s="173" t="str">
        <f>'S08 ABC Output'!A12</f>
        <v>I-069</v>
      </c>
      <c r="B31" s="174">
        <f>IFERROR(VLOOKUP($A31&amp;"-"&amp;B$21, 'S12 Operations'!$A$2:$D$534, 4, 0), "")</f>
        <v>10</v>
      </c>
      <c r="C31" s="174">
        <f>IFERROR(VLOOKUP($A31&amp;"-"&amp;C$21, 'S12 Operations'!$A$2:$D$534, 4, 0), "")</f>
        <v>20</v>
      </c>
      <c r="D31" s="174" t="str">
        <f>IFERROR(VLOOKUP($A31&amp;"-"&amp;D$21, 'S12 Operations'!$A$2:$D$534, 4, 0), "")</f>
        <v/>
      </c>
      <c r="E31" s="174" t="str">
        <f>IFERROR(VLOOKUP($A31&amp;"-"&amp;E$21, 'S12 Operations'!$A$2:$D$534, 4, 0), "")</f>
        <v/>
      </c>
      <c r="F31" s="174" t="str">
        <f>IFERROR(VLOOKUP($A31&amp;"-"&amp;F$21, 'S12 Operations'!$A$2:$D$534, 4, 0), "")</f>
        <v/>
      </c>
      <c r="G31" s="174" t="str">
        <f>IFERROR(VLOOKUP($A31&amp;"-"&amp;G$21, 'S12 Operations'!$A$2:$D$534, 4, 0), "")</f>
        <v/>
      </c>
      <c r="H31" s="174" t="str">
        <f>IFERROR(VLOOKUP($A31&amp;"-"&amp;H$21, 'S12 Operations'!$A$2:$D$534, 4, 0), "")</f>
        <v/>
      </c>
      <c r="I31" s="174" t="str">
        <f>IFERROR(VLOOKUP($A31&amp;"-"&amp;I$21, 'S12 Operations'!$A$2:$D$534, 4, 0), "")</f>
        <v/>
      </c>
      <c r="J31" s="174">
        <f>IFERROR(VLOOKUP($A31&amp;"-"&amp;J$21, 'S12 Operations'!$A$2:$D$534, 4, 0), "")</f>
        <v>30</v>
      </c>
      <c r="K31" s="174" t="str">
        <f>IFERROR(VLOOKUP($A31&amp;"-"&amp;K$21, 'S12 Operations'!$A$2:$D$534, 4, 0), "")</f>
        <v/>
      </c>
      <c r="L31" s="174" t="str">
        <f>IFERROR(VLOOKUP($A31&amp;"-"&amp;L$21, 'S12 Operations'!$A$2:$D$534, 4, 0), "")</f>
        <v/>
      </c>
      <c r="M31" s="174" t="str">
        <f>IFERROR(VLOOKUP($A31&amp;"-"&amp;M$21, 'S12 Operations'!$A$2:$D$534, 4, 0), "")</f>
        <v/>
      </c>
      <c r="N31" s="174" t="str">
        <f>IFERROR(VLOOKUP($A31&amp;"-"&amp;N$21, 'S12 Operations'!$A$2:$D$534, 4, 0), "")</f>
        <v/>
      </c>
      <c r="O31" s="174" t="str">
        <f>IFERROR(VLOOKUP($A31&amp;"-"&amp;O$21, 'S12 Operations'!$A$2:$D$534, 4, 0), "")</f>
        <v/>
      </c>
      <c r="P31" s="174" t="str">
        <f>IFERROR(VLOOKUP($A31&amp;"-"&amp;P$21, 'S12 Operations'!$A$2:$D$534, 4, 0), "")</f>
        <v/>
      </c>
      <c r="Q31" s="174">
        <f>IFERROR(VLOOKUP($A31&amp;"-"&amp;Q$21, 'S12 Operations'!$A$2:$D$534, 4, 0), "")</f>
        <v>40</v>
      </c>
      <c r="R31" s="174" t="str">
        <f>IFERROR(VLOOKUP($A31&amp;"-"&amp;R$21, 'S12 Operations'!$A$2:$D$534, 4, 0), "")</f>
        <v/>
      </c>
      <c r="S31" s="174" t="str">
        <f>IFERROR(VLOOKUP($A31&amp;"-"&amp;S$21, 'S12 Operations'!$A$2:$D$534, 4, 0), "")</f>
        <v/>
      </c>
      <c r="T31" s="174" t="str">
        <f>IFERROR(VLOOKUP($A31&amp;"-"&amp;T$21, 'S12 Operations'!$A$2:$D$534, 4, 0), "")</f>
        <v/>
      </c>
      <c r="U31" s="174" t="str">
        <f>IFERROR(VLOOKUP($A31&amp;"-"&amp;U$21, 'S12 Operations'!$A$2:$D$534, 4, 0), "")</f>
        <v/>
      </c>
      <c r="V31" s="174" t="str">
        <f>IFERROR(VLOOKUP($A31&amp;"-"&amp;V$21, 'S12 Operations'!$A$2:$D$534, 4, 0), "")</f>
        <v/>
      </c>
      <c r="W31" s="174" t="str">
        <f>IFERROR(VLOOKUP($A31&amp;"-"&amp;W$21, 'S12 Operations'!$A$2:$D$534, 4, 0), "")</f>
        <v/>
      </c>
      <c r="X31" s="174" t="str">
        <f>IFERROR(VLOOKUP($A31&amp;"-"&amp;X$21, 'S12 Operations'!$A$2:$D$534, 4, 0), "")</f>
        <v/>
      </c>
      <c r="Y31" s="174">
        <f>IFERROR(VLOOKUP($A31&amp;"-"&amp;Y$21, 'S12 Operations'!$A$2:$D$534, 4, 0), "")</f>
        <v>50</v>
      </c>
      <c r="Z31" s="174" t="str">
        <f>IFERROR(VLOOKUP($A31&amp;"-"&amp;Z$21, 'S12 Operations'!$A$2:$D$534, 4, 0), "")</f>
        <v/>
      </c>
      <c r="AA31" s="174">
        <f>IFERROR(VLOOKUP($A31&amp;"-"&amp;AA$21, 'S12 Operations'!$A$2:$D$534, 4, 0), "")</f>
        <v>60</v>
      </c>
    </row>
    <row r="32" spans="1:27" ht="17">
      <c r="A32" s="173" t="str">
        <f>'S08 ABC Output'!A13</f>
        <v>I-070</v>
      </c>
      <c r="B32" s="174">
        <f>IFERROR(VLOOKUP($A32&amp;"-"&amp;B$21, 'S12 Operations'!$A$2:$D$534, 4, 0), "")</f>
        <v>10</v>
      </c>
      <c r="C32" s="174">
        <f>IFERROR(VLOOKUP($A32&amp;"-"&amp;C$21, 'S12 Operations'!$A$2:$D$534, 4, 0), "")</f>
        <v>20</v>
      </c>
      <c r="D32" s="174" t="str">
        <f>IFERROR(VLOOKUP($A32&amp;"-"&amp;D$21, 'S12 Operations'!$A$2:$D$534, 4, 0), "")</f>
        <v/>
      </c>
      <c r="E32" s="174" t="str">
        <f>IFERROR(VLOOKUP($A32&amp;"-"&amp;E$21, 'S12 Operations'!$A$2:$D$534, 4, 0), "")</f>
        <v/>
      </c>
      <c r="F32" s="174" t="str">
        <f>IFERROR(VLOOKUP($A32&amp;"-"&amp;F$21, 'S12 Operations'!$A$2:$D$534, 4, 0), "")</f>
        <v/>
      </c>
      <c r="G32" s="174" t="str">
        <f>IFERROR(VLOOKUP($A32&amp;"-"&amp;G$21, 'S12 Operations'!$A$2:$D$534, 4, 0), "")</f>
        <v/>
      </c>
      <c r="H32" s="174" t="str">
        <f>IFERROR(VLOOKUP($A32&amp;"-"&amp;H$21, 'S12 Operations'!$A$2:$D$534, 4, 0), "")</f>
        <v/>
      </c>
      <c r="I32" s="174" t="str">
        <f>IFERROR(VLOOKUP($A32&amp;"-"&amp;I$21, 'S12 Operations'!$A$2:$D$534, 4, 0), "")</f>
        <v/>
      </c>
      <c r="J32" s="174">
        <f>IFERROR(VLOOKUP($A32&amp;"-"&amp;J$21, 'S12 Operations'!$A$2:$D$534, 4, 0), "")</f>
        <v>30</v>
      </c>
      <c r="K32" s="174" t="str">
        <f>IFERROR(VLOOKUP($A32&amp;"-"&amp;K$21, 'S12 Operations'!$A$2:$D$534, 4, 0), "")</f>
        <v/>
      </c>
      <c r="L32" s="174" t="str">
        <f>IFERROR(VLOOKUP($A32&amp;"-"&amp;L$21, 'S12 Operations'!$A$2:$D$534, 4, 0), "")</f>
        <v/>
      </c>
      <c r="M32" s="174" t="str">
        <f>IFERROR(VLOOKUP($A32&amp;"-"&amp;M$21, 'S12 Operations'!$A$2:$D$534, 4, 0), "")</f>
        <v/>
      </c>
      <c r="N32" s="174" t="str">
        <f>IFERROR(VLOOKUP($A32&amp;"-"&amp;N$21, 'S12 Operations'!$A$2:$D$534, 4, 0), "")</f>
        <v/>
      </c>
      <c r="O32" s="174" t="str">
        <f>IFERROR(VLOOKUP($A32&amp;"-"&amp;O$21, 'S12 Operations'!$A$2:$D$534, 4, 0), "")</f>
        <v/>
      </c>
      <c r="P32" s="174" t="str">
        <f>IFERROR(VLOOKUP($A32&amp;"-"&amp;P$21, 'S12 Operations'!$A$2:$D$534, 4, 0), "")</f>
        <v/>
      </c>
      <c r="Q32" s="174">
        <f>IFERROR(VLOOKUP($A32&amp;"-"&amp;Q$21, 'S12 Operations'!$A$2:$D$534, 4, 0), "")</f>
        <v>40</v>
      </c>
      <c r="R32" s="174" t="str">
        <f>IFERROR(VLOOKUP($A32&amp;"-"&amp;R$21, 'S12 Operations'!$A$2:$D$534, 4, 0), "")</f>
        <v/>
      </c>
      <c r="S32" s="174" t="str">
        <f>IFERROR(VLOOKUP($A32&amp;"-"&amp;S$21, 'S12 Operations'!$A$2:$D$534, 4, 0), "")</f>
        <v/>
      </c>
      <c r="T32" s="174" t="str">
        <f>IFERROR(VLOOKUP($A32&amp;"-"&amp;T$21, 'S12 Operations'!$A$2:$D$534, 4, 0), "")</f>
        <v/>
      </c>
      <c r="U32" s="174" t="str">
        <f>IFERROR(VLOOKUP($A32&amp;"-"&amp;U$21, 'S12 Operations'!$A$2:$D$534, 4, 0), "")</f>
        <v/>
      </c>
      <c r="V32" s="174" t="str">
        <f>IFERROR(VLOOKUP($A32&amp;"-"&amp;V$21, 'S12 Operations'!$A$2:$D$534, 4, 0), "")</f>
        <v/>
      </c>
      <c r="W32" s="174" t="str">
        <f>IFERROR(VLOOKUP($A32&amp;"-"&amp;W$21, 'S12 Operations'!$A$2:$D$534, 4, 0), "")</f>
        <v/>
      </c>
      <c r="X32" s="174" t="str">
        <f>IFERROR(VLOOKUP($A32&amp;"-"&amp;X$21, 'S12 Operations'!$A$2:$D$534, 4, 0), "")</f>
        <v/>
      </c>
      <c r="Y32" s="174">
        <f>IFERROR(VLOOKUP($A32&amp;"-"&amp;Y$21, 'S12 Operations'!$A$2:$D$534, 4, 0), "")</f>
        <v>50</v>
      </c>
      <c r="Z32" s="174" t="str">
        <f>IFERROR(VLOOKUP($A32&amp;"-"&amp;Z$21, 'S12 Operations'!$A$2:$D$534, 4, 0), "")</f>
        <v/>
      </c>
      <c r="AA32" s="174">
        <f>IFERROR(VLOOKUP($A32&amp;"-"&amp;AA$21, 'S12 Operations'!$A$2:$D$534, 4, 0), "")</f>
        <v>60</v>
      </c>
    </row>
    <row r="33" spans="1:27" ht="17">
      <c r="A33" s="173" t="str">
        <f>'S08 ABC Output'!A14</f>
        <v>I-006</v>
      </c>
      <c r="B33" s="174">
        <f>IFERROR(VLOOKUP($A33&amp;"-"&amp;B$21, 'S12 Operations'!$A$2:$D$534, 4, 0), "")</f>
        <v>10</v>
      </c>
      <c r="C33" s="174" t="str">
        <f>IFERROR(VLOOKUP($A33&amp;"-"&amp;C$21, 'S12 Operations'!$A$2:$D$534, 4, 0), "")</f>
        <v/>
      </c>
      <c r="D33" s="174" t="str">
        <f>IFERROR(VLOOKUP($A33&amp;"-"&amp;D$21, 'S12 Operations'!$A$2:$D$534, 4, 0), "")</f>
        <v/>
      </c>
      <c r="E33" s="174">
        <f>IFERROR(VLOOKUP($A33&amp;"-"&amp;E$21, 'S12 Operations'!$A$2:$D$534, 4, 0), "")</f>
        <v>20</v>
      </c>
      <c r="F33" s="174">
        <f>IFERROR(VLOOKUP($A33&amp;"-"&amp;F$21, 'S12 Operations'!$A$2:$D$534, 4, 0), "")</f>
        <v>30</v>
      </c>
      <c r="G33" s="174" t="str">
        <f>IFERROR(VLOOKUP($A33&amp;"-"&amp;G$21, 'S12 Operations'!$A$2:$D$534, 4, 0), "")</f>
        <v/>
      </c>
      <c r="H33" s="174" t="str">
        <f>IFERROR(VLOOKUP($A33&amp;"-"&amp;H$21, 'S12 Operations'!$A$2:$D$534, 4, 0), "")</f>
        <v/>
      </c>
      <c r="I33" s="174" t="str">
        <f>IFERROR(VLOOKUP($A33&amp;"-"&amp;I$21, 'S12 Operations'!$A$2:$D$534, 4, 0), "")</f>
        <v/>
      </c>
      <c r="J33" s="174" t="str">
        <f>IFERROR(VLOOKUP($A33&amp;"-"&amp;J$21, 'S12 Operations'!$A$2:$D$534, 4, 0), "")</f>
        <v/>
      </c>
      <c r="K33" s="174" t="str">
        <f>IFERROR(VLOOKUP($A33&amp;"-"&amp;K$21, 'S12 Operations'!$A$2:$D$534, 4, 0), "")</f>
        <v/>
      </c>
      <c r="L33" s="174">
        <f>IFERROR(VLOOKUP($A33&amp;"-"&amp;L$21, 'S12 Operations'!$A$2:$D$534, 4, 0), "")</f>
        <v>40</v>
      </c>
      <c r="M33" s="174" t="str">
        <f>IFERROR(VLOOKUP($A33&amp;"-"&amp;M$21, 'S12 Operations'!$A$2:$D$534, 4, 0), "")</f>
        <v/>
      </c>
      <c r="N33" s="174" t="str">
        <f>IFERROR(VLOOKUP($A33&amp;"-"&amp;N$21, 'S12 Operations'!$A$2:$D$534, 4, 0), "")</f>
        <v/>
      </c>
      <c r="O33" s="174" t="str">
        <f>IFERROR(VLOOKUP($A33&amp;"-"&amp;O$21, 'S12 Operations'!$A$2:$D$534, 4, 0), "")</f>
        <v/>
      </c>
      <c r="P33" s="174">
        <f>IFERROR(VLOOKUP($A33&amp;"-"&amp;P$21, 'S12 Operations'!$A$2:$D$534, 4, 0), "")</f>
        <v>50</v>
      </c>
      <c r="Q33" s="174" t="str">
        <f>IFERROR(VLOOKUP($A33&amp;"-"&amp;Q$21, 'S12 Operations'!$A$2:$D$534, 4, 0), "")</f>
        <v/>
      </c>
      <c r="R33" s="174" t="str">
        <f>IFERROR(VLOOKUP($A33&amp;"-"&amp;R$21, 'S12 Operations'!$A$2:$D$534, 4, 0), "")</f>
        <v/>
      </c>
      <c r="S33" s="174" t="str">
        <f>IFERROR(VLOOKUP($A33&amp;"-"&amp;S$21, 'S12 Operations'!$A$2:$D$534, 4, 0), "")</f>
        <v/>
      </c>
      <c r="T33" s="174" t="str">
        <f>IFERROR(VLOOKUP($A33&amp;"-"&amp;T$21, 'S12 Operations'!$A$2:$D$534, 4, 0), "")</f>
        <v/>
      </c>
      <c r="U33" s="174" t="str">
        <f>IFERROR(VLOOKUP($A33&amp;"-"&amp;U$21, 'S12 Operations'!$A$2:$D$534, 4, 0), "")</f>
        <v/>
      </c>
      <c r="V33" s="174">
        <f>IFERROR(VLOOKUP($A33&amp;"-"&amp;V$21, 'S12 Operations'!$A$2:$D$534, 4, 0), "")</f>
        <v>60</v>
      </c>
      <c r="W33" s="174" t="str">
        <f>IFERROR(VLOOKUP($A33&amp;"-"&amp;W$21, 'S12 Operations'!$A$2:$D$534, 4, 0), "")</f>
        <v/>
      </c>
      <c r="X33" s="174">
        <f>IFERROR(VLOOKUP($A33&amp;"-"&amp;X$21, 'S12 Operations'!$A$2:$D$534, 4, 0), "")</f>
        <v>70</v>
      </c>
      <c r="Y33" s="174" t="str">
        <f>IFERROR(VLOOKUP($A33&amp;"-"&amp;Y$21, 'S12 Operations'!$A$2:$D$534, 4, 0), "")</f>
        <v/>
      </c>
      <c r="Z33" s="174" t="str">
        <f>IFERROR(VLOOKUP($A33&amp;"-"&amp;Z$21, 'S12 Operations'!$A$2:$D$534, 4, 0), "")</f>
        <v/>
      </c>
      <c r="AA33" s="174">
        <f>IFERROR(VLOOKUP($A33&amp;"-"&amp;AA$21, 'S12 Operations'!$A$2:$D$534, 4, 0), "")</f>
        <v>80</v>
      </c>
    </row>
    <row r="34" spans="1:27" ht="17">
      <c r="A34" s="173" t="str">
        <f>'S08 ABC Output'!A15</f>
        <v>I-073</v>
      </c>
      <c r="B34" s="174">
        <f>IFERROR(VLOOKUP($A34&amp;"-"&amp;B$21, 'S12 Operations'!$A$2:$D$534, 4, 0), "")</f>
        <v>10</v>
      </c>
      <c r="C34" s="174" t="str">
        <f>IFERROR(VLOOKUP($A34&amp;"-"&amp;C$21, 'S12 Operations'!$A$2:$D$534, 4, 0), "")</f>
        <v/>
      </c>
      <c r="D34" s="174">
        <f>IFERROR(VLOOKUP($A34&amp;"-"&amp;D$21, 'S12 Operations'!$A$2:$D$534, 4, 0), "")</f>
        <v>20</v>
      </c>
      <c r="E34" s="174" t="str">
        <f>IFERROR(VLOOKUP($A34&amp;"-"&amp;E$21, 'S12 Operations'!$A$2:$D$534, 4, 0), "")</f>
        <v/>
      </c>
      <c r="F34" s="174" t="str">
        <f>IFERROR(VLOOKUP($A34&amp;"-"&amp;F$21, 'S12 Operations'!$A$2:$D$534, 4, 0), "")</f>
        <v/>
      </c>
      <c r="G34" s="174" t="str">
        <f>IFERROR(VLOOKUP($A34&amp;"-"&amp;G$21, 'S12 Operations'!$A$2:$D$534, 4, 0), "")</f>
        <v/>
      </c>
      <c r="H34" s="174">
        <f>IFERROR(VLOOKUP($A34&amp;"-"&amp;H$21, 'S12 Operations'!$A$2:$D$534, 4, 0), "")</f>
        <v>30</v>
      </c>
      <c r="I34" s="174" t="str">
        <f>IFERROR(VLOOKUP($A34&amp;"-"&amp;I$21, 'S12 Operations'!$A$2:$D$534, 4, 0), "")</f>
        <v/>
      </c>
      <c r="J34" s="174" t="str">
        <f>IFERROR(VLOOKUP($A34&amp;"-"&amp;J$21, 'S12 Operations'!$A$2:$D$534, 4, 0), "")</f>
        <v/>
      </c>
      <c r="K34" s="174" t="str">
        <f>IFERROR(VLOOKUP($A34&amp;"-"&amp;K$21, 'S12 Operations'!$A$2:$D$534, 4, 0), "")</f>
        <v/>
      </c>
      <c r="L34" s="174" t="str">
        <f>IFERROR(VLOOKUP($A34&amp;"-"&amp;L$21, 'S12 Operations'!$A$2:$D$534, 4, 0), "")</f>
        <v/>
      </c>
      <c r="M34" s="174" t="str">
        <f>IFERROR(VLOOKUP($A34&amp;"-"&amp;M$21, 'S12 Operations'!$A$2:$D$534, 4, 0), "")</f>
        <v/>
      </c>
      <c r="N34" s="174">
        <f>IFERROR(VLOOKUP($A34&amp;"-"&amp;N$21, 'S12 Operations'!$A$2:$D$534, 4, 0), "")</f>
        <v>40</v>
      </c>
      <c r="O34" s="174" t="str">
        <f>IFERROR(VLOOKUP($A34&amp;"-"&amp;O$21, 'S12 Operations'!$A$2:$D$534, 4, 0), "")</f>
        <v/>
      </c>
      <c r="P34" s="174" t="str">
        <f>IFERROR(VLOOKUP($A34&amp;"-"&amp;P$21, 'S12 Operations'!$A$2:$D$534, 4, 0), "")</f>
        <v/>
      </c>
      <c r="Q34" s="174" t="str">
        <f>IFERROR(VLOOKUP($A34&amp;"-"&amp;Q$21, 'S12 Operations'!$A$2:$D$534, 4, 0), "")</f>
        <v/>
      </c>
      <c r="R34" s="174" t="str">
        <f>IFERROR(VLOOKUP($A34&amp;"-"&amp;R$21, 'S12 Operations'!$A$2:$D$534, 4, 0), "")</f>
        <v/>
      </c>
      <c r="S34" s="174">
        <f>IFERROR(VLOOKUP($A34&amp;"-"&amp;S$21, 'S12 Operations'!$A$2:$D$534, 4, 0), "")</f>
        <v>50</v>
      </c>
      <c r="T34" s="174" t="str">
        <f>IFERROR(VLOOKUP($A34&amp;"-"&amp;T$21, 'S12 Operations'!$A$2:$D$534, 4, 0), "")</f>
        <v/>
      </c>
      <c r="U34" s="174">
        <f>IFERROR(VLOOKUP($A34&amp;"-"&amp;U$21, 'S12 Operations'!$A$2:$D$534, 4, 0), "")</f>
        <v>60</v>
      </c>
      <c r="V34" s="174" t="str">
        <f>IFERROR(VLOOKUP($A34&amp;"-"&amp;V$21, 'S12 Operations'!$A$2:$D$534, 4, 0), "")</f>
        <v/>
      </c>
      <c r="W34" s="174">
        <f>IFERROR(VLOOKUP($A34&amp;"-"&amp;W$21, 'S12 Operations'!$A$2:$D$534, 4, 0), "")</f>
        <v>70</v>
      </c>
      <c r="X34" s="174" t="str">
        <f>IFERROR(VLOOKUP($A34&amp;"-"&amp;X$21, 'S12 Operations'!$A$2:$D$534, 4, 0), "")</f>
        <v/>
      </c>
      <c r="Y34" s="174" t="str">
        <f>IFERROR(VLOOKUP($A34&amp;"-"&amp;Y$21, 'S12 Operations'!$A$2:$D$534, 4, 0), "")</f>
        <v/>
      </c>
      <c r="Z34" s="174" t="str">
        <f>IFERROR(VLOOKUP($A34&amp;"-"&amp;Z$21, 'S12 Operations'!$A$2:$D$534, 4, 0), "")</f>
        <v/>
      </c>
      <c r="AA34" s="174">
        <f>IFERROR(VLOOKUP($A34&amp;"-"&amp;AA$21, 'S12 Operations'!$A$2:$D$534, 4, 0), "")</f>
        <v>80</v>
      </c>
    </row>
    <row r="35" spans="1:27" ht="17">
      <c r="A35" s="173" t="str">
        <f>'S08 ABC Output'!A16</f>
        <v>I-071</v>
      </c>
      <c r="B35" s="174">
        <f>IFERROR(VLOOKUP($A35&amp;"-"&amp;B$21, 'S12 Operations'!$A$2:$D$534, 4, 0), "")</f>
        <v>10</v>
      </c>
      <c r="C35" s="174">
        <f>IFERROR(VLOOKUP($A35&amp;"-"&amp;C$21, 'S12 Operations'!$A$2:$D$534, 4, 0), "")</f>
        <v>20</v>
      </c>
      <c r="D35" s="174" t="str">
        <f>IFERROR(VLOOKUP($A35&amp;"-"&amp;D$21, 'S12 Operations'!$A$2:$D$534, 4, 0), "")</f>
        <v/>
      </c>
      <c r="E35" s="174" t="str">
        <f>IFERROR(VLOOKUP($A35&amp;"-"&amp;E$21, 'S12 Operations'!$A$2:$D$534, 4, 0), "")</f>
        <v/>
      </c>
      <c r="F35" s="174" t="str">
        <f>IFERROR(VLOOKUP($A35&amp;"-"&amp;F$21, 'S12 Operations'!$A$2:$D$534, 4, 0), "")</f>
        <v/>
      </c>
      <c r="G35" s="174" t="str">
        <f>IFERROR(VLOOKUP($A35&amp;"-"&amp;G$21, 'S12 Operations'!$A$2:$D$534, 4, 0), "")</f>
        <v/>
      </c>
      <c r="H35" s="174" t="str">
        <f>IFERROR(VLOOKUP($A35&amp;"-"&amp;H$21, 'S12 Operations'!$A$2:$D$534, 4, 0), "")</f>
        <v/>
      </c>
      <c r="I35" s="174" t="str">
        <f>IFERROR(VLOOKUP($A35&amp;"-"&amp;I$21, 'S12 Operations'!$A$2:$D$534, 4, 0), "")</f>
        <v/>
      </c>
      <c r="J35" s="174">
        <f>IFERROR(VLOOKUP($A35&amp;"-"&amp;J$21, 'S12 Operations'!$A$2:$D$534, 4, 0), "")</f>
        <v>30</v>
      </c>
      <c r="K35" s="174" t="str">
        <f>IFERROR(VLOOKUP($A35&amp;"-"&amp;K$21, 'S12 Operations'!$A$2:$D$534, 4, 0), "")</f>
        <v/>
      </c>
      <c r="L35" s="174" t="str">
        <f>IFERROR(VLOOKUP($A35&amp;"-"&amp;L$21, 'S12 Operations'!$A$2:$D$534, 4, 0), "")</f>
        <v/>
      </c>
      <c r="M35" s="174" t="str">
        <f>IFERROR(VLOOKUP($A35&amp;"-"&amp;M$21, 'S12 Operations'!$A$2:$D$534, 4, 0), "")</f>
        <v/>
      </c>
      <c r="N35" s="174" t="str">
        <f>IFERROR(VLOOKUP($A35&amp;"-"&amp;N$21, 'S12 Operations'!$A$2:$D$534, 4, 0), "")</f>
        <v/>
      </c>
      <c r="O35" s="174" t="str">
        <f>IFERROR(VLOOKUP($A35&amp;"-"&amp;O$21, 'S12 Operations'!$A$2:$D$534, 4, 0), "")</f>
        <v/>
      </c>
      <c r="P35" s="174" t="str">
        <f>IFERROR(VLOOKUP($A35&amp;"-"&amp;P$21, 'S12 Operations'!$A$2:$D$534, 4, 0), "")</f>
        <v/>
      </c>
      <c r="Q35" s="174">
        <f>IFERROR(VLOOKUP($A35&amp;"-"&amp;Q$21, 'S12 Operations'!$A$2:$D$534, 4, 0), "")</f>
        <v>40</v>
      </c>
      <c r="R35" s="174" t="str">
        <f>IFERROR(VLOOKUP($A35&amp;"-"&amp;R$21, 'S12 Operations'!$A$2:$D$534, 4, 0), "")</f>
        <v/>
      </c>
      <c r="S35" s="174" t="str">
        <f>IFERROR(VLOOKUP($A35&amp;"-"&amp;S$21, 'S12 Operations'!$A$2:$D$534, 4, 0), "")</f>
        <v/>
      </c>
      <c r="T35" s="174" t="str">
        <f>IFERROR(VLOOKUP($A35&amp;"-"&amp;T$21, 'S12 Operations'!$A$2:$D$534, 4, 0), "")</f>
        <v/>
      </c>
      <c r="U35" s="174" t="str">
        <f>IFERROR(VLOOKUP($A35&amp;"-"&amp;U$21, 'S12 Operations'!$A$2:$D$534, 4, 0), "")</f>
        <v/>
      </c>
      <c r="V35" s="174" t="str">
        <f>IFERROR(VLOOKUP($A35&amp;"-"&amp;V$21, 'S12 Operations'!$A$2:$D$534, 4, 0), "")</f>
        <v/>
      </c>
      <c r="W35" s="174" t="str">
        <f>IFERROR(VLOOKUP($A35&amp;"-"&amp;W$21, 'S12 Operations'!$A$2:$D$534, 4, 0), "")</f>
        <v/>
      </c>
      <c r="X35" s="174" t="str">
        <f>IFERROR(VLOOKUP($A35&amp;"-"&amp;X$21, 'S12 Operations'!$A$2:$D$534, 4, 0), "")</f>
        <v/>
      </c>
      <c r="Y35" s="174">
        <f>IFERROR(VLOOKUP($A35&amp;"-"&amp;Y$21, 'S12 Operations'!$A$2:$D$534, 4, 0), "")</f>
        <v>50</v>
      </c>
      <c r="Z35" s="174" t="str">
        <f>IFERROR(VLOOKUP($A35&amp;"-"&amp;Z$21, 'S12 Operations'!$A$2:$D$534, 4, 0), "")</f>
        <v/>
      </c>
      <c r="AA35" s="174">
        <f>IFERROR(VLOOKUP($A35&amp;"-"&amp;AA$21, 'S12 Operations'!$A$2:$D$534, 4, 0), "")</f>
        <v>60</v>
      </c>
    </row>
    <row r="36" spans="1:27" ht="17">
      <c r="A36" s="173" t="str">
        <f>'S08 ABC Output'!A17</f>
        <v>I-007</v>
      </c>
      <c r="B36" s="174">
        <f>IFERROR(VLOOKUP($A36&amp;"-"&amp;B$21, 'S12 Operations'!$A$2:$D$534, 4, 0), "")</f>
        <v>10</v>
      </c>
      <c r="C36" s="174" t="str">
        <f>IFERROR(VLOOKUP($A36&amp;"-"&amp;C$21, 'S12 Operations'!$A$2:$D$534, 4, 0), "")</f>
        <v/>
      </c>
      <c r="D36" s="174" t="str">
        <f>IFERROR(VLOOKUP($A36&amp;"-"&amp;D$21, 'S12 Operations'!$A$2:$D$534, 4, 0), "")</f>
        <v/>
      </c>
      <c r="E36" s="174">
        <f>IFERROR(VLOOKUP($A36&amp;"-"&amp;E$21, 'S12 Operations'!$A$2:$D$534, 4, 0), "")</f>
        <v>20</v>
      </c>
      <c r="F36" s="174">
        <f>IFERROR(VLOOKUP($A36&amp;"-"&amp;F$21, 'S12 Operations'!$A$2:$D$534, 4, 0), "")</f>
        <v>30</v>
      </c>
      <c r="G36" s="174" t="str">
        <f>IFERROR(VLOOKUP($A36&amp;"-"&amp;G$21, 'S12 Operations'!$A$2:$D$534, 4, 0), "")</f>
        <v/>
      </c>
      <c r="H36" s="174" t="str">
        <f>IFERROR(VLOOKUP($A36&amp;"-"&amp;H$21, 'S12 Operations'!$A$2:$D$534, 4, 0), "")</f>
        <v/>
      </c>
      <c r="I36" s="174" t="str">
        <f>IFERROR(VLOOKUP($A36&amp;"-"&amp;I$21, 'S12 Operations'!$A$2:$D$534, 4, 0), "")</f>
        <v/>
      </c>
      <c r="J36" s="174" t="str">
        <f>IFERROR(VLOOKUP($A36&amp;"-"&amp;J$21, 'S12 Operations'!$A$2:$D$534, 4, 0), "")</f>
        <v/>
      </c>
      <c r="K36" s="174" t="str">
        <f>IFERROR(VLOOKUP($A36&amp;"-"&amp;K$21, 'S12 Operations'!$A$2:$D$534, 4, 0), "")</f>
        <v/>
      </c>
      <c r="L36" s="174">
        <f>IFERROR(VLOOKUP($A36&amp;"-"&amp;L$21, 'S12 Operations'!$A$2:$D$534, 4, 0), "")</f>
        <v>40</v>
      </c>
      <c r="M36" s="174" t="str">
        <f>IFERROR(VLOOKUP($A36&amp;"-"&amp;M$21, 'S12 Operations'!$A$2:$D$534, 4, 0), "")</f>
        <v/>
      </c>
      <c r="N36" s="174" t="str">
        <f>IFERROR(VLOOKUP($A36&amp;"-"&amp;N$21, 'S12 Operations'!$A$2:$D$534, 4, 0), "")</f>
        <v/>
      </c>
      <c r="O36" s="174" t="str">
        <f>IFERROR(VLOOKUP($A36&amp;"-"&amp;O$21, 'S12 Operations'!$A$2:$D$534, 4, 0), "")</f>
        <v/>
      </c>
      <c r="P36" s="174">
        <f>IFERROR(VLOOKUP($A36&amp;"-"&amp;P$21, 'S12 Operations'!$A$2:$D$534, 4, 0), "")</f>
        <v>50</v>
      </c>
      <c r="Q36" s="174" t="str">
        <f>IFERROR(VLOOKUP($A36&amp;"-"&amp;Q$21, 'S12 Operations'!$A$2:$D$534, 4, 0), "")</f>
        <v/>
      </c>
      <c r="R36" s="174" t="str">
        <f>IFERROR(VLOOKUP($A36&amp;"-"&amp;R$21, 'S12 Operations'!$A$2:$D$534, 4, 0), "")</f>
        <v/>
      </c>
      <c r="S36" s="174" t="str">
        <f>IFERROR(VLOOKUP($A36&amp;"-"&amp;S$21, 'S12 Operations'!$A$2:$D$534, 4, 0), "")</f>
        <v/>
      </c>
      <c r="T36" s="174" t="str">
        <f>IFERROR(VLOOKUP($A36&amp;"-"&amp;T$21, 'S12 Operations'!$A$2:$D$534, 4, 0), "")</f>
        <v/>
      </c>
      <c r="U36" s="174" t="str">
        <f>IFERROR(VLOOKUP($A36&amp;"-"&amp;U$21, 'S12 Operations'!$A$2:$D$534, 4, 0), "")</f>
        <v/>
      </c>
      <c r="V36" s="174">
        <f>IFERROR(VLOOKUP($A36&amp;"-"&amp;V$21, 'S12 Operations'!$A$2:$D$534, 4, 0), "")</f>
        <v>60</v>
      </c>
      <c r="W36" s="174" t="str">
        <f>IFERROR(VLOOKUP($A36&amp;"-"&amp;W$21, 'S12 Operations'!$A$2:$D$534, 4, 0), "")</f>
        <v/>
      </c>
      <c r="X36" s="174">
        <f>IFERROR(VLOOKUP($A36&amp;"-"&amp;X$21, 'S12 Operations'!$A$2:$D$534, 4, 0), "")</f>
        <v>70</v>
      </c>
      <c r="Y36" s="174" t="str">
        <f>IFERROR(VLOOKUP($A36&amp;"-"&amp;Y$21, 'S12 Operations'!$A$2:$D$534, 4, 0), "")</f>
        <v/>
      </c>
      <c r="Z36" s="174" t="str">
        <f>IFERROR(VLOOKUP($A36&amp;"-"&amp;Z$21, 'S12 Operations'!$A$2:$D$534, 4, 0), "")</f>
        <v/>
      </c>
      <c r="AA36" s="174">
        <f>IFERROR(VLOOKUP($A36&amp;"-"&amp;AA$21, 'S12 Operations'!$A$2:$D$534, 4, 0), "")</f>
        <v>80</v>
      </c>
    </row>
    <row r="37" spans="1:27" ht="17">
      <c r="A37" s="173" t="str">
        <f>'S08 ABC Output'!A18</f>
        <v>I-074</v>
      </c>
      <c r="B37" s="174">
        <f>IFERROR(VLOOKUP($A37&amp;"-"&amp;B$21, 'S12 Operations'!$A$2:$D$534, 4, 0), "")</f>
        <v>10</v>
      </c>
      <c r="C37" s="174" t="str">
        <f>IFERROR(VLOOKUP($A37&amp;"-"&amp;C$21, 'S12 Operations'!$A$2:$D$534, 4, 0), "")</f>
        <v/>
      </c>
      <c r="D37" s="174">
        <f>IFERROR(VLOOKUP($A37&amp;"-"&amp;D$21, 'S12 Operations'!$A$2:$D$534, 4, 0), "")</f>
        <v>20</v>
      </c>
      <c r="E37" s="174" t="str">
        <f>IFERROR(VLOOKUP($A37&amp;"-"&amp;E$21, 'S12 Operations'!$A$2:$D$534, 4, 0), "")</f>
        <v/>
      </c>
      <c r="F37" s="174" t="str">
        <f>IFERROR(VLOOKUP($A37&amp;"-"&amp;F$21, 'S12 Operations'!$A$2:$D$534, 4, 0), "")</f>
        <v/>
      </c>
      <c r="G37" s="174" t="str">
        <f>IFERROR(VLOOKUP($A37&amp;"-"&amp;G$21, 'S12 Operations'!$A$2:$D$534, 4, 0), "")</f>
        <v/>
      </c>
      <c r="H37" s="174">
        <f>IFERROR(VLOOKUP($A37&amp;"-"&amp;H$21, 'S12 Operations'!$A$2:$D$534, 4, 0), "")</f>
        <v>30</v>
      </c>
      <c r="I37" s="174" t="str">
        <f>IFERROR(VLOOKUP($A37&amp;"-"&amp;I$21, 'S12 Operations'!$A$2:$D$534, 4, 0), "")</f>
        <v/>
      </c>
      <c r="J37" s="174" t="str">
        <f>IFERROR(VLOOKUP($A37&amp;"-"&amp;J$21, 'S12 Operations'!$A$2:$D$534, 4, 0), "")</f>
        <v/>
      </c>
      <c r="K37" s="174" t="str">
        <f>IFERROR(VLOOKUP($A37&amp;"-"&amp;K$21, 'S12 Operations'!$A$2:$D$534, 4, 0), "")</f>
        <v/>
      </c>
      <c r="L37" s="174" t="str">
        <f>IFERROR(VLOOKUP($A37&amp;"-"&amp;L$21, 'S12 Operations'!$A$2:$D$534, 4, 0), "")</f>
        <v/>
      </c>
      <c r="M37" s="174" t="str">
        <f>IFERROR(VLOOKUP($A37&amp;"-"&amp;M$21, 'S12 Operations'!$A$2:$D$534, 4, 0), "")</f>
        <v/>
      </c>
      <c r="N37" s="174">
        <f>IFERROR(VLOOKUP($A37&amp;"-"&amp;N$21, 'S12 Operations'!$A$2:$D$534, 4, 0), "")</f>
        <v>40</v>
      </c>
      <c r="O37" s="174" t="str">
        <f>IFERROR(VLOOKUP($A37&amp;"-"&amp;O$21, 'S12 Operations'!$A$2:$D$534, 4, 0), "")</f>
        <v/>
      </c>
      <c r="P37" s="174" t="str">
        <f>IFERROR(VLOOKUP($A37&amp;"-"&amp;P$21, 'S12 Operations'!$A$2:$D$534, 4, 0), "")</f>
        <v/>
      </c>
      <c r="Q37" s="174" t="str">
        <f>IFERROR(VLOOKUP($A37&amp;"-"&amp;Q$21, 'S12 Operations'!$A$2:$D$534, 4, 0), "")</f>
        <v/>
      </c>
      <c r="R37" s="174" t="str">
        <f>IFERROR(VLOOKUP($A37&amp;"-"&amp;R$21, 'S12 Operations'!$A$2:$D$534, 4, 0), "")</f>
        <v/>
      </c>
      <c r="S37" s="174">
        <f>IFERROR(VLOOKUP($A37&amp;"-"&amp;S$21, 'S12 Operations'!$A$2:$D$534, 4, 0), "")</f>
        <v>50</v>
      </c>
      <c r="T37" s="174" t="str">
        <f>IFERROR(VLOOKUP($A37&amp;"-"&amp;T$21, 'S12 Operations'!$A$2:$D$534, 4, 0), "")</f>
        <v/>
      </c>
      <c r="U37" s="174">
        <f>IFERROR(VLOOKUP($A37&amp;"-"&amp;U$21, 'S12 Operations'!$A$2:$D$534, 4, 0), "")</f>
        <v>60</v>
      </c>
      <c r="V37" s="174" t="str">
        <f>IFERROR(VLOOKUP($A37&amp;"-"&amp;V$21, 'S12 Operations'!$A$2:$D$534, 4, 0), "")</f>
        <v/>
      </c>
      <c r="W37" s="174">
        <f>IFERROR(VLOOKUP($A37&amp;"-"&amp;W$21, 'S12 Operations'!$A$2:$D$534, 4, 0), "")</f>
        <v>70</v>
      </c>
      <c r="X37" s="174" t="str">
        <f>IFERROR(VLOOKUP($A37&amp;"-"&amp;X$21, 'S12 Operations'!$A$2:$D$534, 4, 0), "")</f>
        <v/>
      </c>
      <c r="Y37" s="174" t="str">
        <f>IFERROR(VLOOKUP($A37&amp;"-"&amp;Y$21, 'S12 Operations'!$A$2:$D$534, 4, 0), "")</f>
        <v/>
      </c>
      <c r="Z37" s="174" t="str">
        <f>IFERROR(VLOOKUP($A37&amp;"-"&amp;Z$21, 'S12 Operations'!$A$2:$D$534, 4, 0), "")</f>
        <v/>
      </c>
      <c r="AA37" s="174">
        <f>IFERROR(VLOOKUP($A37&amp;"-"&amp;AA$21, 'S12 Operations'!$A$2:$D$534, 4, 0), "")</f>
        <v>80</v>
      </c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38" workbookViewId="0">
      <selection activeCell="B3" sqref="B3"/>
    </sheetView>
  </sheetViews>
  <sheetFormatPr baseColWidth="10" defaultColWidth="11" defaultRowHeight="16"/>
  <cols>
    <col min="1" max="1" width="10.83203125" style="66"/>
  </cols>
  <sheetData>
    <row r="1" spans="1:9" s="67" customFormat="1" ht="17" thickBot="1">
      <c r="B1" s="405" t="s">
        <v>565</v>
      </c>
      <c r="C1" s="406"/>
      <c r="D1" s="406"/>
      <c r="E1" s="406"/>
      <c r="F1" s="406"/>
      <c r="G1" s="406"/>
      <c r="H1" s="406"/>
      <c r="I1" s="407"/>
    </row>
    <row r="2" spans="1:9" s="67" customFormat="1" ht="18" thickBot="1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>
      <c r="A3" s="57" t="str">
        <f>'S14 Clustering'!A3</f>
        <v>I-004</v>
      </c>
      <c r="B3" s="58" t="str">
        <f>IFERROR(VLOOKUP($A3&amp;"-"&amp;B$2, 'S12 Operations'!$B$2:$E$534, 4, 0), "")</f>
        <v>WS-43</v>
      </c>
      <c r="C3" s="58" t="str">
        <f>IFERROR(VLOOKUP($A3&amp;"-"&amp;C$2, 'S12 Operations'!$B$2:$E$534, 4, 0), "")</f>
        <v>WS-36</v>
      </c>
      <c r="D3" s="58" t="str">
        <f>IFERROR(VLOOKUP($A3&amp;"-"&amp;D$2, 'S12 Operations'!$B$2:$E$534, 4, 0), "")</f>
        <v>WS-05</v>
      </c>
      <c r="E3" s="58" t="str">
        <f>IFERROR(VLOOKUP($A3&amp;"-"&amp;E$2, 'S12 Operations'!$B$2:$E$534, 4, 0), "")</f>
        <v>WS-25</v>
      </c>
      <c r="F3" s="58" t="str">
        <f>IFERROR(VLOOKUP($A3&amp;"-"&amp;F$2, 'S12 Operations'!$B$2:$E$534, 4, 0), "")</f>
        <v>WS-34</v>
      </c>
      <c r="G3" s="58" t="str">
        <f>IFERROR(VLOOKUP($A3&amp;"-"&amp;G$2, 'S12 Operations'!$B$2:$E$534, 4, 0), "")</f>
        <v>WS-44</v>
      </c>
      <c r="H3" s="58" t="str">
        <f>IFERROR(VLOOKUP($A3&amp;"-"&amp;H$2, 'S12 Operations'!$B$2:$E$534, 4, 0), "")</f>
        <v/>
      </c>
      <c r="I3" s="58" t="str">
        <f>IFERROR(VLOOKUP($A3&amp;"-"&amp;I$2, 'S12 Operations'!$B$2:$E$534, 4, 0), "")</f>
        <v/>
      </c>
    </row>
    <row r="4" spans="1:9" s="44" customFormat="1" ht="17">
      <c r="A4" s="57" t="str">
        <f>'S14 Clustering'!A4</f>
        <v>I-066</v>
      </c>
      <c r="B4" s="58" t="str">
        <f>IFERROR(VLOOKUP($A4&amp;"-"&amp;B$2, 'S12 Operations'!$B$2:$E$534, 4, 0), "")</f>
        <v>WS-43</v>
      </c>
      <c r="C4" s="58" t="str">
        <f>IFERROR(VLOOKUP($A4&amp;"-"&amp;C$2, 'S12 Operations'!$B$2:$E$534, 4, 0), "")</f>
        <v>WS-36</v>
      </c>
      <c r="D4" s="58" t="str">
        <f>IFERROR(VLOOKUP($A4&amp;"-"&amp;D$2, 'S12 Operations'!$B$2:$E$534, 4, 0), "")</f>
        <v>WS-05</v>
      </c>
      <c r="E4" s="58" t="str">
        <f>IFERROR(VLOOKUP($A4&amp;"-"&amp;E$2, 'S12 Operations'!$B$2:$E$534, 4, 0), "")</f>
        <v>WS-25</v>
      </c>
      <c r="F4" s="58" t="str">
        <f>IFERROR(VLOOKUP($A4&amp;"-"&amp;F$2, 'S12 Operations'!$B$2:$E$534, 4, 0), "")</f>
        <v>WS-34</v>
      </c>
      <c r="G4" s="58" t="str">
        <f>IFERROR(VLOOKUP($A4&amp;"-"&amp;G$2, 'S12 Operations'!$B$2:$E$534, 4, 0), "")</f>
        <v>WS-44</v>
      </c>
      <c r="H4" s="58" t="str">
        <f>IFERROR(VLOOKUP($A4&amp;"-"&amp;H$2, 'S12 Operations'!$B$2:$E$534, 4, 0), "")</f>
        <v/>
      </c>
      <c r="I4" s="58" t="str">
        <f>IFERROR(VLOOKUP($A4&amp;"-"&amp;I$2, 'S12 Operations'!$B$2:$E$534, 4, 0), "")</f>
        <v/>
      </c>
    </row>
    <row r="5" spans="1:9" s="44" customFormat="1" ht="17">
      <c r="A5" s="57" t="str">
        <f>'S14 Clustering'!A5</f>
        <v>I-068</v>
      </c>
      <c r="B5" s="58" t="str">
        <f>IFERROR(VLOOKUP($A5&amp;"-"&amp;B$2, 'S12 Operations'!$B$2:$E$534, 4, 0), "")</f>
        <v>WS-43</v>
      </c>
      <c r="C5" s="58" t="str">
        <f>IFERROR(VLOOKUP($A5&amp;"-"&amp;C$2, 'S12 Operations'!$B$2:$E$534, 4, 0), "")</f>
        <v>WS-36</v>
      </c>
      <c r="D5" s="58" t="str">
        <f>IFERROR(VLOOKUP($A5&amp;"-"&amp;D$2, 'S12 Operations'!$B$2:$E$534, 4, 0), "")</f>
        <v>WS-05</v>
      </c>
      <c r="E5" s="58" t="str">
        <f>IFERROR(VLOOKUP($A5&amp;"-"&amp;E$2, 'S12 Operations'!$B$2:$E$534, 4, 0), "")</f>
        <v>WS-25</v>
      </c>
      <c r="F5" s="58" t="str">
        <f>IFERROR(VLOOKUP($A5&amp;"-"&amp;F$2, 'S12 Operations'!$B$2:$E$534, 4, 0), "")</f>
        <v>WS-34</v>
      </c>
      <c r="G5" s="58" t="str">
        <f>IFERROR(VLOOKUP($A5&amp;"-"&amp;G$2, 'S12 Operations'!$B$2:$E$534, 4, 0), "")</f>
        <v>WS-44</v>
      </c>
      <c r="H5" s="58" t="str">
        <f>IFERROR(VLOOKUP($A5&amp;"-"&amp;H$2, 'S12 Operations'!$B$2:$E$534, 4, 0), "")</f>
        <v/>
      </c>
      <c r="I5" s="58" t="str">
        <f>IFERROR(VLOOKUP($A5&amp;"-"&amp;I$2, 'S12 Operations'!$B$2:$E$534, 4, 0), "")</f>
        <v/>
      </c>
    </row>
    <row r="6" spans="1:9" s="44" customFormat="1" ht="17">
      <c r="A6" s="57" t="str">
        <f>'S14 Clustering'!A6</f>
        <v>I-069</v>
      </c>
      <c r="B6" s="58" t="str">
        <f>IFERROR(VLOOKUP($A6&amp;"-"&amp;B$2, 'S12 Operations'!$B$2:$E$534, 4, 0), "")</f>
        <v>WS-43</v>
      </c>
      <c r="C6" s="58" t="str">
        <f>IFERROR(VLOOKUP($A6&amp;"-"&amp;C$2, 'S12 Operations'!$B$2:$E$534, 4, 0), "")</f>
        <v>WS-36</v>
      </c>
      <c r="D6" s="58" t="str">
        <f>IFERROR(VLOOKUP($A6&amp;"-"&amp;D$2, 'S12 Operations'!$B$2:$E$534, 4, 0), "")</f>
        <v>WS-05</v>
      </c>
      <c r="E6" s="58" t="str">
        <f>IFERROR(VLOOKUP($A6&amp;"-"&amp;E$2, 'S12 Operations'!$B$2:$E$534, 4, 0), "")</f>
        <v>WS-25</v>
      </c>
      <c r="F6" s="58" t="str">
        <f>IFERROR(VLOOKUP($A6&amp;"-"&amp;F$2, 'S12 Operations'!$B$2:$E$534, 4, 0), "")</f>
        <v>WS-34</v>
      </c>
      <c r="G6" s="58" t="str">
        <f>IFERROR(VLOOKUP($A6&amp;"-"&amp;G$2, 'S12 Operations'!$B$2:$E$534, 4, 0), "")</f>
        <v>WS-44</v>
      </c>
      <c r="H6" s="58" t="str">
        <f>IFERROR(VLOOKUP($A6&amp;"-"&amp;H$2, 'S12 Operations'!$B$2:$E$534, 4, 0), "")</f>
        <v/>
      </c>
      <c r="I6" s="58" t="str">
        <f>IFERROR(VLOOKUP($A6&amp;"-"&amp;I$2, 'S12 Operations'!$B$2:$E$534, 4, 0), "")</f>
        <v/>
      </c>
    </row>
    <row r="7" spans="1:9" s="44" customFormat="1" ht="17">
      <c r="A7" s="57" t="str">
        <f>'S14 Clustering'!A7</f>
        <v>I-070</v>
      </c>
      <c r="B7" s="58" t="str">
        <f>IFERROR(VLOOKUP($A7&amp;"-"&amp;B$2, 'S12 Operations'!$B$2:$E$534, 4, 0), "")</f>
        <v>WS-43</v>
      </c>
      <c r="C7" s="58" t="str">
        <f>IFERROR(VLOOKUP($A7&amp;"-"&amp;C$2, 'S12 Operations'!$B$2:$E$534, 4, 0), "")</f>
        <v>WS-36</v>
      </c>
      <c r="D7" s="58" t="str">
        <f>IFERROR(VLOOKUP($A7&amp;"-"&amp;D$2, 'S12 Operations'!$B$2:$E$534, 4, 0), "")</f>
        <v>WS-05</v>
      </c>
      <c r="E7" s="58" t="str">
        <f>IFERROR(VLOOKUP($A7&amp;"-"&amp;E$2, 'S12 Operations'!$B$2:$E$534, 4, 0), "")</f>
        <v>WS-25</v>
      </c>
      <c r="F7" s="58" t="str">
        <f>IFERROR(VLOOKUP($A7&amp;"-"&amp;F$2, 'S12 Operations'!$B$2:$E$534, 4, 0), "")</f>
        <v>WS-34</v>
      </c>
      <c r="G7" s="58" t="str">
        <f>IFERROR(VLOOKUP($A7&amp;"-"&amp;G$2, 'S12 Operations'!$B$2:$E$534, 4, 0), "")</f>
        <v>WS-44</v>
      </c>
      <c r="H7" s="58" t="str">
        <f>IFERROR(VLOOKUP($A7&amp;"-"&amp;H$2, 'S12 Operations'!$B$2:$E$534, 4, 0), "")</f>
        <v/>
      </c>
      <c r="I7" s="58" t="str">
        <f>IFERROR(VLOOKUP($A7&amp;"-"&amp;I$2, 'S12 Operations'!$B$2:$E$534, 4, 0), "")</f>
        <v/>
      </c>
    </row>
    <row r="8" spans="1:9" s="44" customFormat="1" ht="17">
      <c r="A8" s="57" t="str">
        <f>'S14 Clustering'!A8</f>
        <v>I-071</v>
      </c>
      <c r="B8" s="58" t="str">
        <f>IFERROR(VLOOKUP($A8&amp;"-"&amp;B$2, 'S12 Operations'!$B$2:$E$534, 4, 0), "")</f>
        <v>WS-43</v>
      </c>
      <c r="C8" s="58" t="str">
        <f>IFERROR(VLOOKUP($A8&amp;"-"&amp;C$2, 'S12 Operations'!$B$2:$E$534, 4, 0), "")</f>
        <v>WS-36</v>
      </c>
      <c r="D8" s="58" t="str">
        <f>IFERROR(VLOOKUP($A8&amp;"-"&amp;D$2, 'S12 Operations'!$B$2:$E$534, 4, 0), "")</f>
        <v>WS-05</v>
      </c>
      <c r="E8" s="58" t="str">
        <f>IFERROR(VLOOKUP($A8&amp;"-"&amp;E$2, 'S12 Operations'!$B$2:$E$534, 4, 0), "")</f>
        <v>WS-25</v>
      </c>
      <c r="F8" s="58" t="str">
        <f>IFERROR(VLOOKUP($A8&amp;"-"&amp;F$2, 'S12 Operations'!$B$2:$E$534, 4, 0), "")</f>
        <v>WS-34</v>
      </c>
      <c r="G8" s="58" t="str">
        <f>IFERROR(VLOOKUP($A8&amp;"-"&amp;G$2, 'S12 Operations'!$B$2:$E$534, 4, 0), "")</f>
        <v>WS-44</v>
      </c>
      <c r="H8" s="58" t="str">
        <f>IFERROR(VLOOKUP($A8&amp;"-"&amp;H$2, 'S12 Operations'!$B$2:$E$534, 4, 0), "")</f>
        <v/>
      </c>
      <c r="I8" s="58" t="str">
        <f>IFERROR(VLOOKUP($A8&amp;"-"&amp;I$2, 'S12 Operations'!$B$2:$E$534, 4, 0), "")</f>
        <v/>
      </c>
    </row>
    <row r="9" spans="1:9" s="44" customFormat="1" ht="17">
      <c r="A9" s="57" t="str">
        <f>'S14 Clustering'!A9</f>
        <v>I-037</v>
      </c>
      <c r="B9" s="58" t="str">
        <f>IFERROR(VLOOKUP($A9&amp;"-"&amp;B$2, 'S12 Operations'!$B$2:$E$534, 4, 0), "")</f>
        <v>WS-43</v>
      </c>
      <c r="C9" s="58" t="str">
        <f>IFERROR(VLOOKUP($A9&amp;"-"&amp;C$2, 'S12 Operations'!$B$2:$E$534, 4, 0), "")</f>
        <v>WS-38</v>
      </c>
      <c r="D9" s="58" t="str">
        <f>IFERROR(VLOOKUP($A9&amp;"-"&amp;D$2, 'S12 Operations'!$B$2:$E$534, 4, 0), "")</f>
        <v>WS-07</v>
      </c>
      <c r="E9" s="58" t="str">
        <f>IFERROR(VLOOKUP($A9&amp;"-"&amp;E$2, 'S12 Operations'!$B$2:$E$534, 4, 0), "")</f>
        <v>WS-21</v>
      </c>
      <c r="F9" s="58" t="str">
        <f>IFERROR(VLOOKUP($A9&amp;"-"&amp;F$2, 'S12 Operations'!$B$2:$E$534, 4, 0), "")</f>
        <v>WS-28</v>
      </c>
      <c r="G9" s="58" t="str">
        <f>IFERROR(VLOOKUP($A9&amp;"-"&amp;G$2, 'S12 Operations'!$B$2:$E$534, 4, 0), "")</f>
        <v>WS-27</v>
      </c>
      <c r="H9" s="58" t="str">
        <f>IFERROR(VLOOKUP($A9&amp;"-"&amp;H$2, 'S12 Operations'!$B$2:$E$534, 4, 0), "")</f>
        <v>WS-32</v>
      </c>
      <c r="I9" s="58" t="str">
        <f>IFERROR(VLOOKUP($A9&amp;"-"&amp;I$2, 'S12 Operations'!$B$2:$E$534, 4, 0), "")</f>
        <v>WS-44</v>
      </c>
    </row>
    <row r="10" spans="1:9" s="44" customFormat="1" ht="17">
      <c r="A10" s="57" t="str">
        <f>'S14 Clustering'!A10</f>
        <v>I-073</v>
      </c>
      <c r="B10" s="58" t="str">
        <f>IFERROR(VLOOKUP($A10&amp;"-"&amp;B$2, 'S12 Operations'!$B$2:$E$534, 4, 0), "")</f>
        <v>WS-43</v>
      </c>
      <c r="C10" s="58" t="str">
        <f>IFERROR(VLOOKUP($A10&amp;"-"&amp;C$2, 'S12 Operations'!$B$2:$E$534, 4, 0), "")</f>
        <v>WS-38</v>
      </c>
      <c r="D10" s="58" t="str">
        <f>IFERROR(VLOOKUP($A10&amp;"-"&amp;D$2, 'S12 Operations'!$B$2:$E$534, 4, 0), "")</f>
        <v>WS-07</v>
      </c>
      <c r="E10" s="58" t="str">
        <f>IFERROR(VLOOKUP($A10&amp;"-"&amp;E$2, 'S12 Operations'!$B$2:$E$534, 4, 0), "")</f>
        <v>WS-21</v>
      </c>
      <c r="F10" s="58" t="str">
        <f>IFERROR(VLOOKUP($A10&amp;"-"&amp;F$2, 'S12 Operations'!$B$2:$E$534, 4, 0), "")</f>
        <v>WS-28</v>
      </c>
      <c r="G10" s="58" t="str">
        <f>IFERROR(VLOOKUP($A10&amp;"-"&amp;G$2, 'S12 Operations'!$B$2:$E$534, 4, 0), "")</f>
        <v>WS-27</v>
      </c>
      <c r="H10" s="58" t="str">
        <f>IFERROR(VLOOKUP($A10&amp;"-"&amp;H$2, 'S12 Operations'!$B$2:$E$534, 4, 0), "")</f>
        <v>WS-32</v>
      </c>
      <c r="I10" s="58" t="str">
        <f>IFERROR(VLOOKUP($A10&amp;"-"&amp;I$2, 'S12 Operations'!$B$2:$E$534, 4, 0), "")</f>
        <v>WS-44</v>
      </c>
    </row>
    <row r="11" spans="1:9" s="44" customFormat="1" ht="17">
      <c r="A11" s="57" t="str">
        <f>'S14 Clustering'!A11</f>
        <v>I-074</v>
      </c>
      <c r="B11" s="58" t="str">
        <f>IFERROR(VLOOKUP($A11&amp;"-"&amp;B$2, 'S12 Operations'!$B$2:$E$534, 4, 0), "")</f>
        <v>WS-43</v>
      </c>
      <c r="C11" s="58" t="str">
        <f>IFERROR(VLOOKUP($A11&amp;"-"&amp;C$2, 'S12 Operations'!$B$2:$E$534, 4, 0), "")</f>
        <v>WS-38</v>
      </c>
      <c r="D11" s="58" t="str">
        <f>IFERROR(VLOOKUP($A11&amp;"-"&amp;D$2, 'S12 Operations'!$B$2:$E$534, 4, 0), "")</f>
        <v>WS-07</v>
      </c>
      <c r="E11" s="58" t="str">
        <f>IFERROR(VLOOKUP($A11&amp;"-"&amp;E$2, 'S12 Operations'!$B$2:$E$534, 4, 0), "")</f>
        <v>WS-21</v>
      </c>
      <c r="F11" s="58" t="str">
        <f>IFERROR(VLOOKUP($A11&amp;"-"&amp;F$2, 'S12 Operations'!$B$2:$E$534, 4, 0), "")</f>
        <v>WS-28</v>
      </c>
      <c r="G11" s="58" t="str">
        <f>IFERROR(VLOOKUP($A11&amp;"-"&amp;G$2, 'S12 Operations'!$B$2:$E$534, 4, 0), "")</f>
        <v>WS-27</v>
      </c>
      <c r="H11" s="58" t="str">
        <f>IFERROR(VLOOKUP($A11&amp;"-"&amp;H$2, 'S12 Operations'!$B$2:$E$534, 4, 0), "")</f>
        <v>WS-32</v>
      </c>
      <c r="I11" s="58" t="str">
        <f>IFERROR(VLOOKUP($A11&amp;"-"&amp;I$2, 'S12 Operations'!$B$2:$E$534, 4, 0), "")</f>
        <v>WS-44</v>
      </c>
    </row>
    <row r="12" spans="1:9" s="44" customFormat="1" ht="17">
      <c r="A12" s="57" t="str">
        <f>'S14 Clustering'!A12</f>
        <v>I-006</v>
      </c>
      <c r="B12" s="58" t="str">
        <f>IFERROR(VLOOKUP($A12&amp;"-"&amp;B$2, 'S12 Operations'!$B$2:$E$534, 4, 0), "")</f>
        <v>WS-43</v>
      </c>
      <c r="C12" s="58" t="str">
        <f>IFERROR(VLOOKUP($A12&amp;"-"&amp;C$2, 'S12 Operations'!$B$2:$E$534, 4, 0), "")</f>
        <v>WS-40</v>
      </c>
      <c r="D12" s="58" t="str">
        <f>IFERROR(VLOOKUP($A12&amp;"-"&amp;D$2, 'S12 Operations'!$B$2:$E$534, 4, 0), "")</f>
        <v>WS-02</v>
      </c>
      <c r="E12" s="58" t="str">
        <f>IFERROR(VLOOKUP($A12&amp;"-"&amp;E$2, 'S12 Operations'!$B$2:$E$534, 4, 0), "")</f>
        <v>WS-18</v>
      </c>
      <c r="F12" s="58" t="str">
        <f>IFERROR(VLOOKUP($A12&amp;"-"&amp;F$2, 'S12 Operations'!$B$2:$E$534, 4, 0), "")</f>
        <v>WS-24</v>
      </c>
      <c r="G12" s="58" t="str">
        <f>IFERROR(VLOOKUP($A12&amp;"-"&amp;G$2, 'S12 Operations'!$B$2:$E$534, 4, 0), "")</f>
        <v>WS-29</v>
      </c>
      <c r="H12" s="58" t="str">
        <f>IFERROR(VLOOKUP($A12&amp;"-"&amp;H$2, 'S12 Operations'!$B$2:$E$534, 4, 0), "")</f>
        <v>WS-33</v>
      </c>
      <c r="I12" s="58" t="str">
        <f>IFERROR(VLOOKUP($A12&amp;"-"&amp;I$2, 'S12 Operations'!$B$2:$E$534, 4, 0), "")</f>
        <v>WS-44</v>
      </c>
    </row>
    <row r="13" spans="1:9" s="44" customFormat="1" ht="17">
      <c r="A13" s="57" t="str">
        <f>'S14 Clustering'!A13</f>
        <v>I-007</v>
      </c>
      <c r="B13" s="58" t="str">
        <f>IFERROR(VLOOKUP($A13&amp;"-"&amp;B$2, 'S12 Operations'!$B$2:$E$534, 4, 0), "")</f>
        <v>WS-43</v>
      </c>
      <c r="C13" s="58" t="str">
        <f>IFERROR(VLOOKUP($A13&amp;"-"&amp;C$2, 'S12 Operations'!$B$2:$E$534, 4, 0), "")</f>
        <v>WS-40</v>
      </c>
      <c r="D13" s="58" t="str">
        <f>IFERROR(VLOOKUP($A13&amp;"-"&amp;D$2, 'S12 Operations'!$B$2:$E$534, 4, 0), "")</f>
        <v>WS-02</v>
      </c>
      <c r="E13" s="58" t="str">
        <f>IFERROR(VLOOKUP($A13&amp;"-"&amp;E$2, 'S12 Operations'!$B$2:$E$534, 4, 0), "")</f>
        <v>WS-18</v>
      </c>
      <c r="F13" s="58" t="str">
        <f>IFERROR(VLOOKUP($A13&amp;"-"&amp;F$2, 'S12 Operations'!$B$2:$E$534, 4, 0), "")</f>
        <v>WS-24</v>
      </c>
      <c r="G13" s="58" t="str">
        <f>IFERROR(VLOOKUP($A13&amp;"-"&amp;G$2, 'S12 Operations'!$B$2:$E$534, 4, 0), "")</f>
        <v>WS-29</v>
      </c>
      <c r="H13" s="58" t="str">
        <f>IFERROR(VLOOKUP($A13&amp;"-"&amp;H$2, 'S12 Operations'!$B$2:$E$534, 4, 0), "")</f>
        <v>WS-33</v>
      </c>
      <c r="I13" s="58" t="str">
        <f>IFERROR(VLOOKUP($A13&amp;"-"&amp;I$2, 'S12 Operations'!$B$2:$E$534, 4, 0), "")</f>
        <v>WS-44</v>
      </c>
    </row>
    <row r="14" spans="1:9" s="44" customFormat="1" ht="17">
      <c r="A14" s="57" t="str">
        <f>'S14 Clustering'!A14</f>
        <v>I-010</v>
      </c>
      <c r="B14" s="58" t="str">
        <f>IFERROR(VLOOKUP($A14&amp;"-"&amp;B$2, 'S12 Operations'!$B$2:$E$534, 4, 0), "")</f>
        <v>WS-43</v>
      </c>
      <c r="C14" s="58" t="str">
        <f>IFERROR(VLOOKUP($A14&amp;"-"&amp;C$2, 'S12 Operations'!$B$2:$E$534, 4, 0), "")</f>
        <v>WS-40</v>
      </c>
      <c r="D14" s="58" t="str">
        <f>IFERROR(VLOOKUP($A14&amp;"-"&amp;D$2, 'S12 Operations'!$B$2:$E$534, 4, 0), "")</f>
        <v>WS-02</v>
      </c>
      <c r="E14" s="58" t="str">
        <f>IFERROR(VLOOKUP($A14&amp;"-"&amp;E$2, 'S12 Operations'!$B$2:$E$534, 4, 0), "")</f>
        <v>WS-18</v>
      </c>
      <c r="F14" s="58" t="str">
        <f>IFERROR(VLOOKUP($A14&amp;"-"&amp;F$2, 'S12 Operations'!$B$2:$E$534, 4, 0), "")</f>
        <v>WS-24</v>
      </c>
      <c r="G14" s="58" t="str">
        <f>IFERROR(VLOOKUP($A14&amp;"-"&amp;G$2, 'S12 Operations'!$B$2:$E$534, 4, 0), "")</f>
        <v>WS-29</v>
      </c>
      <c r="H14" s="58" t="str">
        <f>IFERROR(VLOOKUP($A14&amp;"-"&amp;H$2, 'S12 Operations'!$B$2:$E$534, 4, 0), "")</f>
        <v>WS-33</v>
      </c>
      <c r="I14" s="58" t="str">
        <f>IFERROR(VLOOKUP($A14&amp;"-"&amp;I$2, 'S12 Operations'!$B$2:$E$534, 4, 0), "")</f>
        <v>WS-44</v>
      </c>
    </row>
    <row r="15" spans="1:9" s="44" customFormat="1" ht="17">
      <c r="A15" s="57" t="str">
        <f>'S14 Clustering'!A15</f>
        <v>I-012</v>
      </c>
      <c r="B15" s="58" t="str">
        <f>IFERROR(VLOOKUP($A15&amp;"-"&amp;B$2, 'S12 Operations'!$B$2:$E$534, 4, 0), "")</f>
        <v>WS-43</v>
      </c>
      <c r="C15" s="58" t="str">
        <f>IFERROR(VLOOKUP($A15&amp;"-"&amp;C$2, 'S12 Operations'!$B$2:$E$534, 4, 0), "")</f>
        <v>WS-40</v>
      </c>
      <c r="D15" s="58" t="str">
        <f>IFERROR(VLOOKUP($A15&amp;"-"&amp;D$2, 'S12 Operations'!$B$2:$E$534, 4, 0), "")</f>
        <v>WS-07</v>
      </c>
      <c r="E15" s="58" t="str">
        <f>IFERROR(VLOOKUP($A15&amp;"-"&amp;E$2, 'S12 Operations'!$B$2:$E$534, 4, 0), "")</f>
        <v>WS-08</v>
      </c>
      <c r="F15" s="58" t="str">
        <f>IFERROR(VLOOKUP($A15&amp;"-"&amp;F$2, 'S12 Operations'!$B$2:$E$534, 4, 0), "")</f>
        <v>WS-20</v>
      </c>
      <c r="G15" s="58" t="str">
        <f>IFERROR(VLOOKUP($A15&amp;"-"&amp;G$2, 'S12 Operations'!$B$2:$E$534, 4, 0), "")</f>
        <v>WS-26</v>
      </c>
      <c r="H15" s="58" t="str">
        <f>IFERROR(VLOOKUP($A15&amp;"-"&amp;H$2, 'S12 Operations'!$B$2:$E$534, 4, 0), "")</f>
        <v>WS-32</v>
      </c>
      <c r="I15" s="58" t="str">
        <f>IFERROR(VLOOKUP($A15&amp;"-"&amp;I$2, 'S12 Operations'!$B$2:$E$534, 4, 0), "")</f>
        <v>WS-44</v>
      </c>
    </row>
    <row r="16" spans="1:9" s="44" customFormat="1" ht="17">
      <c r="A16" s="57" t="str">
        <f>'S14 Clustering'!A16</f>
        <v>I-052</v>
      </c>
      <c r="B16" s="58" t="str">
        <f>IFERROR(VLOOKUP($A16&amp;"-"&amp;B$2, 'S12 Operations'!$B$2:$E$534, 4, 0), "")</f>
        <v>WS-43</v>
      </c>
      <c r="C16" s="58" t="str">
        <f>IFERROR(VLOOKUP($A16&amp;"-"&amp;C$2, 'S12 Operations'!$B$2:$E$534, 4, 0), "")</f>
        <v>WS-40</v>
      </c>
      <c r="D16" s="58" t="str">
        <f>IFERROR(VLOOKUP($A16&amp;"-"&amp;D$2, 'S12 Operations'!$B$2:$E$534, 4, 0), "")</f>
        <v>WS-07</v>
      </c>
      <c r="E16" s="58" t="str">
        <f>IFERROR(VLOOKUP($A16&amp;"-"&amp;E$2, 'S12 Operations'!$B$2:$E$534, 4, 0), "")</f>
        <v>WS-08</v>
      </c>
      <c r="F16" s="58" t="str">
        <f>IFERROR(VLOOKUP($A16&amp;"-"&amp;F$2, 'S12 Operations'!$B$2:$E$534, 4, 0), "")</f>
        <v>WS-20</v>
      </c>
      <c r="G16" s="58" t="str">
        <f>IFERROR(VLOOKUP($A16&amp;"-"&amp;G$2, 'S12 Operations'!$B$2:$E$534, 4, 0), "")</f>
        <v>WS-26</v>
      </c>
      <c r="H16" s="58" t="str">
        <f>IFERROR(VLOOKUP($A16&amp;"-"&amp;H$2, 'S12 Operations'!$B$2:$E$534, 4, 0), "")</f>
        <v>WS-32</v>
      </c>
      <c r="I16" s="58" t="str">
        <f>IFERROR(VLOOKUP($A16&amp;"-"&amp;I$2, 'S12 Operations'!$B$2:$E$534, 4, 0), "")</f>
        <v>WS-44</v>
      </c>
    </row>
    <row r="17" spans="1:9" s="44" customFormat="1" ht="17">
      <c r="A17" s="57" t="str">
        <f>'S14 Clustering'!A17</f>
        <v>I-053</v>
      </c>
      <c r="B17" s="58" t="str">
        <f>IFERROR(VLOOKUP($A17&amp;"-"&amp;B$2, 'S12 Operations'!$B$2:$E$534, 4, 0), "")</f>
        <v>WS-43</v>
      </c>
      <c r="C17" s="58" t="str">
        <f>IFERROR(VLOOKUP($A17&amp;"-"&amp;C$2, 'S12 Operations'!$B$2:$E$534, 4, 0), "")</f>
        <v>WS-40</v>
      </c>
      <c r="D17" s="58" t="str">
        <f>IFERROR(VLOOKUP($A17&amp;"-"&amp;D$2, 'S12 Operations'!$B$2:$E$534, 4, 0), "")</f>
        <v>WS-04</v>
      </c>
      <c r="E17" s="58" t="str">
        <f>IFERROR(VLOOKUP($A17&amp;"-"&amp;E$2, 'S12 Operations'!$B$2:$E$534, 4, 0), "")</f>
        <v>WS-03</v>
      </c>
      <c r="F17" s="58" t="str">
        <f>IFERROR(VLOOKUP($A17&amp;"-"&amp;F$2, 'S12 Operations'!$B$2:$E$534, 4, 0), "")</f>
        <v>WS-23</v>
      </c>
      <c r="G17" s="58" t="str">
        <f>IFERROR(VLOOKUP($A17&amp;"-"&amp;G$2, 'S12 Operations'!$B$2:$E$534, 4, 0), "")</f>
        <v>WS-31</v>
      </c>
      <c r="H17" s="58" t="str">
        <f>IFERROR(VLOOKUP($A17&amp;"-"&amp;H$2, 'S12 Operations'!$B$2:$E$534, 4, 0), "")</f>
        <v>WS-32</v>
      </c>
      <c r="I17" s="58" t="str">
        <f>IFERROR(VLOOKUP($A17&amp;"-"&amp;I$2, 'S12 Operations'!$B$2:$E$534, 4, 0), "")</f>
        <v>WS-44</v>
      </c>
    </row>
    <row r="18" spans="1:9" s="44" customFormat="1" ht="17">
      <c r="A18" s="57" t="str">
        <f>'S14 Clustering'!A18</f>
        <v>I-064</v>
      </c>
      <c r="B18" s="58" t="str">
        <f>IFERROR(VLOOKUP($A18&amp;"-"&amp;B$2, 'S12 Operations'!$B$2:$E$534, 4, 0), "")</f>
        <v>WS-43</v>
      </c>
      <c r="C18" s="58" t="str">
        <f>IFERROR(VLOOKUP($A18&amp;"-"&amp;C$2, 'S12 Operations'!$B$2:$E$534, 4, 0), "")</f>
        <v>WS-40</v>
      </c>
      <c r="D18" s="58" t="str">
        <f>IFERROR(VLOOKUP($A18&amp;"-"&amp;D$2, 'S12 Operations'!$B$2:$E$534, 4, 0), "")</f>
        <v>WS-04</v>
      </c>
      <c r="E18" s="58" t="str">
        <f>IFERROR(VLOOKUP($A18&amp;"-"&amp;E$2, 'S12 Operations'!$B$2:$E$534, 4, 0), "")</f>
        <v>WS-03</v>
      </c>
      <c r="F18" s="58" t="str">
        <f>IFERROR(VLOOKUP($A18&amp;"-"&amp;F$2, 'S12 Operations'!$B$2:$E$534, 4, 0), "")</f>
        <v>WS-23</v>
      </c>
      <c r="G18" s="58" t="str">
        <f>IFERROR(VLOOKUP($A18&amp;"-"&amp;G$2, 'S12 Operations'!$B$2:$E$534, 4, 0), "")</f>
        <v>WS-31</v>
      </c>
      <c r="H18" s="58" t="str">
        <f>IFERROR(VLOOKUP($A18&amp;"-"&amp;H$2, 'S12 Operations'!$B$2:$E$534, 4, 0), "")</f>
        <v>WS-32</v>
      </c>
      <c r="I18" s="58" t="str">
        <f>IFERROR(VLOOKUP($A18&amp;"-"&amp;I$2, 'S12 Operations'!$B$2:$E$534, 4,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573-B9CD-4741-ADC0-A377622AC2FC}">
  <sheetPr codeName="Sheet16"/>
  <dimension ref="A1:P29"/>
  <sheetViews>
    <sheetView zoomScale="150" zoomScaleNormal="100" workbookViewId="0">
      <selection activeCell="G13" sqref="G13"/>
    </sheetView>
  </sheetViews>
  <sheetFormatPr baseColWidth="10" defaultColWidth="11" defaultRowHeight="16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>
      <c r="A1" s="1" t="s">
        <v>624</v>
      </c>
      <c r="B1" s="1" t="s">
        <v>828</v>
      </c>
      <c r="C1" s="1" t="s">
        <v>837</v>
      </c>
      <c r="D1" s="1" t="s">
        <v>838</v>
      </c>
      <c r="E1" s="199" t="s">
        <v>829</v>
      </c>
      <c r="F1" s="1" t="s">
        <v>831</v>
      </c>
      <c r="G1" s="200" t="s">
        <v>819</v>
      </c>
      <c r="H1" s="1" t="s">
        <v>865</v>
      </c>
      <c r="L1" s="5" t="s">
        <v>624</v>
      </c>
      <c r="M1" s="5" t="s">
        <v>819</v>
      </c>
      <c r="O1" s="5" t="s">
        <v>869</v>
      </c>
      <c r="P1" s="3">
        <v>1000</v>
      </c>
    </row>
    <row r="2" spans="1:16">
      <c r="A2" s="201" t="s">
        <v>832</v>
      </c>
      <c r="B2" s="202" t="s">
        <v>833</v>
      </c>
      <c r="C2" s="202" t="s">
        <v>833</v>
      </c>
      <c r="D2" s="202" t="s">
        <v>834</v>
      </c>
      <c r="E2" s="203" t="s">
        <v>830</v>
      </c>
      <c r="F2" s="202" t="s">
        <v>835</v>
      </c>
      <c r="G2" s="204" t="s">
        <v>868</v>
      </c>
      <c r="H2" s="202" t="s">
        <v>866</v>
      </c>
      <c r="L2" s="3" t="s">
        <v>839</v>
      </c>
      <c r="M2" s="3">
        <v>1.6999999999999999E-3</v>
      </c>
    </row>
    <row r="3" spans="1:16">
      <c r="A3" s="186" t="s">
        <v>814</v>
      </c>
      <c r="B3" s="69">
        <v>450</v>
      </c>
      <c r="C3" s="69">
        <v>250</v>
      </c>
      <c r="D3" s="69">
        <v>210</v>
      </c>
      <c r="E3" s="69">
        <v>140</v>
      </c>
      <c r="F3" s="187">
        <v>7.8</v>
      </c>
      <c r="G3" s="69">
        <f>F3*1000/$P$1</f>
        <v>7.8</v>
      </c>
      <c r="H3" s="162">
        <v>2435</v>
      </c>
      <c r="L3" s="3" t="s">
        <v>840</v>
      </c>
      <c r="M3" s="3">
        <v>1.2999999999999999E-3</v>
      </c>
    </row>
    <row r="4" spans="1:16">
      <c r="A4" s="186" t="s">
        <v>815</v>
      </c>
      <c r="B4" s="69">
        <v>478</v>
      </c>
      <c r="C4" s="69">
        <v>910</v>
      </c>
      <c r="D4" s="69">
        <v>100</v>
      </c>
      <c r="E4" s="69">
        <v>85</v>
      </c>
      <c r="F4" s="187">
        <v>4.5</v>
      </c>
      <c r="G4" s="69">
        <f t="shared" ref="G4:G7" si="0">F4*1000/$P$1</f>
        <v>4.5</v>
      </c>
      <c r="H4" s="162">
        <v>57221</v>
      </c>
      <c r="L4" s="3" t="s">
        <v>841</v>
      </c>
      <c r="M4" s="3">
        <v>0.82</v>
      </c>
    </row>
    <row r="5" spans="1:16">
      <c r="A5" s="186" t="s">
        <v>816</v>
      </c>
      <c r="B5" s="69">
        <v>2211</v>
      </c>
      <c r="C5" s="69">
        <v>260</v>
      </c>
      <c r="D5" s="69">
        <v>23</v>
      </c>
      <c r="E5" s="69">
        <v>38</v>
      </c>
      <c r="F5" s="187">
        <v>1.5</v>
      </c>
      <c r="G5" s="69">
        <f t="shared" si="0"/>
        <v>1.5</v>
      </c>
      <c r="H5" s="162">
        <v>14346</v>
      </c>
      <c r="L5" s="3" t="s">
        <v>842</v>
      </c>
      <c r="M5" s="3">
        <v>2.72</v>
      </c>
    </row>
    <row r="6" spans="1:16">
      <c r="A6" s="186" t="s">
        <v>817</v>
      </c>
      <c r="B6" s="69">
        <v>1380</v>
      </c>
      <c r="C6" s="69">
        <v>621</v>
      </c>
      <c r="D6" s="69">
        <v>76</v>
      </c>
      <c r="E6" s="69">
        <v>39</v>
      </c>
      <c r="F6" s="187">
        <v>1.4</v>
      </c>
      <c r="G6" s="69">
        <f t="shared" si="0"/>
        <v>1.4</v>
      </c>
      <c r="H6" s="162">
        <v>42367</v>
      </c>
      <c r="L6" s="3" t="s">
        <v>843</v>
      </c>
      <c r="M6" s="3">
        <v>8.48</v>
      </c>
    </row>
    <row r="7" spans="1:16">
      <c r="A7" s="186" t="s">
        <v>818</v>
      </c>
      <c r="B7" s="69">
        <v>530</v>
      </c>
      <c r="C7" s="69">
        <v>250</v>
      </c>
      <c r="D7" s="69">
        <v>26</v>
      </c>
      <c r="E7" s="69">
        <v>40</v>
      </c>
      <c r="F7" s="187">
        <v>1.8</v>
      </c>
      <c r="G7" s="69">
        <f t="shared" si="0"/>
        <v>1.8</v>
      </c>
      <c r="H7" s="162">
        <v>32456</v>
      </c>
      <c r="L7" s="3" t="s">
        <v>844</v>
      </c>
      <c r="M7" s="3">
        <v>8.57</v>
      </c>
    </row>
    <row r="8" spans="1:16">
      <c r="A8" s="188"/>
      <c r="B8" s="66"/>
      <c r="C8" s="66"/>
      <c r="D8" s="66"/>
      <c r="E8" s="66"/>
      <c r="F8" s="189"/>
      <c r="G8" s="66"/>
      <c r="L8" s="3" t="s">
        <v>845</v>
      </c>
      <c r="M8" s="3">
        <v>1.98E-3</v>
      </c>
    </row>
    <row r="9" spans="1:16">
      <c r="A9" s="188"/>
      <c r="B9" s="66"/>
      <c r="C9" s="66"/>
      <c r="D9" s="66"/>
      <c r="E9" s="66"/>
      <c r="F9" s="189"/>
      <c r="G9" s="66"/>
      <c r="L9" s="3" t="s">
        <v>846</v>
      </c>
      <c r="M9" s="3">
        <v>1.2600000000000001E-3</v>
      </c>
    </row>
    <row r="10" spans="1:16">
      <c r="L10" s="3" t="s">
        <v>847</v>
      </c>
      <c r="M10" s="3">
        <v>7.2</v>
      </c>
    </row>
    <row r="11" spans="1:16">
      <c r="L11" s="3" t="s">
        <v>848</v>
      </c>
      <c r="M11" s="3">
        <v>7.03</v>
      </c>
    </row>
    <row r="12" spans="1:16">
      <c r="L12" s="3" t="s">
        <v>849</v>
      </c>
      <c r="M12" s="3">
        <v>8.7899999999999991</v>
      </c>
    </row>
    <row r="13" spans="1:16">
      <c r="L13" s="3" t="s">
        <v>850</v>
      </c>
      <c r="M13" s="3">
        <v>9.0000000000000006E-5</v>
      </c>
    </row>
    <row r="14" spans="1:16">
      <c r="L14" s="3" t="s">
        <v>851</v>
      </c>
      <c r="M14" s="3">
        <v>11.35</v>
      </c>
    </row>
    <row r="15" spans="1:16">
      <c r="L15" s="3" t="s">
        <v>852</v>
      </c>
      <c r="M15" s="3">
        <v>13.59</v>
      </c>
    </row>
    <row r="16" spans="1:16">
      <c r="L16" s="3" t="s">
        <v>853</v>
      </c>
      <c r="M16" s="3">
        <v>8.73</v>
      </c>
    </row>
    <row r="17" spans="12:13">
      <c r="L17" s="3" t="s">
        <v>854</v>
      </c>
      <c r="M17" s="3">
        <v>1.25E-3</v>
      </c>
    </row>
    <row r="18" spans="12:13">
      <c r="L18" s="3" t="s">
        <v>855</v>
      </c>
      <c r="M18" s="3">
        <v>1.1200000000000001</v>
      </c>
    </row>
    <row r="19" spans="12:13">
      <c r="L19" s="3" t="s">
        <v>856</v>
      </c>
      <c r="M19" s="3">
        <v>1.4300000000000001E-3</v>
      </c>
    </row>
    <row r="20" spans="12:13">
      <c r="L20" s="3" t="s">
        <v>857</v>
      </c>
      <c r="M20" s="3">
        <v>0.8</v>
      </c>
    </row>
    <row r="21" spans="12:13">
      <c r="L21" s="3" t="s">
        <v>858</v>
      </c>
      <c r="M21" s="3">
        <v>0.72</v>
      </c>
    </row>
    <row r="22" spans="12:13">
      <c r="L22" s="3" t="s">
        <v>859</v>
      </c>
      <c r="M22" s="3">
        <v>1.36</v>
      </c>
    </row>
    <row r="23" spans="12:13">
      <c r="L23" s="3" t="s">
        <v>860</v>
      </c>
      <c r="M23" s="3">
        <v>0.96</v>
      </c>
    </row>
    <row r="24" spans="12:13">
      <c r="L24" s="3" t="s">
        <v>622</v>
      </c>
      <c r="M24" s="3">
        <v>7.82</v>
      </c>
    </row>
    <row r="25" spans="12:13">
      <c r="L25" s="3" t="s">
        <v>861</v>
      </c>
      <c r="M25" s="3">
        <v>7.28</v>
      </c>
    </row>
    <row r="26" spans="12:13">
      <c r="L26" s="3" t="s">
        <v>867</v>
      </c>
      <c r="M26" s="3">
        <v>1</v>
      </c>
    </row>
    <row r="27" spans="12:13">
      <c r="L27" s="3" t="s">
        <v>862</v>
      </c>
      <c r="M27" s="3">
        <v>1.0269999999999999</v>
      </c>
    </row>
    <row r="28" spans="12:13">
      <c r="L28" s="3" t="s">
        <v>863</v>
      </c>
      <c r="M28" s="3">
        <v>0.77</v>
      </c>
    </row>
    <row r="29" spans="12:13">
      <c r="L29" s="3" t="s">
        <v>864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A3A6-96CC-8446-8244-488CE7BAD1EC}">
  <sheetPr codeName="Sheet17"/>
  <dimension ref="A1:I8"/>
  <sheetViews>
    <sheetView zoomScale="150" workbookViewId="0">
      <selection activeCell="F16" sqref="F16"/>
    </sheetView>
  </sheetViews>
  <sheetFormatPr baseColWidth="10" defaultColWidth="10.83203125" defaultRowHeight="16"/>
  <cols>
    <col min="1" max="1" width="25.1640625" style="68" bestFit="1" customWidth="1"/>
    <col min="2" max="2" width="23.5" style="68" bestFit="1" customWidth="1"/>
    <col min="3" max="3" width="21.1640625" style="68" bestFit="1" customWidth="1"/>
    <col min="4" max="4" width="24.5" style="68" bestFit="1" customWidth="1"/>
    <col min="5" max="5" width="25.1640625" style="68" bestFit="1" customWidth="1"/>
    <col min="6" max="6" width="22" style="68" bestFit="1" customWidth="1"/>
    <col min="7" max="7" width="8.33203125" style="68" customWidth="1"/>
    <col min="8" max="8" width="12" style="68" bestFit="1" customWidth="1"/>
    <col min="9" max="9" width="16.83203125" style="68" bestFit="1" customWidth="1"/>
    <col min="10" max="16384" width="10.83203125" style="68"/>
  </cols>
  <sheetData>
    <row r="1" spans="1:9">
      <c r="A1" s="190"/>
      <c r="B1" s="190" t="str">
        <f>'S16 Material Properties'!B1</f>
        <v>Tensile Strength</v>
      </c>
      <c r="C1" s="190" t="str">
        <f>'S16 Material Properties'!C1</f>
        <v>Yield Strength</v>
      </c>
      <c r="D1" s="190" t="str">
        <f>'S16 Material Properties'!D1</f>
        <v xml:space="preserve">Young’s Modulus </v>
      </c>
      <c r="E1" s="190" t="str">
        <f>'S16 Material Properties'!E1</f>
        <v xml:space="preserve">Toughness  </v>
      </c>
      <c r="F1" s="190" t="str">
        <f>'S16 Material Properties'!F1</f>
        <v xml:space="preserve">Density </v>
      </c>
      <c r="G1" s="190" t="s">
        <v>641</v>
      </c>
      <c r="H1" s="190" t="s">
        <v>169</v>
      </c>
      <c r="I1" s="190" t="s">
        <v>642</v>
      </c>
    </row>
    <row r="2" spans="1:9">
      <c r="A2" s="191" t="str">
        <f t="array" ref="A2:A6">TRANSPOSE(B1:F1)</f>
        <v>Tensile Strength</v>
      </c>
      <c r="B2" s="192"/>
      <c r="C2" s="193">
        <v>1</v>
      </c>
      <c r="D2" s="193">
        <v>-1</v>
      </c>
      <c r="E2" s="193">
        <v>-1</v>
      </c>
      <c r="F2" s="193">
        <v>0</v>
      </c>
      <c r="G2" s="193">
        <f>SUM(B2:F2)</f>
        <v>-1</v>
      </c>
      <c r="H2" s="193" cm="1">
        <f t="array" ref="H2">G2+(ROUNDUP(MAX(ABS($G$2:$G$6)), -1))</f>
        <v>9</v>
      </c>
      <c r="I2" s="194">
        <f>H2/SUM($H$2:$H$6)</f>
        <v>0.18</v>
      </c>
    </row>
    <row r="3" spans="1:9">
      <c r="A3" s="191" t="str">
        <v>Yield Strength</v>
      </c>
      <c r="B3" s="193">
        <f t="array" ref="B3:B6">TRANSPOSE(C2:F2)*-1</f>
        <v>-1</v>
      </c>
      <c r="C3" s="192"/>
      <c r="D3" s="193">
        <v>1</v>
      </c>
      <c r="E3" s="193">
        <v>0</v>
      </c>
      <c r="F3" s="193">
        <v>1</v>
      </c>
      <c r="G3" s="193">
        <f t="shared" ref="G3:G6" si="0">SUM(B3:F3)</f>
        <v>1</v>
      </c>
      <c r="H3" s="193" cm="1">
        <f t="array" ref="H3">G3+(ROUNDUP(MAX(ABS($G$2:$G$6)), -1))</f>
        <v>11</v>
      </c>
      <c r="I3" s="194">
        <f t="shared" ref="I3:I6" si="1">H3/SUM($H$2:$H$6)</f>
        <v>0.22</v>
      </c>
    </row>
    <row r="4" spans="1:9">
      <c r="A4" s="191" t="str">
        <v xml:space="preserve">Young’s Modulus </v>
      </c>
      <c r="B4" s="193">
        <v>1</v>
      </c>
      <c r="C4" s="193">
        <f t="array" ref="C4:C6">TRANSPOSE(D3:F3)*-1</f>
        <v>-1</v>
      </c>
      <c r="D4" s="192"/>
      <c r="E4" s="193">
        <v>1</v>
      </c>
      <c r="F4" s="193">
        <v>-1</v>
      </c>
      <c r="G4" s="193">
        <f t="shared" si="0"/>
        <v>0</v>
      </c>
      <c r="H4" s="193" cm="1">
        <f t="array" ref="H4">G4+(ROUNDUP(MAX(ABS($G$2:$G$6)), -1))</f>
        <v>10</v>
      </c>
      <c r="I4" s="194">
        <f t="shared" si="1"/>
        <v>0.2</v>
      </c>
    </row>
    <row r="5" spans="1:9">
      <c r="A5" s="191" t="str">
        <v xml:space="preserve">Toughness  </v>
      </c>
      <c r="B5" s="193">
        <v>1</v>
      </c>
      <c r="C5" s="193">
        <v>0</v>
      </c>
      <c r="D5" s="193">
        <f t="array" ref="D5:D6">TRANSPOSE(E4:F4)*-1</f>
        <v>-1</v>
      </c>
      <c r="E5" s="192"/>
      <c r="F5" s="193">
        <v>1</v>
      </c>
      <c r="G5" s="193">
        <f t="shared" si="0"/>
        <v>1</v>
      </c>
      <c r="H5" s="193" cm="1">
        <f t="array" ref="H5">G5+(ROUNDUP(MAX(ABS($G$2:$G$6)), -1))</f>
        <v>11</v>
      </c>
      <c r="I5" s="194">
        <f t="shared" si="1"/>
        <v>0.22</v>
      </c>
    </row>
    <row r="6" spans="1:9">
      <c r="A6" s="191" t="str">
        <v xml:space="preserve">Density </v>
      </c>
      <c r="B6" s="193">
        <v>0</v>
      </c>
      <c r="C6" s="193">
        <v>-1</v>
      </c>
      <c r="D6" s="193">
        <v>1</v>
      </c>
      <c r="E6" s="193">
        <f>F5*-1</f>
        <v>-1</v>
      </c>
      <c r="F6" s="192"/>
      <c r="G6" s="193">
        <f t="shared" si="0"/>
        <v>-1</v>
      </c>
      <c r="H6" s="193" cm="1">
        <f t="array" ref="H6">G6+(ROUNDUP(MAX(ABS($G$2:$G$6)), -1))</f>
        <v>9</v>
      </c>
      <c r="I6" s="194">
        <f t="shared" si="1"/>
        <v>0.18</v>
      </c>
    </row>
    <row r="7" spans="1:9">
      <c r="A7" s="190"/>
      <c r="B7" s="194"/>
      <c r="C7" s="194"/>
      <c r="D7" s="194"/>
      <c r="E7" s="194"/>
      <c r="F7" s="194"/>
      <c r="G7" s="193"/>
      <c r="H7" s="193"/>
      <c r="I7" s="193"/>
    </row>
    <row r="8" spans="1:9">
      <c r="B8" s="195"/>
      <c r="C8" s="195"/>
      <c r="D8" s="195"/>
      <c r="E8" s="195"/>
      <c r="F8" s="195"/>
      <c r="G8" s="19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1A4D-6FD6-054B-854B-ECF3359903C6}">
  <sheetPr codeName="Sheet18"/>
  <dimension ref="A1:G8"/>
  <sheetViews>
    <sheetView zoomScale="158" workbookViewId="0">
      <selection activeCell="G4" sqref="G4"/>
    </sheetView>
  </sheetViews>
  <sheetFormatPr baseColWidth="10" defaultColWidth="11" defaultRowHeight="16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>
      <c r="B1">
        <f>ROUND(VLOOKUP(B3, 'S17 Mat. Prop. Weights'!$A$2:$I$6, 9, 0), 2)</f>
        <v>0.18</v>
      </c>
      <c r="C1">
        <f>ROUND(VLOOKUP(C3, 'S17 Mat. Prop. Weights'!$A$2:$I$6, 9, 0), 2)</f>
        <v>0.22</v>
      </c>
      <c r="D1">
        <f>ROUND(VLOOKUP(D3, 'S17 Mat. Prop. Weights'!$A$2:$I$6, 9, 0), 2)</f>
        <v>0.2</v>
      </c>
      <c r="E1">
        <f>ROUND(VLOOKUP(E3, 'S17 Mat. Prop. Weights'!$A$2:$I$6, 9, 0), 2)</f>
        <v>0.22</v>
      </c>
      <c r="F1">
        <f>ROUND(VLOOKUP(F3, 'S17 Mat. Prop. Weights'!$A$2:$I$6, 9, 0), 2)</f>
        <v>0.18</v>
      </c>
    </row>
    <row r="2" spans="1:7" s="66" customFormat="1">
      <c r="A2" s="416"/>
      <c r="B2" s="207" t="s">
        <v>836</v>
      </c>
      <c r="C2" s="207" t="s">
        <v>836</v>
      </c>
      <c r="D2" s="207" t="s">
        <v>836</v>
      </c>
      <c r="E2" s="207" t="s">
        <v>836</v>
      </c>
      <c r="F2" s="208" t="s">
        <v>836</v>
      </c>
      <c r="G2" s="414" t="s">
        <v>820</v>
      </c>
    </row>
    <row r="3" spans="1:7" s="66" customFormat="1">
      <c r="A3" s="417"/>
      <c r="B3" s="209" t="str">
        <f>'S16 Material Properties'!B1</f>
        <v>Tensile Strength</v>
      </c>
      <c r="C3" s="209" t="str">
        <f>'S16 Material Properties'!C1</f>
        <v>Yield Strength</v>
      </c>
      <c r="D3" s="209" t="str">
        <f>'S16 Material Properties'!D1</f>
        <v xml:space="preserve">Young’s Modulus </v>
      </c>
      <c r="E3" s="209" t="str">
        <f>'S16 Material Properties'!E1</f>
        <v xml:space="preserve">Toughness  </v>
      </c>
      <c r="F3" s="209" t="str">
        <f>'S16 Material Properties'!F1</f>
        <v xml:space="preserve">Density </v>
      </c>
      <c r="G3" s="415"/>
    </row>
    <row r="4" spans="1:7">
      <c r="A4" s="196" t="str">
        <f>'S16 Material Properties'!A3</f>
        <v xml:space="preserve">Steel 1020 </v>
      </c>
      <c r="B4" s="3">
        <f>ROUND(VLOOKUP($A4, 'S16 Material Properties'!$A$3:$F$7, COLUMN(), 0) / MAX('S16 Material Properties'!B$3:B$7) *100, 2)</f>
        <v>20.350000000000001</v>
      </c>
      <c r="C4" s="3">
        <f>ROUND(VLOOKUP($A4, 'S16 Material Properties'!$A$3:$F$7, COLUMN(), 0) / MAX('S16 Material Properties'!C$3:C$7) *100, 2)</f>
        <v>27.47</v>
      </c>
      <c r="D4" s="3">
        <f>ROUND(VLOOKUP($A4, 'S16 Material Properties'!$A$3:$F$7, COLUMN(), 0) / MAX('S16 Material Properties'!D$3:D$7) *100, 2)</f>
        <v>100</v>
      </c>
      <c r="E4" s="3">
        <f>ROUND(VLOOKUP($A4, 'S16 Material Properties'!$A$3:$F$7, COLUMN(), 0) / MAX('S16 Material Properties'!E$3:E$7) *100, 2)</f>
        <v>100</v>
      </c>
      <c r="F4" s="3">
        <f>ROUND(VLOOKUP($A4, 'S16 Material Properties'!$A$3:$F$7, COLUMN(), 0) / MAX('S16 Material Properties'!F$3:F$7) *100, 2)</f>
        <v>100</v>
      </c>
      <c r="G4" s="3">
        <f>$B4*B$1+$C4*C$1+$D4*D$1+$E4*E$1+$F4*F$1</f>
        <v>69.706400000000002</v>
      </c>
    </row>
    <row r="5" spans="1:7">
      <c r="A5" s="196" t="str">
        <f>'S16 Material Properties'!A4</f>
        <v xml:space="preserve">Ti-alloy </v>
      </c>
      <c r="B5" s="3">
        <f>ROUND(VLOOKUP($A5, 'S16 Material Properties'!$A$3:$F$7, COLUMN(), 0) / MAX('S16 Material Properties'!B$3:B$7) *100, 2)</f>
        <v>21.62</v>
      </c>
      <c r="C5" s="3">
        <f>ROUND(VLOOKUP($A5, 'S16 Material Properties'!$A$3:$F$7, COLUMN(), 0) / MAX('S16 Material Properties'!C$3:C$7) *100, 2)</f>
        <v>100</v>
      </c>
      <c r="D5" s="3">
        <f>ROUND(VLOOKUP($A5, 'S16 Material Properties'!$A$3:$F$7, COLUMN(), 0) / MAX('S16 Material Properties'!D$3:D$7) *100, 2)</f>
        <v>47.62</v>
      </c>
      <c r="E5" s="3">
        <f>ROUND(VLOOKUP($A5, 'S16 Material Properties'!$A$3:$F$7, COLUMN(), 0) / MAX('S16 Material Properties'!E$3:E$7) *100, 2)</f>
        <v>60.71</v>
      </c>
      <c r="F5" s="3">
        <f>ROUND(VLOOKUP($A5, 'S16 Material Properties'!$A$3:$F$7, COLUMN(), 0) / MAX('S16 Material Properties'!F$3:F$7) *100, 2)</f>
        <v>57.69</v>
      </c>
      <c r="G5" s="3">
        <f t="shared" ref="G5:G8" si="0">$B5*B$1+$C5*C$1+$D5*D$1+$E5*E$1+$F5*F$1</f>
        <v>59.155999999999999</v>
      </c>
    </row>
    <row r="6" spans="1:7">
      <c r="A6" s="196" t="str">
        <f>'S16 Material Properties'!A5</f>
        <v xml:space="preserve">CFRP </v>
      </c>
      <c r="B6" s="3">
        <f>ROUND(VLOOKUP($A6, 'S16 Material Properties'!$A$3:$F$7, COLUMN(), 0) / MAX('S16 Material Properties'!B$3:B$7) *100, 2)</f>
        <v>100</v>
      </c>
      <c r="C6" s="3">
        <f>ROUND(VLOOKUP($A6, 'S16 Material Properties'!$A$3:$F$7, COLUMN(), 0) / MAX('S16 Material Properties'!C$3:C$7) *100, 2)</f>
        <v>28.57</v>
      </c>
      <c r="D6" s="3">
        <f>ROUND(VLOOKUP($A6, 'S16 Material Properties'!$A$3:$F$7, COLUMN(), 0) / MAX('S16 Material Properties'!D$3:D$7) *100, 2)</f>
        <v>10.95</v>
      </c>
      <c r="E6" s="3">
        <f>ROUND(VLOOKUP($A6, 'S16 Material Properties'!$A$3:$F$7, COLUMN(), 0) / MAX('S16 Material Properties'!E$3:E$7) *100, 2)</f>
        <v>27.14</v>
      </c>
      <c r="F6" s="3">
        <f>ROUND(VLOOKUP($A6, 'S16 Material Properties'!$A$3:$F$7, COLUMN(), 0) / MAX('S16 Material Properties'!F$3:F$7) *100, 2)</f>
        <v>19.23</v>
      </c>
      <c r="G6" s="3">
        <f t="shared" si="0"/>
        <v>35.907600000000002</v>
      </c>
    </row>
    <row r="7" spans="1:7">
      <c r="A7" s="196" t="str">
        <f>'S16 Material Properties'!A6</f>
        <v xml:space="preserve">KFRP </v>
      </c>
      <c r="B7" s="3">
        <f>ROUND(VLOOKUP($A7, 'S16 Material Properties'!$A$3:$F$7, COLUMN(), 0) / MAX('S16 Material Properties'!B$3:B$7) *100, 2)</f>
        <v>62.42</v>
      </c>
      <c r="C7" s="3">
        <f>ROUND(VLOOKUP($A7, 'S16 Material Properties'!$A$3:$F$7, COLUMN(), 0) / MAX('S16 Material Properties'!C$3:C$7) *100, 2)</f>
        <v>68.239999999999995</v>
      </c>
      <c r="D7" s="3">
        <f>ROUND(VLOOKUP($A7, 'S16 Material Properties'!$A$3:$F$7, COLUMN(), 0) / MAX('S16 Material Properties'!D$3:D$7) *100, 2)</f>
        <v>36.19</v>
      </c>
      <c r="E7" s="3">
        <f>ROUND(VLOOKUP($A7, 'S16 Material Properties'!$A$3:$F$7, COLUMN(), 0) / MAX('S16 Material Properties'!E$3:E$7) *100, 2)</f>
        <v>27.86</v>
      </c>
      <c r="F7" s="3">
        <f>ROUND(VLOOKUP($A7, 'S16 Material Properties'!$A$3:$F$7, COLUMN(), 0) / MAX('S16 Material Properties'!F$3:F$7) *100, 2)</f>
        <v>17.95</v>
      </c>
      <c r="G7" s="3">
        <f t="shared" si="0"/>
        <v>42.846599999999995</v>
      </c>
    </row>
    <row r="8" spans="1:7">
      <c r="A8" s="196" t="str">
        <f>'S16 Material Properties'!A7</f>
        <v xml:space="preserve">GFRP </v>
      </c>
      <c r="B8" s="3">
        <f>ROUND(VLOOKUP($A8, 'S16 Material Properties'!$A$3:$F$7, COLUMN(), 0) / MAX('S16 Material Properties'!B$3:B$7) *100, 2)</f>
        <v>23.97</v>
      </c>
      <c r="C8" s="3">
        <f>ROUND(VLOOKUP($A8, 'S16 Material Properties'!$A$3:$F$7, COLUMN(), 0) / MAX('S16 Material Properties'!C$3:C$7) *100, 2)</f>
        <v>27.47</v>
      </c>
      <c r="D8" s="3">
        <f>ROUND(VLOOKUP($A8, 'S16 Material Properties'!$A$3:$F$7, COLUMN(), 0) / MAX('S16 Material Properties'!D$3:D$7) *100, 2)</f>
        <v>12.38</v>
      </c>
      <c r="E8" s="3">
        <f>ROUND(VLOOKUP($A8, 'S16 Material Properties'!$A$3:$F$7, COLUMN(), 0) / MAX('S16 Material Properties'!E$3:E$7) *100, 2)</f>
        <v>28.57</v>
      </c>
      <c r="F8" s="3">
        <f>ROUND(VLOOKUP($A8, 'S16 Material Properties'!$A$3:$F$7, COLUMN(), 0) / MAX('S16 Material Properties'!F$3:F$7) *100, 2)</f>
        <v>23.08</v>
      </c>
      <c r="G8" s="3">
        <f t="shared" si="0"/>
        <v>23.273800000000001</v>
      </c>
    </row>
  </sheetData>
  <mergeCells count="2">
    <mergeCell ref="G2:G3"/>
    <mergeCell ref="A2:A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3789-DD96-FD4C-8BB0-DD960F4286CF}">
  <sheetPr codeName="Sheet19"/>
  <dimension ref="A1:F8"/>
  <sheetViews>
    <sheetView zoomScale="140" workbookViewId="0">
      <selection activeCell="E4" sqref="E4"/>
    </sheetView>
  </sheetViews>
  <sheetFormatPr baseColWidth="10" defaultColWidth="11" defaultRowHeight="16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>
      <c r="A1" s="206" t="s">
        <v>871</v>
      </c>
      <c r="B1" s="40">
        <v>2.5</v>
      </c>
    </row>
    <row r="3" spans="1:6">
      <c r="A3" s="205" t="s">
        <v>821</v>
      </c>
      <c r="B3" s="205" t="s">
        <v>813</v>
      </c>
      <c r="C3" s="205" t="s">
        <v>822</v>
      </c>
      <c r="D3" s="205" t="s">
        <v>870</v>
      </c>
      <c r="E3" s="205" t="s">
        <v>823</v>
      </c>
      <c r="F3" s="205" t="s">
        <v>824</v>
      </c>
    </row>
    <row r="4" spans="1:6">
      <c r="A4" s="186" t="str">
        <f>'S16 Material Properties'!A3</f>
        <v xml:space="preserve">Steel 1020 </v>
      </c>
      <c r="B4" s="69">
        <f>VLOOKUP(A4, 'S16 Material Properties'!$A$3:$C$7, 3, 0)</f>
        <v>250</v>
      </c>
      <c r="C4" s="187">
        <f>B4/$B$1</f>
        <v>100</v>
      </c>
      <c r="D4" s="197">
        <f>VLOOKUP(A4, 'S16 Material Properties'!$A$3:$G$7, 7, 0)</f>
        <v>7.8</v>
      </c>
      <c r="E4" s="69">
        <f>ROUND(VLOOKUP(A4, 'S16 Material Properties'!$A$3:$H$7, 8, 0) / MIN('S16 Material Properties'!$H$3:$H$7), 2)</f>
        <v>1</v>
      </c>
      <c r="F4" s="198">
        <f>D4/C4*E4</f>
        <v>7.8E-2</v>
      </c>
    </row>
    <row r="5" spans="1:6">
      <c r="A5" s="186" t="str">
        <f>'S16 Material Properties'!A4</f>
        <v xml:space="preserve">Ti-alloy </v>
      </c>
      <c r="B5" s="69">
        <f>VLOOKUP(A5, 'S16 Material Properties'!$A$3:$C$7, 3, 0)</f>
        <v>910</v>
      </c>
      <c r="C5" s="187">
        <f t="shared" ref="C5:C8" si="0">B5/$B$1</f>
        <v>364</v>
      </c>
      <c r="D5" s="197">
        <f>VLOOKUP(A5, 'S16 Material Properties'!$A$3:$G$7, 7, 0)</f>
        <v>4.5</v>
      </c>
      <c r="E5" s="69">
        <f>ROUND(VLOOKUP(A5, 'S16 Material Properties'!$A$3:$H$7, 8, 0) / MIN('S16 Material Properties'!$H$3:$H$7), 2)</f>
        <v>23.5</v>
      </c>
      <c r="F5" s="198">
        <f t="shared" ref="F5:F8" si="1">D5/C5*E5</f>
        <v>0.29052197802197799</v>
      </c>
    </row>
    <row r="6" spans="1:6">
      <c r="A6" s="186" t="str">
        <f>'S16 Material Properties'!A5</f>
        <v xml:space="preserve">CFRP </v>
      </c>
      <c r="B6" s="69">
        <f>VLOOKUP(A6, 'S16 Material Properties'!$A$3:$C$7, 3, 0)</f>
        <v>260</v>
      </c>
      <c r="C6" s="187">
        <f t="shared" si="0"/>
        <v>104</v>
      </c>
      <c r="D6" s="197">
        <f>VLOOKUP(A6, 'S16 Material Properties'!$A$3:$G$7, 7, 0)</f>
        <v>1.5</v>
      </c>
      <c r="E6" s="69">
        <f>ROUND(VLOOKUP(A6, 'S16 Material Properties'!$A$3:$H$7, 8, 0) / MIN('S16 Material Properties'!$H$3:$H$7), 2)</f>
        <v>5.89</v>
      </c>
      <c r="F6" s="198">
        <f t="shared" si="1"/>
        <v>8.4951923076923078E-2</v>
      </c>
    </row>
    <row r="7" spans="1:6">
      <c r="A7" s="186" t="str">
        <f>'S16 Material Properties'!A6</f>
        <v xml:space="preserve">KFRP </v>
      </c>
      <c r="B7" s="69">
        <f>VLOOKUP(A7, 'S16 Material Properties'!$A$3:$C$7, 3, 0)</f>
        <v>621</v>
      </c>
      <c r="C7" s="187">
        <f t="shared" si="0"/>
        <v>248.4</v>
      </c>
      <c r="D7" s="197">
        <f>VLOOKUP(A7, 'S16 Material Properties'!$A$3:$G$7, 7, 0)</f>
        <v>1.4</v>
      </c>
      <c r="E7" s="69">
        <f>ROUND(VLOOKUP(A7, 'S16 Material Properties'!$A$3:$H$7, 8, 0) / MIN('S16 Material Properties'!$H$3:$H$7), 2)</f>
        <v>17.399999999999999</v>
      </c>
      <c r="F7" s="198">
        <f t="shared" si="1"/>
        <v>9.8067632850241532E-2</v>
      </c>
    </row>
    <row r="8" spans="1:6">
      <c r="A8" s="186" t="str">
        <f>'S16 Material Properties'!A7</f>
        <v xml:space="preserve">GFRP </v>
      </c>
      <c r="B8" s="69">
        <f>VLOOKUP(A8, 'S16 Material Properties'!$A$3:$C$7, 3, 0)</f>
        <v>250</v>
      </c>
      <c r="C8" s="187">
        <f t="shared" si="0"/>
        <v>100</v>
      </c>
      <c r="D8" s="197">
        <f>VLOOKUP(A8, 'S16 Material Properties'!$A$3:$G$7, 7, 0)</f>
        <v>1.8</v>
      </c>
      <c r="E8" s="69">
        <f>ROUND(VLOOKUP(A8, 'S16 Material Properties'!$A$3:$H$7, 8, 0) / MIN('S16 Material Properties'!$H$3:$H$7), 2)</f>
        <v>13.33</v>
      </c>
      <c r="F8" s="198">
        <f t="shared" si="1"/>
        <v>0.23994000000000004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39BC-15B0-344A-A6F3-AF0D3BFD2184}">
  <sheetPr codeName="Sheet20"/>
  <dimension ref="A1:E6"/>
  <sheetViews>
    <sheetView zoomScale="150" zoomScaleNormal="174" workbookViewId="0">
      <selection activeCell="A4" sqref="A4"/>
    </sheetView>
  </sheetViews>
  <sheetFormatPr baseColWidth="10" defaultColWidth="11" defaultRowHeight="16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>
      <c r="A1" s="5" t="s">
        <v>825</v>
      </c>
      <c r="B1" s="5" t="s">
        <v>823</v>
      </c>
      <c r="C1" s="5" t="s">
        <v>826</v>
      </c>
      <c r="D1" s="5" t="s">
        <v>820</v>
      </c>
      <c r="E1" s="5" t="s">
        <v>827</v>
      </c>
    </row>
    <row r="2" spans="1:5">
      <c r="A2" s="196" t="str">
        <f>'S16 Material Properties'!A3</f>
        <v xml:space="preserve">Steel 1020 </v>
      </c>
      <c r="B2" s="3">
        <f>VLOOKUP(A2, 'S19 Mat. Cost per Strength'!$A$4:$E$85, 5, 0)</f>
        <v>1</v>
      </c>
      <c r="C2" s="3">
        <f>ROUND(VLOOKUP(A2, 'S19 Mat. Cost per Strength'!$A$4:$F$8, 6, 0)*100, 2)</f>
        <v>7.8</v>
      </c>
      <c r="D2" s="3">
        <f>VLOOKUP(A2, 'S18 Mat. Perf. Index'!$A$4:$G$8, 7, 0)</f>
        <v>69.706400000000002</v>
      </c>
      <c r="E2" s="3">
        <f>ROUNDUP(D2/C2, 0)</f>
        <v>9</v>
      </c>
    </row>
    <row r="3" spans="1:5">
      <c r="A3" s="196" t="str">
        <f>'S16 Material Properties'!A4</f>
        <v xml:space="preserve">Ti-alloy </v>
      </c>
      <c r="B3" s="3">
        <f>VLOOKUP(A3, 'S19 Mat. Cost per Strength'!$A$4:$E$85, 5, 0)</f>
        <v>23.5</v>
      </c>
      <c r="C3" s="3">
        <f>ROUND(VLOOKUP(A3, 'S19 Mat. Cost per Strength'!$A$4:$F$8, 6, 0)*100, 2)</f>
        <v>29.05</v>
      </c>
      <c r="D3" s="3">
        <f>VLOOKUP(A3, 'S18 Mat. Perf. Index'!$A$4:$G$8, 7, 0)</f>
        <v>59.155999999999999</v>
      </c>
      <c r="E3" s="3">
        <f t="shared" ref="E3:E6" si="0">ROUNDUP(D3/C3, 0)</f>
        <v>3</v>
      </c>
    </row>
    <row r="4" spans="1:5">
      <c r="A4" s="196" t="str">
        <f>'S16 Material Properties'!A5</f>
        <v xml:space="preserve">CFRP </v>
      </c>
      <c r="B4" s="3">
        <f>VLOOKUP(A4, 'S19 Mat. Cost per Strength'!$A$4:$E$85, 5, 0)</f>
        <v>5.89</v>
      </c>
      <c r="C4" s="3">
        <f>ROUND(VLOOKUP(A4, 'S19 Mat. Cost per Strength'!$A$4:$F$8, 6, 0)*100, 2)</f>
        <v>8.5</v>
      </c>
      <c r="D4" s="3">
        <f>VLOOKUP(A4, 'S18 Mat. Perf. Index'!$A$4:$G$8, 7, 0)</f>
        <v>35.907600000000002</v>
      </c>
      <c r="E4" s="3">
        <f t="shared" si="0"/>
        <v>5</v>
      </c>
    </row>
    <row r="5" spans="1:5">
      <c r="A5" s="196" t="str">
        <f>'S16 Material Properties'!A6</f>
        <v xml:space="preserve">KFRP </v>
      </c>
      <c r="B5" s="3">
        <f>VLOOKUP(A5, 'S19 Mat. Cost per Strength'!$A$4:$E$85, 5, 0)</f>
        <v>17.399999999999999</v>
      </c>
      <c r="C5" s="3">
        <f>ROUND(VLOOKUP(A5, 'S19 Mat. Cost per Strength'!$A$4:$F$8, 6, 0)*100, 2)</f>
        <v>9.81</v>
      </c>
      <c r="D5" s="3">
        <f>VLOOKUP(A5, 'S18 Mat. Perf. Index'!$A$4:$G$8, 7, 0)</f>
        <v>42.846599999999995</v>
      </c>
      <c r="E5" s="3">
        <f t="shared" si="0"/>
        <v>5</v>
      </c>
    </row>
    <row r="6" spans="1:5">
      <c r="A6" s="196" t="str">
        <f>'S16 Material Properties'!A7</f>
        <v xml:space="preserve">GFRP </v>
      </c>
      <c r="B6" s="3">
        <f>VLOOKUP(A6, 'S19 Mat. Cost per Strength'!$A$4:$E$85, 5, 0)</f>
        <v>13.33</v>
      </c>
      <c r="C6" s="3">
        <f>ROUND(VLOOKUP(A6, 'S19 Mat. Cost per Strength'!$A$4:$F$8, 6, 0)*100, 2)</f>
        <v>23.99</v>
      </c>
      <c r="D6" s="3">
        <f>VLOOKUP(A6, 'S18 Mat. Perf. Index'!$A$4:$G$8, 7, 0)</f>
        <v>23.273800000000001</v>
      </c>
      <c r="E6" s="3">
        <f t="shared" si="0"/>
        <v>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1BB0-653C-8F4F-90FA-9BE99B53C0A5}">
  <sheetPr codeName="Sheet21"/>
  <dimension ref="A1:V27"/>
  <sheetViews>
    <sheetView zoomScale="165" workbookViewId="0">
      <selection activeCell="A3" sqref="A3"/>
    </sheetView>
  </sheetViews>
  <sheetFormatPr baseColWidth="10" defaultColWidth="10.83203125" defaultRowHeight="16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2" style="44" customWidth="1"/>
    <col min="9" max="9" width="17.1640625" style="44" bestFit="1" customWidth="1"/>
    <col min="10" max="11" width="17.1640625" style="44" customWidth="1"/>
    <col min="12" max="14" width="19" style="44" customWidth="1"/>
    <col min="15" max="15" width="8.83203125" style="44" customWidth="1"/>
    <col min="16" max="16" width="7.5" style="44" customWidth="1"/>
    <col min="17" max="17" width="6.6640625" style="44" customWidth="1"/>
    <col min="18" max="18" width="10" style="44" customWidth="1"/>
    <col min="19" max="19" width="16.83203125" style="44" customWidth="1"/>
    <col min="20" max="20" width="18.33203125" style="44" bestFit="1" customWidth="1"/>
    <col min="21" max="21" width="17.5" style="44" bestFit="1" customWidth="1"/>
    <col min="22" max="22" width="8" style="44" customWidth="1"/>
    <col min="23" max="16384" width="10.83203125" style="44"/>
  </cols>
  <sheetData>
    <row r="1" spans="1:22" ht="51" customHeight="1">
      <c r="A1" s="210" t="s">
        <v>872</v>
      </c>
      <c r="B1" s="210" t="s">
        <v>873</v>
      </c>
      <c r="C1" s="210" t="s">
        <v>874</v>
      </c>
      <c r="D1" s="210" t="s">
        <v>875</v>
      </c>
      <c r="F1" s="210" t="s">
        <v>876</v>
      </c>
      <c r="G1" s="210" t="s">
        <v>877</v>
      </c>
      <c r="H1" s="210" t="s">
        <v>923</v>
      </c>
      <c r="I1" s="210" t="s">
        <v>878</v>
      </c>
      <c r="J1" s="210" t="s">
        <v>879</v>
      </c>
      <c r="K1" s="210" t="s">
        <v>924</v>
      </c>
      <c r="L1" s="210" t="s">
        <v>880</v>
      </c>
      <c r="M1" s="210" t="s">
        <v>881</v>
      </c>
      <c r="N1" s="210" t="s">
        <v>925</v>
      </c>
      <c r="O1" s="67"/>
      <c r="P1" s="211" t="s">
        <v>882</v>
      </c>
      <c r="Q1" s="212" t="s">
        <v>883</v>
      </c>
      <c r="R1" s="213" t="s">
        <v>884</v>
      </c>
      <c r="S1" s="210" t="s">
        <v>879</v>
      </c>
      <c r="T1" s="210" t="s">
        <v>881</v>
      </c>
      <c r="U1" s="210" t="s">
        <v>885</v>
      </c>
      <c r="V1" s="210" t="s">
        <v>886</v>
      </c>
    </row>
    <row r="2" spans="1:22">
      <c r="A2" s="214">
        <v>201</v>
      </c>
      <c r="B2" s="214">
        <f>VLOOKUP(A2, R2:S27, 2, 1)</f>
        <v>62</v>
      </c>
      <c r="C2" s="214">
        <f>VLOOKUP(A2, R2:U27, 4, 1)</f>
        <v>56</v>
      </c>
      <c r="D2" s="215" t="str">
        <f>VLOOKUP(A2, R2:V27, 5, 1)</f>
        <v>XXXL</v>
      </c>
      <c r="F2" s="214" t="s">
        <v>887</v>
      </c>
      <c r="G2" s="214" t="s">
        <v>888</v>
      </c>
      <c r="H2" s="214">
        <f>VALUE(LEFT(G2, 3))</f>
        <v>143</v>
      </c>
      <c r="I2" s="214" t="s">
        <v>889</v>
      </c>
      <c r="J2" s="214">
        <f>VALUE(LEFT(I2, 2))</f>
        <v>44</v>
      </c>
      <c r="K2" s="214" t="str">
        <f>MID(I2, 6, 4)</f>
        <v>XXS</v>
      </c>
      <c r="L2" s="214" t="s">
        <v>890</v>
      </c>
      <c r="M2" s="214">
        <f>VALUE(LEFT(L2, 2))</f>
        <v>13</v>
      </c>
      <c r="N2" s="214" t="str">
        <f>MID(L2, 7, 4)</f>
        <v>XXS</v>
      </c>
      <c r="P2" s="216">
        <v>4</v>
      </c>
      <c r="Q2" s="217">
        <v>8</v>
      </c>
      <c r="R2" s="218">
        <f>ROUNDUP(P2*$B$6+Q2*$D$6, 0)</f>
        <v>143</v>
      </c>
      <c r="S2" s="214">
        <f>VLOOKUP(R2, $H$2:$J$9, 3, 1)</f>
        <v>44</v>
      </c>
      <c r="T2" s="214">
        <f>VLOOKUP(R2, $H$2:$M$9, 6, 1)</f>
        <v>13</v>
      </c>
      <c r="U2" s="214">
        <f>ROUNDUP(T2*$D$6, 0)</f>
        <v>34</v>
      </c>
      <c r="V2" s="214" t="str">
        <f>VLOOKUP(T2, $M$2:$N$9, 2, 1)</f>
        <v>XXS</v>
      </c>
    </row>
    <row r="3" spans="1:22">
      <c r="F3" s="214" t="s">
        <v>891</v>
      </c>
      <c r="G3" s="214" t="s">
        <v>892</v>
      </c>
      <c r="H3" s="214">
        <f t="shared" ref="H3:H9" si="0">VALUE(LEFT(G3, 3))</f>
        <v>155</v>
      </c>
      <c r="I3" s="214" t="s">
        <v>893</v>
      </c>
      <c r="J3" s="214">
        <f t="shared" ref="J3:J9" si="1">VALUE(LEFT(I3, 2))</f>
        <v>48</v>
      </c>
      <c r="K3" s="214" t="str">
        <f t="shared" ref="K3:K9" si="2">MID(I3, 6, 4)</f>
        <v>XS</v>
      </c>
      <c r="L3" s="214" t="s">
        <v>894</v>
      </c>
      <c r="M3" s="214">
        <f t="shared" ref="M3:M9" si="3">VALUE(LEFT(L3, 2))</f>
        <v>15</v>
      </c>
      <c r="N3" s="214" t="str">
        <f t="shared" ref="N3:N9" si="4">MID(L3, 7, 4)</f>
        <v>XS</v>
      </c>
      <c r="P3" s="216">
        <v>4</v>
      </c>
      <c r="Q3" s="217">
        <v>9</v>
      </c>
      <c r="R3" s="218">
        <f t="shared" ref="R3:R27" si="5">ROUNDUP(P3*$B$6+Q3*$D$6, 0)</f>
        <v>145</v>
      </c>
      <c r="S3" s="214">
        <f t="shared" ref="S3:S27" si="6">VLOOKUP(R3, $H$2:$J$9, 3, 1)</f>
        <v>44</v>
      </c>
      <c r="T3" s="214">
        <f t="shared" ref="T3:T27" si="7">VLOOKUP(R3, $H$2:$M$9, 6, 1)</f>
        <v>13</v>
      </c>
      <c r="U3" s="214">
        <f t="shared" ref="U3:U27" si="8">ROUNDUP(T3*$D$6, 0)</f>
        <v>34</v>
      </c>
      <c r="V3" s="214" t="str">
        <f t="shared" ref="V3:V27" si="9">VLOOKUP(T3, $M$2:$N$9, 2, 1)</f>
        <v>XXS</v>
      </c>
    </row>
    <row r="4" spans="1:22">
      <c r="A4" s="418" t="s">
        <v>895</v>
      </c>
      <c r="B4" s="418"/>
      <c r="C4" s="418"/>
      <c r="D4" s="418"/>
      <c r="F4" s="214" t="s">
        <v>896</v>
      </c>
      <c r="G4" s="214" t="s">
        <v>897</v>
      </c>
      <c r="H4" s="214">
        <f t="shared" si="0"/>
        <v>163</v>
      </c>
      <c r="I4" s="214" t="s">
        <v>898</v>
      </c>
      <c r="J4" s="214">
        <f t="shared" si="1"/>
        <v>51</v>
      </c>
      <c r="K4" s="214" t="str">
        <f t="shared" si="2"/>
        <v>S</v>
      </c>
      <c r="L4" s="214" t="s">
        <v>899</v>
      </c>
      <c r="M4" s="214">
        <f t="shared" si="3"/>
        <v>16</v>
      </c>
      <c r="N4" s="214" t="str">
        <f t="shared" si="4"/>
        <v>S</v>
      </c>
      <c r="P4" s="216">
        <v>4</v>
      </c>
      <c r="Q4" s="217">
        <v>10</v>
      </c>
      <c r="R4" s="218">
        <f t="shared" si="5"/>
        <v>148</v>
      </c>
      <c r="S4" s="214">
        <f t="shared" si="6"/>
        <v>44</v>
      </c>
      <c r="T4" s="214">
        <f t="shared" si="7"/>
        <v>13</v>
      </c>
      <c r="U4" s="214">
        <f t="shared" si="8"/>
        <v>34</v>
      </c>
      <c r="V4" s="214" t="str">
        <f t="shared" si="9"/>
        <v>XXS</v>
      </c>
    </row>
    <row r="5" spans="1:22" s="67" customFormat="1">
      <c r="A5" s="70" t="s">
        <v>900</v>
      </c>
      <c r="B5" s="5" t="s">
        <v>901</v>
      </c>
      <c r="C5" s="70" t="s">
        <v>902</v>
      </c>
      <c r="D5" s="5" t="s">
        <v>901</v>
      </c>
      <c r="F5" s="214" t="s">
        <v>903</v>
      </c>
      <c r="G5" s="214" t="s">
        <v>904</v>
      </c>
      <c r="H5" s="214">
        <f t="shared" si="0"/>
        <v>170</v>
      </c>
      <c r="I5" s="214" t="s">
        <v>905</v>
      </c>
      <c r="J5" s="214">
        <f t="shared" si="1"/>
        <v>54</v>
      </c>
      <c r="K5" s="214" t="str">
        <f t="shared" si="2"/>
        <v>M</v>
      </c>
      <c r="L5" s="214" t="s">
        <v>906</v>
      </c>
      <c r="M5" s="214">
        <f t="shared" si="3"/>
        <v>18</v>
      </c>
      <c r="N5" s="214" t="str">
        <f t="shared" si="4"/>
        <v>M</v>
      </c>
      <c r="O5" s="44"/>
      <c r="P5" s="216">
        <v>4</v>
      </c>
      <c r="Q5" s="217">
        <v>11</v>
      </c>
      <c r="R5" s="218">
        <f t="shared" si="5"/>
        <v>150</v>
      </c>
      <c r="S5" s="214">
        <f t="shared" si="6"/>
        <v>44</v>
      </c>
      <c r="T5" s="214">
        <f t="shared" si="7"/>
        <v>13</v>
      </c>
      <c r="U5" s="214">
        <f t="shared" si="8"/>
        <v>34</v>
      </c>
      <c r="V5" s="214" t="str">
        <f t="shared" si="9"/>
        <v>XXS</v>
      </c>
    </row>
    <row r="6" spans="1:22">
      <c r="A6" s="214">
        <v>1</v>
      </c>
      <c r="B6" s="221">
        <v>30.48</v>
      </c>
      <c r="C6" s="214">
        <v>1</v>
      </c>
      <c r="D6" s="221">
        <v>2.54</v>
      </c>
      <c r="F6" s="214" t="s">
        <v>907</v>
      </c>
      <c r="G6" s="214" t="s">
        <v>908</v>
      </c>
      <c r="H6" s="214">
        <f t="shared" si="0"/>
        <v>178</v>
      </c>
      <c r="I6" s="214" t="s">
        <v>909</v>
      </c>
      <c r="J6" s="214">
        <f t="shared" si="1"/>
        <v>56</v>
      </c>
      <c r="K6" s="214" t="str">
        <f t="shared" si="2"/>
        <v>L</v>
      </c>
      <c r="L6" s="214" t="s">
        <v>910</v>
      </c>
      <c r="M6" s="214">
        <f t="shared" si="3"/>
        <v>19</v>
      </c>
      <c r="N6" s="214" t="str">
        <f t="shared" si="4"/>
        <v>L</v>
      </c>
      <c r="P6" s="216">
        <v>5</v>
      </c>
      <c r="Q6" s="217">
        <v>0</v>
      </c>
      <c r="R6" s="218">
        <f t="shared" si="5"/>
        <v>153</v>
      </c>
      <c r="S6" s="214">
        <f t="shared" si="6"/>
        <v>44</v>
      </c>
      <c r="T6" s="214">
        <f t="shared" si="7"/>
        <v>13</v>
      </c>
      <c r="U6" s="214">
        <f t="shared" si="8"/>
        <v>34</v>
      </c>
      <c r="V6" s="214" t="str">
        <f t="shared" si="9"/>
        <v>XXS</v>
      </c>
    </row>
    <row r="7" spans="1:22">
      <c r="F7" s="214" t="s">
        <v>911</v>
      </c>
      <c r="G7" s="214" t="s">
        <v>912</v>
      </c>
      <c r="H7" s="214">
        <f t="shared" si="0"/>
        <v>183</v>
      </c>
      <c r="I7" s="214" t="s">
        <v>913</v>
      </c>
      <c r="J7" s="214">
        <f t="shared" si="1"/>
        <v>58</v>
      </c>
      <c r="K7" s="214" t="str">
        <f t="shared" si="2"/>
        <v>XL</v>
      </c>
      <c r="L7" s="214" t="s">
        <v>914</v>
      </c>
      <c r="M7" s="214">
        <f t="shared" si="3"/>
        <v>20</v>
      </c>
      <c r="N7" s="214" t="str">
        <f t="shared" si="4"/>
        <v>XL</v>
      </c>
      <c r="P7" s="216">
        <v>5</v>
      </c>
      <c r="Q7" s="217">
        <v>1</v>
      </c>
      <c r="R7" s="218">
        <f t="shared" si="5"/>
        <v>155</v>
      </c>
      <c r="S7" s="214">
        <f t="shared" si="6"/>
        <v>48</v>
      </c>
      <c r="T7" s="214">
        <f t="shared" si="7"/>
        <v>15</v>
      </c>
      <c r="U7" s="214">
        <f t="shared" si="8"/>
        <v>39</v>
      </c>
      <c r="V7" s="214" t="str">
        <f t="shared" si="9"/>
        <v>XS</v>
      </c>
    </row>
    <row r="8" spans="1:22">
      <c r="F8" s="214" t="s">
        <v>915</v>
      </c>
      <c r="G8" s="214" t="s">
        <v>916</v>
      </c>
      <c r="H8" s="214">
        <f t="shared" si="0"/>
        <v>191</v>
      </c>
      <c r="I8" s="214" t="s">
        <v>917</v>
      </c>
      <c r="J8" s="214">
        <f t="shared" si="1"/>
        <v>60</v>
      </c>
      <c r="K8" s="214" t="str">
        <f t="shared" si="2"/>
        <v>XXL</v>
      </c>
      <c r="L8" s="214" t="s">
        <v>918</v>
      </c>
      <c r="M8" s="214">
        <f t="shared" si="3"/>
        <v>21</v>
      </c>
      <c r="N8" s="214" t="str">
        <f t="shared" si="4"/>
        <v>XXL</v>
      </c>
      <c r="P8" s="216">
        <v>5</v>
      </c>
      <c r="Q8" s="217">
        <v>2</v>
      </c>
      <c r="R8" s="218">
        <f t="shared" si="5"/>
        <v>158</v>
      </c>
      <c r="S8" s="214">
        <f t="shared" si="6"/>
        <v>48</v>
      </c>
      <c r="T8" s="214">
        <f t="shared" si="7"/>
        <v>15</v>
      </c>
      <c r="U8" s="214">
        <f t="shared" si="8"/>
        <v>39</v>
      </c>
      <c r="V8" s="214" t="str">
        <f t="shared" si="9"/>
        <v>XS</v>
      </c>
    </row>
    <row r="9" spans="1:22">
      <c r="F9" s="214" t="s">
        <v>919</v>
      </c>
      <c r="G9" s="214" t="s">
        <v>920</v>
      </c>
      <c r="H9" s="214">
        <f t="shared" si="0"/>
        <v>196</v>
      </c>
      <c r="I9" s="214" t="s">
        <v>921</v>
      </c>
      <c r="J9" s="214">
        <f t="shared" si="1"/>
        <v>62</v>
      </c>
      <c r="K9" s="214" t="str">
        <f t="shared" si="2"/>
        <v>XXXL</v>
      </c>
      <c r="L9" s="214" t="s">
        <v>922</v>
      </c>
      <c r="M9" s="214">
        <f t="shared" si="3"/>
        <v>22</v>
      </c>
      <c r="N9" s="214" t="str">
        <f t="shared" si="4"/>
        <v>XXXL</v>
      </c>
      <c r="P9" s="216">
        <v>5</v>
      </c>
      <c r="Q9" s="217">
        <v>3</v>
      </c>
      <c r="R9" s="218">
        <f t="shared" si="5"/>
        <v>161</v>
      </c>
      <c r="S9" s="214">
        <f t="shared" si="6"/>
        <v>48</v>
      </c>
      <c r="T9" s="214">
        <f t="shared" si="7"/>
        <v>15</v>
      </c>
      <c r="U9" s="214">
        <f t="shared" si="8"/>
        <v>39</v>
      </c>
      <c r="V9" s="214" t="str">
        <f t="shared" si="9"/>
        <v>XS</v>
      </c>
    </row>
    <row r="10" spans="1:22">
      <c r="P10" s="216">
        <v>5</v>
      </c>
      <c r="Q10" s="217">
        <v>4</v>
      </c>
      <c r="R10" s="218">
        <f t="shared" si="5"/>
        <v>163</v>
      </c>
      <c r="S10" s="214">
        <f t="shared" si="6"/>
        <v>51</v>
      </c>
      <c r="T10" s="214">
        <f t="shared" si="7"/>
        <v>16</v>
      </c>
      <c r="U10" s="214">
        <f t="shared" si="8"/>
        <v>41</v>
      </c>
      <c r="V10" s="214" t="str">
        <f t="shared" si="9"/>
        <v>S</v>
      </c>
    </row>
    <row r="11" spans="1:22">
      <c r="P11" s="216">
        <v>5</v>
      </c>
      <c r="Q11" s="217">
        <v>5</v>
      </c>
      <c r="R11" s="218">
        <f t="shared" si="5"/>
        <v>166</v>
      </c>
      <c r="S11" s="214">
        <f t="shared" si="6"/>
        <v>51</v>
      </c>
      <c r="T11" s="214">
        <f t="shared" si="7"/>
        <v>16</v>
      </c>
      <c r="U11" s="214">
        <f t="shared" si="8"/>
        <v>41</v>
      </c>
      <c r="V11" s="214" t="str">
        <f t="shared" si="9"/>
        <v>S</v>
      </c>
    </row>
    <row r="12" spans="1:22">
      <c r="P12" s="216">
        <v>5</v>
      </c>
      <c r="Q12" s="217">
        <v>6</v>
      </c>
      <c r="R12" s="218">
        <f t="shared" si="5"/>
        <v>168</v>
      </c>
      <c r="S12" s="214">
        <f t="shared" si="6"/>
        <v>51</v>
      </c>
      <c r="T12" s="214">
        <f t="shared" si="7"/>
        <v>16</v>
      </c>
      <c r="U12" s="214">
        <f t="shared" si="8"/>
        <v>41</v>
      </c>
      <c r="V12" s="214" t="str">
        <f t="shared" si="9"/>
        <v>S</v>
      </c>
    </row>
    <row r="13" spans="1:22">
      <c r="P13" s="216">
        <v>5</v>
      </c>
      <c r="Q13" s="217">
        <v>7</v>
      </c>
      <c r="R13" s="218">
        <f t="shared" si="5"/>
        <v>171</v>
      </c>
      <c r="S13" s="214">
        <f t="shared" si="6"/>
        <v>54</v>
      </c>
      <c r="T13" s="214">
        <f t="shared" si="7"/>
        <v>18</v>
      </c>
      <c r="U13" s="214">
        <f t="shared" si="8"/>
        <v>46</v>
      </c>
      <c r="V13" s="214" t="str">
        <f t="shared" si="9"/>
        <v>M</v>
      </c>
    </row>
    <row r="14" spans="1:22">
      <c r="P14" s="216">
        <v>5</v>
      </c>
      <c r="Q14" s="217">
        <v>8</v>
      </c>
      <c r="R14" s="218">
        <f t="shared" si="5"/>
        <v>173</v>
      </c>
      <c r="S14" s="214">
        <f t="shared" si="6"/>
        <v>54</v>
      </c>
      <c r="T14" s="214">
        <f t="shared" si="7"/>
        <v>18</v>
      </c>
      <c r="U14" s="214">
        <f t="shared" si="8"/>
        <v>46</v>
      </c>
      <c r="V14" s="214" t="str">
        <f t="shared" si="9"/>
        <v>M</v>
      </c>
    </row>
    <row r="15" spans="1:22">
      <c r="P15" s="216">
        <v>5</v>
      </c>
      <c r="Q15" s="217">
        <v>9</v>
      </c>
      <c r="R15" s="218">
        <f t="shared" si="5"/>
        <v>176</v>
      </c>
      <c r="S15" s="214">
        <f t="shared" si="6"/>
        <v>54</v>
      </c>
      <c r="T15" s="214">
        <f t="shared" si="7"/>
        <v>18</v>
      </c>
      <c r="U15" s="214">
        <f t="shared" si="8"/>
        <v>46</v>
      </c>
      <c r="V15" s="214" t="str">
        <f t="shared" si="9"/>
        <v>M</v>
      </c>
    </row>
    <row r="16" spans="1:22">
      <c r="P16" s="216">
        <v>5</v>
      </c>
      <c r="Q16" s="217">
        <v>10</v>
      </c>
      <c r="R16" s="218">
        <f t="shared" si="5"/>
        <v>178</v>
      </c>
      <c r="S16" s="214">
        <f t="shared" si="6"/>
        <v>56</v>
      </c>
      <c r="T16" s="214">
        <f t="shared" si="7"/>
        <v>19</v>
      </c>
      <c r="U16" s="214">
        <f t="shared" si="8"/>
        <v>49</v>
      </c>
      <c r="V16" s="214" t="str">
        <f t="shared" si="9"/>
        <v>L</v>
      </c>
    </row>
    <row r="17" spans="16:22">
      <c r="P17" s="216">
        <v>5</v>
      </c>
      <c r="Q17" s="217">
        <v>11</v>
      </c>
      <c r="R17" s="218">
        <f t="shared" si="5"/>
        <v>181</v>
      </c>
      <c r="S17" s="214">
        <f t="shared" si="6"/>
        <v>56</v>
      </c>
      <c r="T17" s="214">
        <f t="shared" si="7"/>
        <v>19</v>
      </c>
      <c r="U17" s="214">
        <f t="shared" si="8"/>
        <v>49</v>
      </c>
      <c r="V17" s="214" t="str">
        <f t="shared" si="9"/>
        <v>L</v>
      </c>
    </row>
    <row r="18" spans="16:22">
      <c r="P18" s="216">
        <v>6</v>
      </c>
      <c r="Q18" s="217">
        <v>0</v>
      </c>
      <c r="R18" s="218">
        <f t="shared" si="5"/>
        <v>183</v>
      </c>
      <c r="S18" s="214">
        <f t="shared" si="6"/>
        <v>58</v>
      </c>
      <c r="T18" s="214">
        <f t="shared" si="7"/>
        <v>20</v>
      </c>
      <c r="U18" s="214">
        <f t="shared" si="8"/>
        <v>51</v>
      </c>
      <c r="V18" s="214" t="str">
        <f t="shared" si="9"/>
        <v>XL</v>
      </c>
    </row>
    <row r="19" spans="16:22">
      <c r="P19" s="216">
        <v>6</v>
      </c>
      <c r="Q19" s="217">
        <v>1</v>
      </c>
      <c r="R19" s="218">
        <f t="shared" si="5"/>
        <v>186</v>
      </c>
      <c r="S19" s="214">
        <f t="shared" si="6"/>
        <v>58</v>
      </c>
      <c r="T19" s="214">
        <f t="shared" si="7"/>
        <v>20</v>
      </c>
      <c r="U19" s="214">
        <f t="shared" si="8"/>
        <v>51</v>
      </c>
      <c r="V19" s="214" t="str">
        <f t="shared" si="9"/>
        <v>XL</v>
      </c>
    </row>
    <row r="20" spans="16:22">
      <c r="P20" s="216">
        <v>6</v>
      </c>
      <c r="Q20" s="217">
        <v>2</v>
      </c>
      <c r="R20" s="218">
        <f t="shared" si="5"/>
        <v>188</v>
      </c>
      <c r="S20" s="214">
        <f t="shared" si="6"/>
        <v>58</v>
      </c>
      <c r="T20" s="214">
        <f t="shared" si="7"/>
        <v>20</v>
      </c>
      <c r="U20" s="214">
        <f t="shared" si="8"/>
        <v>51</v>
      </c>
      <c r="V20" s="214" t="str">
        <f t="shared" si="9"/>
        <v>XL</v>
      </c>
    </row>
    <row r="21" spans="16:22">
      <c r="P21" s="216">
        <v>6</v>
      </c>
      <c r="Q21" s="217">
        <v>3</v>
      </c>
      <c r="R21" s="218">
        <f t="shared" si="5"/>
        <v>191</v>
      </c>
      <c r="S21" s="214">
        <f t="shared" si="6"/>
        <v>60</v>
      </c>
      <c r="T21" s="214">
        <f t="shared" si="7"/>
        <v>21</v>
      </c>
      <c r="U21" s="214">
        <f t="shared" si="8"/>
        <v>54</v>
      </c>
      <c r="V21" s="214" t="str">
        <f t="shared" si="9"/>
        <v>XXL</v>
      </c>
    </row>
    <row r="22" spans="16:22">
      <c r="P22" s="216">
        <v>6</v>
      </c>
      <c r="Q22" s="217">
        <v>4</v>
      </c>
      <c r="R22" s="218">
        <f t="shared" si="5"/>
        <v>194</v>
      </c>
      <c r="S22" s="214">
        <f t="shared" si="6"/>
        <v>60</v>
      </c>
      <c r="T22" s="214">
        <f t="shared" si="7"/>
        <v>21</v>
      </c>
      <c r="U22" s="214">
        <f t="shared" si="8"/>
        <v>54</v>
      </c>
      <c r="V22" s="214" t="str">
        <f t="shared" si="9"/>
        <v>XXL</v>
      </c>
    </row>
    <row r="23" spans="16:22">
      <c r="P23" s="216">
        <v>6</v>
      </c>
      <c r="Q23" s="217">
        <v>5</v>
      </c>
      <c r="R23" s="218">
        <f t="shared" si="5"/>
        <v>196</v>
      </c>
      <c r="S23" s="214">
        <f t="shared" si="6"/>
        <v>62</v>
      </c>
      <c r="T23" s="214">
        <f t="shared" si="7"/>
        <v>22</v>
      </c>
      <c r="U23" s="214">
        <f t="shared" si="8"/>
        <v>56</v>
      </c>
      <c r="V23" s="214" t="str">
        <f t="shared" si="9"/>
        <v>XXXL</v>
      </c>
    </row>
    <row r="24" spans="16:22">
      <c r="P24" s="216">
        <v>6</v>
      </c>
      <c r="Q24" s="217">
        <v>6</v>
      </c>
      <c r="R24" s="218">
        <f t="shared" si="5"/>
        <v>199</v>
      </c>
      <c r="S24" s="214">
        <f t="shared" si="6"/>
        <v>62</v>
      </c>
      <c r="T24" s="214">
        <f t="shared" si="7"/>
        <v>22</v>
      </c>
      <c r="U24" s="214">
        <f t="shared" si="8"/>
        <v>56</v>
      </c>
      <c r="V24" s="214" t="str">
        <f t="shared" si="9"/>
        <v>XXXL</v>
      </c>
    </row>
    <row r="25" spans="16:22">
      <c r="P25" s="216">
        <v>6</v>
      </c>
      <c r="Q25" s="217">
        <v>7</v>
      </c>
      <c r="R25" s="218">
        <f t="shared" si="5"/>
        <v>201</v>
      </c>
      <c r="S25" s="214">
        <f t="shared" si="6"/>
        <v>62</v>
      </c>
      <c r="T25" s="214">
        <f t="shared" si="7"/>
        <v>22</v>
      </c>
      <c r="U25" s="214">
        <f t="shared" si="8"/>
        <v>56</v>
      </c>
      <c r="V25" s="214" t="str">
        <f t="shared" si="9"/>
        <v>XXXL</v>
      </c>
    </row>
    <row r="26" spans="16:22">
      <c r="P26" s="216">
        <v>6</v>
      </c>
      <c r="Q26" s="217">
        <v>8</v>
      </c>
      <c r="R26" s="218">
        <f t="shared" si="5"/>
        <v>204</v>
      </c>
      <c r="S26" s="214">
        <f t="shared" si="6"/>
        <v>62</v>
      </c>
      <c r="T26" s="214">
        <f t="shared" si="7"/>
        <v>22</v>
      </c>
      <c r="U26" s="214">
        <f t="shared" si="8"/>
        <v>56</v>
      </c>
      <c r="V26" s="214" t="str">
        <f t="shared" si="9"/>
        <v>XXXL</v>
      </c>
    </row>
    <row r="27" spans="16:22" ht="17" thickBot="1">
      <c r="P27" s="219">
        <v>6</v>
      </c>
      <c r="Q27" s="220">
        <v>9</v>
      </c>
      <c r="R27" s="218">
        <f t="shared" si="5"/>
        <v>206</v>
      </c>
      <c r="S27" s="214">
        <f t="shared" si="6"/>
        <v>62</v>
      </c>
      <c r="T27" s="214">
        <f t="shared" si="7"/>
        <v>22</v>
      </c>
      <c r="U27" s="214">
        <f t="shared" si="8"/>
        <v>56</v>
      </c>
      <c r="V27" s="214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196-C3AC-7C48-9AB4-CFFAD7F39ADE}">
  <sheetPr codeName="Sheet22"/>
  <dimension ref="A1:AR315"/>
  <sheetViews>
    <sheetView topLeftCell="R1" zoomScale="97" zoomScaleNormal="97" workbookViewId="0">
      <selection activeCell="A2" sqref="A2:XFD4"/>
    </sheetView>
  </sheetViews>
  <sheetFormatPr baseColWidth="10" defaultColWidth="11" defaultRowHeight="16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>
      <c r="A1" s="137" t="s">
        <v>926</v>
      </c>
      <c r="B1" s="137" t="s">
        <v>171</v>
      </c>
      <c r="C1" s="137" t="s">
        <v>927</v>
      </c>
      <c r="D1" s="137" t="s">
        <v>928</v>
      </c>
      <c r="E1" s="137" t="s">
        <v>929</v>
      </c>
      <c r="F1" s="137" t="s">
        <v>459</v>
      </c>
      <c r="G1" s="137" t="s">
        <v>505</v>
      </c>
      <c r="H1" s="137" t="s">
        <v>930</v>
      </c>
      <c r="I1" s="137" t="s">
        <v>931</v>
      </c>
      <c r="J1" s="5" t="s">
        <v>932</v>
      </c>
      <c r="K1" s="222"/>
      <c r="L1" t="s">
        <v>933</v>
      </c>
      <c r="M1" t="s">
        <v>934</v>
      </c>
      <c r="N1" t="s">
        <v>945</v>
      </c>
      <c r="O1" t="s">
        <v>935</v>
      </c>
      <c r="P1" s="222"/>
      <c r="Q1" s="138" t="s">
        <v>936</v>
      </c>
      <c r="S1" s="338" t="s">
        <v>937</v>
      </c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</row>
    <row r="2" spans="1:44">
      <c r="A2" s="45" t="s">
        <v>575</v>
      </c>
      <c r="B2" s="45" t="s">
        <v>176</v>
      </c>
      <c r="C2" s="230">
        <f>VLOOKUP(B2, 'S08 ABC Output'!$A$3:$C$18, 3, 0)</f>
        <v>250356</v>
      </c>
      <c r="D2" s="230">
        <f>VLOOKUP(B2, 'S12 Operations'!$C$2:$H$534, 6, 0)</f>
        <v>200</v>
      </c>
      <c r="E2" s="230">
        <f>ROUNDUP(C2/D2, 0)</f>
        <v>1252</v>
      </c>
      <c r="F2" s="230">
        <f>VLOOKUP(A2, 'S11 Work Stations'!$A$2:$C$45, 3, 0)</f>
        <v>30</v>
      </c>
      <c r="G2" s="230">
        <f>VLOOKUP(B2&amp;"-"&amp;A2, 'S12 Operations'!$A$2:$G$534, 7, 0)</f>
        <v>360</v>
      </c>
      <c r="H2" s="229">
        <f>G2/60</f>
        <v>6</v>
      </c>
      <c r="I2" s="229">
        <f>(C2*H2)+ (IF(O2=1,0,HLOOKUP(A2,$S$19:$AR$35,L2+IF(E2=N2,2,1),0)))*F2</f>
        <v>1506006</v>
      </c>
      <c r="J2" s="230">
        <f>ROUND(I2/60, 0)</f>
        <v>25100</v>
      </c>
      <c r="L2">
        <f>RANK(E2,INDEX($S$19:$AR$35, ,HLOOKUP(A2,$S$19:$AR$36,18,0)),0)</f>
        <v>1</v>
      </c>
      <c r="M2">
        <f t="shared" ref="M2:M33" si="0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129</v>
      </c>
      <c r="N2">
        <f t="shared" ref="N2:N33" si="1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1252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3</v>
      </c>
      <c r="Q2" s="214" t="str" cm="1">
        <f t="array" ref="Q2">INDEX($A$2:$A$118,MATCH(0,COUNTIF($Q$1:Q1,$A$2:$A$118),0))</f>
        <v>WS-02</v>
      </c>
      <c r="S2" s="223" t="str">
        <f t="array" ref="S2:AR2">TRANSPOSE(Q2:Q27)</f>
        <v>WS-02</v>
      </c>
      <c r="T2" s="223" t="str">
        <v>WS-03</v>
      </c>
      <c r="U2" s="223" t="str">
        <v>WS-04</v>
      </c>
      <c r="V2" s="223" t="str">
        <v>WS-05</v>
      </c>
      <c r="W2" s="223" t="str">
        <v>WS-07</v>
      </c>
      <c r="X2" s="223" t="str">
        <v>WS-08</v>
      </c>
      <c r="Y2" s="223" t="str">
        <v>WS-18</v>
      </c>
      <c r="Z2" s="223" t="str">
        <v>WS-20</v>
      </c>
      <c r="AA2" s="223" t="str">
        <v>WS-21</v>
      </c>
      <c r="AB2" s="223" t="str">
        <v>WS-23</v>
      </c>
      <c r="AC2" s="223" t="str">
        <v>WS-24</v>
      </c>
      <c r="AD2" s="223" t="str">
        <v>WS-25</v>
      </c>
      <c r="AE2" s="223" t="str">
        <v>WS-26</v>
      </c>
      <c r="AF2" s="223" t="str">
        <v>WS-27</v>
      </c>
      <c r="AG2" s="223" t="str">
        <v>WS-28</v>
      </c>
      <c r="AH2" s="223" t="str">
        <v>WS-29</v>
      </c>
      <c r="AI2" s="223" t="str">
        <v>WS-31</v>
      </c>
      <c r="AJ2" s="223" t="str">
        <v>WS-32</v>
      </c>
      <c r="AK2" s="223" t="str">
        <v>WS-33</v>
      </c>
      <c r="AL2" s="223" t="str">
        <v>WS-34</v>
      </c>
      <c r="AM2" s="223" t="str">
        <v>WS-36</v>
      </c>
      <c r="AN2" s="223" t="str">
        <v>WS-38</v>
      </c>
      <c r="AO2" s="223" t="str">
        <v>WS-40</v>
      </c>
      <c r="AP2" s="223" t="str">
        <v>WS-42</v>
      </c>
      <c r="AQ2" s="223" t="str">
        <v>WS-43</v>
      </c>
      <c r="AR2" s="223" t="str">
        <v>WS-44</v>
      </c>
    </row>
    <row r="3" spans="1:44">
      <c r="A3" s="45" t="s">
        <v>575</v>
      </c>
      <c r="B3" s="45" t="s">
        <v>198</v>
      </c>
      <c r="C3" s="230">
        <f>VLOOKUP(B3, 'S08 ABC Output'!$A$3:$C$18, 3, 0)</f>
        <v>25689</v>
      </c>
      <c r="D3" s="230">
        <f>VLOOKUP(B3, 'S12 Operations'!$C$2:$H$534, 6, 0)</f>
        <v>200</v>
      </c>
      <c r="E3" s="230">
        <f t="shared" ref="E3:E66" si="2">ROUNDUP(C3/D3, 0)</f>
        <v>129</v>
      </c>
      <c r="F3" s="230">
        <f>VLOOKUP(A3, 'S11 Work Stations'!$A$2:$C$45, 3, 0)</f>
        <v>30</v>
      </c>
      <c r="G3" s="230">
        <f>VLOOKUP(B3&amp;"-"&amp;A3, 'S12 Operations'!$A$2:$G$534, 7, 0)</f>
        <v>600</v>
      </c>
      <c r="H3" s="229">
        <f t="shared" ref="H3:H66" si="3">G3/60</f>
        <v>10</v>
      </c>
      <c r="I3" s="229">
        <f t="shared" ref="I3:I66" si="4">(C3*H3)+ (IF(O3=1,0,HLOOKUP(A3,$S$19:$AR$35,L3+IF(E3=N3,2,1),0)))*F3</f>
        <v>260760</v>
      </c>
      <c r="J3" s="230">
        <f t="shared" ref="J3:J66" si="5">ROUND(I3/60, 0)</f>
        <v>4346</v>
      </c>
      <c r="L3">
        <f t="shared" ref="L3:L66" si="6">RANK(E3,INDEX($S$19:$AR$35, ,HLOOKUP(A3,$S$19:$AR$36,18,0)),0)</f>
        <v>2</v>
      </c>
      <c r="M3">
        <f>MIN(INDEX($S$19:$AR$35, , HLOOKUP(A2, $S$19:$AR$36, 18, 0)))</f>
        <v>129</v>
      </c>
      <c r="N3">
        <f>MAX(INDEX($S$19:$AR$35, , HLOOKUP(A2, $S$19:$AR$36, 18, 0)))</f>
        <v>1252</v>
      </c>
      <c r="O3">
        <f>COUNT(INDEX($S$19:$AR$35, , HLOOKUP(A2, $S$19:$AR$36, 18, 0)))</f>
        <v>3</v>
      </c>
      <c r="Q3" s="214" t="str" cm="1">
        <f t="array" ref="Q3">INDEX($A$2:$A$118,MATCH(0,COUNTIF($Q$1:Q2,$A$2:$A$118),0))</f>
        <v>WS-03</v>
      </c>
      <c r="S3" s="224" cm="1">
        <f t="array" ref="S3">IFERROR(INDEX($E$2:$E$118, SMALL(IF($A$2:$A$118=S$2, ROW($E$2:$E$118)-ROW($E$2)+1), ROWS($S$3:S3))), "")</f>
        <v>1252</v>
      </c>
      <c r="T3" s="224" cm="1">
        <f t="array" ref="T3">IFERROR(INDEX($E$2:$E$118, SMALL(IF($A$2:$A$118=T$2, ROW($E$2:$E$118)-ROW($E$2)+1), ROWS($S$3:T3))), "")</f>
        <v>433</v>
      </c>
      <c r="U3" s="224" cm="1">
        <f t="array" ref="U3">IFERROR(INDEX($E$2:$E$118, SMALL(IF($A$2:$A$118=U$2, ROW($E$2:$E$118)-ROW($E$2)+1), ROWS($S$3:U3))), "")</f>
        <v>433</v>
      </c>
      <c r="V3" s="224" cm="1">
        <f t="array" ref="V3">IFERROR(INDEX($E$2:$E$118, SMALL(IF($A$2:$A$118=V$2, ROW($E$2:$E$118)-ROW($E$2)+1), ROWS($S$3:V3))), "")</f>
        <v>1078</v>
      </c>
      <c r="W3" s="224" cm="1">
        <f t="array" ref="W3">IFERROR(INDEX($E$2:$E$118, SMALL(IF($A$2:$A$118=W$2, ROW($E$2:$E$118)-ROW($E$2)+1), ROWS($S$3:W3))), "")</f>
        <v>626</v>
      </c>
      <c r="X3" s="224" cm="1">
        <f t="array" ref="X3">IFERROR(INDEX($E$2:$E$118, SMALL(IF($A$2:$A$118=X$2, ROW($E$2:$E$118)-ROW($E$2)+1), ROWS($S$3:X3))), "")</f>
        <v>429</v>
      </c>
      <c r="Y3" s="224" cm="1">
        <f t="array" ref="Y3">IFERROR(INDEX($E$2:$E$118, SMALL(IF($A$2:$A$118=Y$2, ROW($E$2:$E$118)-ROW($E$2)+1), ROWS($S$3:Y3))), "")</f>
        <v>1252</v>
      </c>
      <c r="Z3" s="224" cm="1">
        <f t="array" ref="Z3">IFERROR(INDEX($E$2:$E$118, SMALL(IF($A$2:$A$118=Z$2, ROW($E$2:$E$118)-ROW($E$2)+1), ROWS($S$3:Z3))), "")</f>
        <v>429</v>
      </c>
      <c r="AA3" s="224" cm="1">
        <f t="array" ref="AA3">IFERROR(INDEX($E$2:$E$118, SMALL(IF($A$2:$A$118=AA$2, ROW($E$2:$E$118)-ROW($E$2)+1), ROWS($S$3:AA3))), "")</f>
        <v>626</v>
      </c>
      <c r="AB3" s="224" cm="1">
        <f t="array" ref="AB3">IFERROR(INDEX($E$2:$E$118, SMALL(IF($A$2:$A$118=AB$2, ROW($E$2:$E$118)-ROW($E$2)+1), ROWS($S$3:AB3))), "")</f>
        <v>433</v>
      </c>
      <c r="AC3" s="224" cm="1">
        <f t="array" ref="AC3">IFERROR(INDEX($E$2:$E$118, SMALL(IF($A$2:$A$118=AC$2, ROW($E$2:$E$118)-ROW($E$2)+1), ROWS($S$3:AC3))), "")</f>
        <v>1252</v>
      </c>
      <c r="AD3" s="224" cm="1">
        <f t="array" ref="AD3">IFERROR(INDEX($E$2:$E$118, SMALL(IF($A$2:$A$118=AD$2, ROW($E$2:$E$118)-ROW($E$2)+1), ROWS($S$3:AD3))), "")</f>
        <v>1078</v>
      </c>
      <c r="AE3" s="224" cm="1">
        <f t="array" ref="AE3">IFERROR(INDEX($E$2:$E$118, SMALL(IF($A$2:$A$118=AE$2, ROW($E$2:$E$118)-ROW($E$2)+1), ROWS($S$3:AE3))), "")</f>
        <v>429</v>
      </c>
      <c r="AF3" s="224" cm="1">
        <f t="array" ref="AF3">IFERROR(INDEX($E$2:$E$118, SMALL(IF($A$2:$A$118=AF$2, ROW($E$2:$E$118)-ROW($E$2)+1), ROWS($S$3:AF3))), "")</f>
        <v>626</v>
      </c>
      <c r="AG3" s="224" cm="1">
        <f t="array" ref="AG3">IFERROR(INDEX($E$2:$E$118, SMALL(IF($A$2:$A$118=AG$2, ROW($E$2:$E$118)-ROW($E$2)+1), ROWS($S$3:AG3))), "")</f>
        <v>626</v>
      </c>
      <c r="AH3" s="224" cm="1">
        <f t="array" ref="AH3">IFERROR(INDEX($E$2:$E$118, SMALL(IF($A$2:$A$118=AH$2, ROW($E$2:$E$118)-ROW($E$2)+1), ROWS($S$3:AH3))), "")</f>
        <v>1252</v>
      </c>
      <c r="AI3" s="224" cm="1">
        <f t="array" ref="AI3">IFERROR(INDEX($E$2:$E$118, SMALL(IF($A$2:$A$118=AI$2, ROW($E$2:$E$118)-ROW($E$2)+1), ROWS($S$3:AI3))), "")</f>
        <v>433</v>
      </c>
      <c r="AJ3" s="224" cm="1">
        <f t="array" ref="AJ3">IFERROR(INDEX($E$2:$E$118, SMALL(IF($A$2:$A$118=AJ$2, ROW($E$2:$E$118)-ROW($E$2)+1), ROWS($S$3:AJ3))), "")</f>
        <v>626</v>
      </c>
      <c r="AK3" s="224" cm="1">
        <f t="array" ref="AK3">IFERROR(INDEX($E$2:$E$118, SMALL(IF($A$2:$A$118=AK$2, ROW($E$2:$E$118)-ROW($E$2)+1), ROWS($S$3:AK3))), "")</f>
        <v>1252</v>
      </c>
      <c r="AL3" s="224" cm="1">
        <f t="array" ref="AL3">IFERROR(INDEX($E$2:$E$118, SMALL(IF($A$2:$A$118=AL$2, ROW($E$2:$E$118)-ROW($E$2)+1), ROWS($S$3:AL3))), "")</f>
        <v>1078</v>
      </c>
      <c r="AM3" s="224" cm="1">
        <f t="array" ref="AM3">IFERROR(INDEX($E$2:$E$118, SMALL(IF($A$2:$A$118=AM$2, ROW($E$2:$E$118)-ROW($E$2)+1), ROWS($S$3:AM3))), "")</f>
        <v>1078</v>
      </c>
      <c r="AN3" s="224" cm="1">
        <f t="array" ref="AN3">IFERROR(INDEX($E$2:$E$118, SMALL(IF($A$2:$A$118=AN$2, ROW($E$2:$E$118)-ROW($E$2)+1), ROWS($S$3:AN3))), "")</f>
        <v>626</v>
      </c>
      <c r="AO3" s="224" cm="1">
        <f t="array" ref="AO3">IFERROR(INDEX($E$2:$E$118, SMALL(IF($A$2:$A$118=AO$2, ROW($E$2:$E$118)-ROW($E$2)+1), ROWS($S$3:AO3))), "")</f>
        <v>1252</v>
      </c>
      <c r="AP3" s="224" cm="1">
        <f t="array" ref="AP3">IFERROR(INDEX($E$2:$E$118, SMALL(IF($A$2:$A$118=AP$2, ROW($E$2:$E$118)-ROW($E$2)+1), ROWS($S$3:AP3))), "")</f>
        <v>433</v>
      </c>
      <c r="AQ3" s="224" cm="1">
        <f t="array" ref="AQ3">IFERROR(INDEX($E$2:$E$118, SMALL(IF($A$2:$A$118=AQ$2, ROW($E$2:$E$118)-ROW($E$2)+1), ROWS($S$3:AQ3))), "")</f>
        <v>1252</v>
      </c>
      <c r="AR3" s="224" cm="1">
        <f t="array" ref="AR3">IFERROR(INDEX($E$2:$E$118, SMALL(IF($A$2:$A$118=AR$2, ROW($E$2:$E$118)-ROW($E$2)+1), ROWS($S$3:AR3))), "")</f>
        <v>1252</v>
      </c>
    </row>
    <row r="4" spans="1:44">
      <c r="A4" s="45" t="s">
        <v>575</v>
      </c>
      <c r="B4" s="45" t="s">
        <v>203</v>
      </c>
      <c r="C4" s="230">
        <f>VLOOKUP(B4, 'S08 ABC Output'!$A$3:$C$18, 3, 0)</f>
        <v>25639</v>
      </c>
      <c r="D4" s="230">
        <f>VLOOKUP(B4, 'S12 Operations'!$C$2:$H$534, 6, 0)</f>
        <v>200</v>
      </c>
      <c r="E4" s="230">
        <f t="shared" si="2"/>
        <v>129</v>
      </c>
      <c r="F4" s="230">
        <f>VLOOKUP(A4, 'S11 Work Stations'!$A$2:$C$45, 3, 0)</f>
        <v>30</v>
      </c>
      <c r="G4" s="230">
        <f>VLOOKUP(B4&amp;"-"&amp;A4, 'S12 Operations'!$A$2:$G$534, 7, 0)</f>
        <v>360</v>
      </c>
      <c r="H4" s="229">
        <f t="shared" si="3"/>
        <v>6</v>
      </c>
      <c r="I4" s="229">
        <f t="shared" si="4"/>
        <v>157704</v>
      </c>
      <c r="J4" s="230">
        <f t="shared" si="5"/>
        <v>2628</v>
      </c>
      <c r="L4">
        <f t="shared" si="6"/>
        <v>2</v>
      </c>
      <c r="M4">
        <f t="shared" si="0"/>
        <v>129</v>
      </c>
      <c r="N4">
        <f t="shared" si="1"/>
        <v>1252</v>
      </c>
      <c r="O4">
        <f t="shared" ref="O4:O66" si="7">COUNT(_xlfn.IFS($A4=$S$2,$S$3:$S$18, $A4=$T$2,$T$3:$T$18, $A4=$U$2,$U$3:$U$18, $A4=$V$2,$V$3:$V$18, $A4=$W$2,$W$3:$W$18, $A4=$X$2, $X$3:$X$18, $A4=$Y$2,$Y$3:$Y$18, $A4=$Z$2,$Z$3:$Z$18, $A4=$AA$2,$AA$3:$AA$18, $A4=$AB$2,$AB$3:$AB$18, $A4=$AC$2,$AC$3:$AC$18, $A4=$AD$2,$AD$3:$AD$18, $A4=$AE$2,$AE$3:$AE$18, $A4=$AF$2,$AF$3:$AF$18, $A4=$AG$2,$AG$3:$AG$18, $A4=$AH$2,$AH$3:$AH$18, $A4=$AI$2,$AI$3:$AI$18, $A4=$AJ$2,$AJ$3:$AJ$18, $A4=$AK$2,$AK$3:$AK$18, $A4=$AL$2,$AL$3:$AL$18, $A4=$AM$2,$AM$3:$AM$18, $A4=$AN$2,$AN$3:$AN$18, $A4=$AO$2,$AO$3:$AO$18, $A4=$AP$2,$AP$3:$AP$18, $A4=$AQ$2,$AQ$3:$AQ$18, $A4=$AR$2,$AR$3:$AR$18))</f>
        <v>3</v>
      </c>
      <c r="Q4" s="214" t="str" cm="1">
        <f t="array" ref="Q4">INDEX($A$2:$A$118,MATCH(0,COUNTIF($Q$1:Q3,$A$2:$A$118),0))</f>
        <v>WS-04</v>
      </c>
      <c r="S4" s="224" cm="1">
        <f t="array" ref="S4">IFERROR(INDEX($E$2:$E$118, SMALL(IF($A$2:$A$118=S$2, ROW($E$2:$E$118)-ROW($E$2)+1), ROWS($S$3:S4))), "")</f>
        <v>129</v>
      </c>
      <c r="T4" s="224" cm="1">
        <f t="array" ref="T4">IFERROR(INDEX($E$2:$E$118, SMALL(IF($A$2:$A$118=T$2, ROW($E$2:$E$118)-ROW($E$2)+1), ROWS($S$3:T4))), "")</f>
        <v>274</v>
      </c>
      <c r="U4" s="224" cm="1">
        <f t="array" ref="U4">IFERROR(INDEX($E$2:$E$118, SMALL(IF($A$2:$A$118=U$2, ROW($E$2:$E$118)-ROW($E$2)+1), ROWS($S$3:U4))), "")</f>
        <v>274</v>
      </c>
      <c r="V4" s="224" cm="1">
        <f t="array" ref="V4">IFERROR(INDEX($E$2:$E$118, SMALL(IF($A$2:$A$118=V$2, ROW($E$2:$E$118)-ROW($E$2)+1), ROWS($S$3:V4))), "")</f>
        <v>327</v>
      </c>
      <c r="W4" s="224" cm="1">
        <f t="array" ref="W4">IFERROR(INDEX($E$2:$E$118, SMALL(IF($A$2:$A$118=W$2, ROW($E$2:$E$118)-ROW($E$2)+1), ROWS($S$3:W4))), "")</f>
        <v>429</v>
      </c>
      <c r="X4" s="224" cm="1">
        <f t="array" ref="X4">IFERROR(INDEX($E$2:$E$118, SMALL(IF($A$2:$A$118=X$2, ROW($E$2:$E$118)-ROW($E$2)+1), ROWS($S$3:X4))), "")</f>
        <v>254</v>
      </c>
      <c r="Y4" s="224" cm="1">
        <f t="array" ref="Y4">IFERROR(INDEX($E$2:$E$118, SMALL(IF($A$2:$A$118=Y$2, ROW($E$2:$E$118)-ROW($E$2)+1), ROWS($S$3:Y4))), "")</f>
        <v>129</v>
      </c>
      <c r="Z4" s="224" cm="1">
        <f t="array" ref="Z4">IFERROR(INDEX($E$2:$E$118, SMALL(IF($A$2:$A$118=Z$2, ROW($E$2:$E$118)-ROW($E$2)+1), ROWS($S$3:Z4))), "")</f>
        <v>254</v>
      </c>
      <c r="AA4" s="224" cm="1">
        <f t="array" ref="AA4">IFERROR(INDEX($E$2:$E$118, SMALL(IF($A$2:$A$118=AA$2, ROW($E$2:$E$118)-ROW($E$2)+1), ROWS($S$3:AA4))), "")</f>
        <v>129</v>
      </c>
      <c r="AB4" s="224" cm="1">
        <f t="array" ref="AB4">IFERROR(INDEX($E$2:$E$118, SMALL(IF($A$2:$A$118=AB$2, ROW($E$2:$E$118)-ROW($E$2)+1), ROWS($S$3:AB4))), "")</f>
        <v>274</v>
      </c>
      <c r="AC4" s="224" cm="1">
        <f t="array" ref="AC4">IFERROR(INDEX($E$2:$E$118, SMALL(IF($A$2:$A$118=AC$2, ROW($E$2:$E$118)-ROW($E$2)+1), ROWS($S$3:AC4))), "")</f>
        <v>129</v>
      </c>
      <c r="AD4" s="224" cm="1">
        <f t="array" ref="AD4">IFERROR(INDEX($E$2:$E$118, SMALL(IF($A$2:$A$118=AD$2, ROW($E$2:$E$118)-ROW($E$2)+1), ROWS($S$3:AD4))), "")</f>
        <v>327</v>
      </c>
      <c r="AE4" s="224" cm="1">
        <f t="array" ref="AE4">IFERROR(INDEX($E$2:$E$118, SMALL(IF($A$2:$A$118=AE$2, ROW($E$2:$E$118)-ROW($E$2)+1), ROWS($S$3:AE4))), "")</f>
        <v>254</v>
      </c>
      <c r="AF4" s="224" cm="1">
        <f t="array" ref="AF4">IFERROR(INDEX($E$2:$E$118, SMALL(IF($A$2:$A$118=AF$2, ROW($E$2:$E$118)-ROW($E$2)+1), ROWS($S$3:AF4))), "")</f>
        <v>129</v>
      </c>
      <c r="AG4" s="224" cm="1">
        <f t="array" ref="AG4">IFERROR(INDEX($E$2:$E$118, SMALL(IF($A$2:$A$118=AG$2, ROW($E$2:$E$118)-ROW($E$2)+1), ROWS($S$3:AG4))), "")</f>
        <v>129</v>
      </c>
      <c r="AH4" s="224" cm="1">
        <f t="array" ref="AH4">IFERROR(INDEX($E$2:$E$118, SMALL(IF($A$2:$A$118=AH$2, ROW($E$2:$E$118)-ROW($E$2)+1), ROWS($S$3:AH4))), "")</f>
        <v>129</v>
      </c>
      <c r="AI4" s="224" cm="1">
        <f t="array" ref="AI4">IFERROR(INDEX($E$2:$E$118, SMALL(IF($A$2:$A$118=AI$2, ROW($E$2:$E$118)-ROW($E$2)+1), ROWS($S$3:AI4))), "")</f>
        <v>274</v>
      </c>
      <c r="AJ4" s="224" cm="1">
        <f t="array" ref="AJ4">IFERROR(INDEX($E$2:$E$118, SMALL(IF($A$2:$A$118=AJ$2, ROW($E$2:$E$118)-ROW($E$2)+1), ROWS($S$3:AJ4))), "")</f>
        <v>433</v>
      </c>
      <c r="AK4" s="224" cm="1">
        <f t="array" ref="AK4">IFERROR(INDEX($E$2:$E$118, SMALL(IF($A$2:$A$118=AK$2, ROW($E$2:$E$118)-ROW($E$2)+1), ROWS($S$3:AK4))), "")</f>
        <v>129</v>
      </c>
      <c r="AL4" s="224" cm="1">
        <f t="array" ref="AL4">IFERROR(INDEX($E$2:$E$118, SMALL(IF($A$2:$A$118=AL$2, ROW($E$2:$E$118)-ROW($E$2)+1), ROWS($S$3:AL4))), "")</f>
        <v>327</v>
      </c>
      <c r="AM4" s="224" cm="1">
        <f t="array" ref="AM4">IFERROR(INDEX($E$2:$E$118, SMALL(IF($A$2:$A$118=AM$2, ROW($E$2:$E$118)-ROW($E$2)+1), ROWS($S$3:AM4))), "")</f>
        <v>327</v>
      </c>
      <c r="AN4" s="224" cm="1">
        <f t="array" ref="AN4">IFERROR(INDEX($E$2:$E$118, SMALL(IF($A$2:$A$118=AN$2, ROW($E$2:$E$118)-ROW($E$2)+1), ROWS($S$3:AN4))), "")</f>
        <v>129</v>
      </c>
      <c r="AO4" s="224" cm="1">
        <f t="array" ref="AO4">IFERROR(INDEX($E$2:$E$118, SMALL(IF($A$2:$A$118=AO$2, ROW($E$2:$E$118)-ROW($E$2)+1), ROWS($S$3:AO4))), "")</f>
        <v>433</v>
      </c>
      <c r="AP4" s="224" t="str" cm="1">
        <f t="array" ref="AP4">IFERROR(INDEX($E$2:$E$118, SMALL(IF($A$2:$A$118=AP$2, ROW($E$2:$E$118)-ROW($E$2)+1), ROWS($S$3:AP4))), "")</f>
        <v/>
      </c>
      <c r="AQ4" s="224" cm="1">
        <f t="array" ref="AQ4">IFERROR(INDEX($E$2:$E$118, SMALL(IF($A$2:$A$118=AQ$2, ROW($E$2:$E$118)-ROW($E$2)+1), ROWS($S$3:AQ4))), "")</f>
        <v>1078</v>
      </c>
      <c r="AR4" s="224" cm="1">
        <f t="array" ref="AR4">IFERROR(INDEX($E$2:$E$118, SMALL(IF($A$2:$A$118=AR$2, ROW($E$2:$E$118)-ROW($E$2)+1), ROWS($S$3:AR4))), "")</f>
        <v>1078</v>
      </c>
    </row>
    <row r="5" spans="1:44">
      <c r="A5" s="45" t="s">
        <v>576</v>
      </c>
      <c r="B5" s="45" t="s">
        <v>182</v>
      </c>
      <c r="C5" s="230">
        <f>VLOOKUP(B5, 'S08 ABC Output'!$A$3:$C$18, 3, 0)</f>
        <v>86542</v>
      </c>
      <c r="D5" s="230">
        <f>VLOOKUP(B5, 'S12 Operations'!$C$2:$H$534, 6, 0)</f>
        <v>200</v>
      </c>
      <c r="E5" s="230">
        <f t="shared" si="2"/>
        <v>433</v>
      </c>
      <c r="F5" s="230">
        <f>VLOOKUP(A5, 'S11 Work Stations'!$A$2:$C$45, 3, 0)</f>
        <v>30</v>
      </c>
      <c r="G5" s="230">
        <f>VLOOKUP(B5&amp;"-"&amp;A5, 'S12 Operations'!$A$2:$G$534, 7, 0)</f>
        <v>120</v>
      </c>
      <c r="H5" s="229">
        <f t="shared" si="3"/>
        <v>2</v>
      </c>
      <c r="I5" s="229">
        <f t="shared" si="4"/>
        <v>181304</v>
      </c>
      <c r="J5" s="230">
        <f t="shared" si="5"/>
        <v>3022</v>
      </c>
      <c r="L5">
        <f t="shared" si="6"/>
        <v>1</v>
      </c>
      <c r="M5">
        <f t="shared" si="0"/>
        <v>274</v>
      </c>
      <c r="N5">
        <f t="shared" si="1"/>
        <v>433</v>
      </c>
      <c r="O5">
        <f t="shared" si="7"/>
        <v>2</v>
      </c>
      <c r="Q5" s="214" t="str" cm="1">
        <f t="array" ref="Q5">INDEX($A$2:$A$118,MATCH(0,COUNTIF($Q$1:Q4,$A$2:$A$118),0))</f>
        <v>WS-05</v>
      </c>
      <c r="S5" s="224" cm="1">
        <f t="array" ref="S5">IFERROR(INDEX($E$2:$E$118, SMALL(IF($A$2:$A$118=S$2, ROW($E$2:$E$118)-ROW($E$2)+1), ROWS($S$3:S5))), "")</f>
        <v>129</v>
      </c>
      <c r="T5" s="224" t="str" cm="1">
        <f t="array" ref="T5">IFERROR(INDEX($E$2:$E$118, SMALL(IF($A$2:$A$118=T$2, ROW($E$2:$E$118)-ROW($E$2)+1), ROWS($S$3:T5))), "")</f>
        <v/>
      </c>
      <c r="U5" s="224" t="str" cm="1">
        <f t="array" ref="U5">IFERROR(INDEX($E$2:$E$118, SMALL(IF($A$2:$A$118=U$2, ROW($E$2:$E$118)-ROW($E$2)+1), ROWS($S$3:U5))), "")</f>
        <v/>
      </c>
      <c r="V5" s="224" cm="1">
        <f t="array" ref="V5">IFERROR(INDEX($E$2:$E$118, SMALL(IF($A$2:$A$118=V$2, ROW($E$2:$E$118)-ROW($E$2)+1), ROWS($S$3:V5))), "")</f>
        <v>230</v>
      </c>
      <c r="W5" s="224" cm="1">
        <f t="array" ref="W5">IFERROR(INDEX($E$2:$E$118, SMALL(IF($A$2:$A$118=W$2, ROW($E$2:$E$118)-ROW($E$2)+1), ROWS($S$3:W5))), "")</f>
        <v>254</v>
      </c>
      <c r="X5" s="224" t="str" cm="1">
        <f t="array" ref="X5">IFERROR(INDEX($E$2:$E$118, SMALL(IF($A$2:$A$118=X$2, ROW($E$2:$E$118)-ROW($E$2)+1), ROWS($S$3:X5))), "")</f>
        <v/>
      </c>
      <c r="Y5" s="224" cm="1">
        <f t="array" ref="Y5">IFERROR(INDEX($E$2:$E$118, SMALL(IF($A$2:$A$118=Y$2, ROW($E$2:$E$118)-ROW($E$2)+1), ROWS($S$3:Y5))), "")</f>
        <v>129</v>
      </c>
      <c r="Z5" s="224" t="str" cm="1">
        <f t="array" ref="Z5">IFERROR(INDEX($E$2:$E$118, SMALL(IF($A$2:$A$118=Z$2, ROW($E$2:$E$118)-ROW($E$2)+1), ROWS($S$3:Z5))), "")</f>
        <v/>
      </c>
      <c r="AA5" s="224" cm="1">
        <f t="array" ref="AA5">IFERROR(INDEX($E$2:$E$118, SMALL(IF($A$2:$A$118=AA$2, ROW($E$2:$E$118)-ROW($E$2)+1), ROWS($S$3:AA5))), "")</f>
        <v>510</v>
      </c>
      <c r="AB5" s="224" t="str" cm="1">
        <f t="array" ref="AB5">IFERROR(INDEX($E$2:$E$118, SMALL(IF($A$2:$A$118=AB$2, ROW($E$2:$E$118)-ROW($E$2)+1), ROWS($S$3:AB5))), "")</f>
        <v/>
      </c>
      <c r="AC5" s="224" cm="1">
        <f t="array" ref="AC5">IFERROR(INDEX($E$2:$E$118, SMALL(IF($A$2:$A$118=AC$2, ROW($E$2:$E$118)-ROW($E$2)+1), ROWS($S$3:AC5))), "")</f>
        <v>129</v>
      </c>
      <c r="AD5" s="224" cm="1">
        <f t="array" ref="AD5">IFERROR(INDEX($E$2:$E$118, SMALL(IF($A$2:$A$118=AD$2, ROW($E$2:$E$118)-ROW($E$2)+1), ROWS($S$3:AD5))), "")</f>
        <v>230</v>
      </c>
      <c r="AE5" s="224" t="str" cm="1">
        <f t="array" ref="AE5">IFERROR(INDEX($E$2:$E$118, SMALL(IF($A$2:$A$118=AE$2, ROW($E$2:$E$118)-ROW($E$2)+1), ROWS($S$3:AE5))), "")</f>
        <v/>
      </c>
      <c r="AF5" s="224" cm="1">
        <f t="array" ref="AF5">IFERROR(INDEX($E$2:$E$118, SMALL(IF($A$2:$A$118=AF$2, ROW($E$2:$E$118)-ROW($E$2)+1), ROWS($S$3:AF5))), "")</f>
        <v>510</v>
      </c>
      <c r="AG5" s="224" cm="1">
        <f t="array" ref="AG5">IFERROR(INDEX($E$2:$E$118, SMALL(IF($A$2:$A$118=AG$2, ROW($E$2:$E$118)-ROW($E$2)+1), ROWS($S$3:AG5))), "")</f>
        <v>510</v>
      </c>
      <c r="AH5" s="224" cm="1">
        <f t="array" ref="AH5">IFERROR(INDEX($E$2:$E$118, SMALL(IF($A$2:$A$118=AH$2, ROW($E$2:$E$118)-ROW($E$2)+1), ROWS($S$3:AH5))), "")</f>
        <v>129</v>
      </c>
      <c r="AI5" s="224" t="str" cm="1">
        <f t="array" ref="AI5">IFERROR(INDEX($E$2:$E$118, SMALL(IF($A$2:$A$118=AI$2, ROW($E$2:$E$118)-ROW($E$2)+1), ROWS($S$3:AI5))), "")</f>
        <v/>
      </c>
      <c r="AJ5" s="224" cm="1">
        <f t="array" ref="AJ5">IFERROR(INDEX($E$2:$E$118, SMALL(IF($A$2:$A$118=AJ$2, ROW($E$2:$E$118)-ROW($E$2)+1), ROWS($S$3:AJ5))), "")</f>
        <v>429</v>
      </c>
      <c r="AK5" s="224" cm="1">
        <f t="array" ref="AK5">IFERROR(INDEX($E$2:$E$118, SMALL(IF($A$2:$A$118=AK$2, ROW($E$2:$E$118)-ROW($E$2)+1), ROWS($S$3:AK5))), "")</f>
        <v>129</v>
      </c>
      <c r="AL5" s="224" cm="1">
        <f t="array" ref="AL5">IFERROR(INDEX($E$2:$E$118, SMALL(IF($A$2:$A$118=AL$2, ROW($E$2:$E$118)-ROW($E$2)+1), ROWS($S$3:AL5))), "")</f>
        <v>230</v>
      </c>
      <c r="AM5" s="224" cm="1">
        <f t="array" ref="AM5">IFERROR(INDEX($E$2:$E$118, SMALL(IF($A$2:$A$118=AM$2, ROW($E$2:$E$118)-ROW($E$2)+1), ROWS($S$3:AM5))), "")</f>
        <v>230</v>
      </c>
      <c r="AN5" s="224" cm="1">
        <f t="array" ref="AN5">IFERROR(INDEX($E$2:$E$118, SMALL(IF($A$2:$A$118=AN$2, ROW($E$2:$E$118)-ROW($E$2)+1), ROWS($S$3:AN5))), "")</f>
        <v>510</v>
      </c>
      <c r="AO5" s="224" cm="1">
        <f t="array" ref="AO5">IFERROR(INDEX($E$2:$E$118, SMALL(IF($A$2:$A$118=AO$2, ROW($E$2:$E$118)-ROW($E$2)+1), ROWS($S$3:AO5))), "")</f>
        <v>429</v>
      </c>
      <c r="AP5" s="224" t="str" cm="1">
        <f t="array" ref="AP5">IFERROR(INDEX($E$2:$E$118, SMALL(IF($A$2:$A$118=AP$2, ROW($E$2:$E$118)-ROW($E$2)+1), ROWS($S$3:AP5))), "")</f>
        <v/>
      </c>
      <c r="AQ5" s="224" cm="1">
        <f t="array" ref="AQ5">IFERROR(INDEX($E$2:$E$118, SMALL(IF($A$2:$A$118=AQ$2, ROW($E$2:$E$118)-ROW($E$2)+1), ROWS($S$3:AQ5))), "")</f>
        <v>626</v>
      </c>
      <c r="AR5" s="224" cm="1">
        <f t="array" ref="AR5">IFERROR(INDEX($E$2:$E$118, SMALL(IF($A$2:$A$118=AR$2, ROW($E$2:$E$118)-ROW($E$2)+1), ROWS($S$3:AR5))), "")</f>
        <v>626</v>
      </c>
    </row>
    <row r="6" spans="1:44">
      <c r="A6" s="45" t="s">
        <v>576</v>
      </c>
      <c r="B6" s="45" t="s">
        <v>188</v>
      </c>
      <c r="C6" s="230">
        <f>VLOOKUP(B6, 'S08 ABC Output'!$A$3:$C$18, 3, 0)</f>
        <v>54682</v>
      </c>
      <c r="D6" s="230">
        <f>VLOOKUP(B6, 'S12 Operations'!$C$2:$H$534, 6, 0)</f>
        <v>200</v>
      </c>
      <c r="E6" s="230">
        <f t="shared" si="2"/>
        <v>274</v>
      </c>
      <c r="F6" s="230">
        <f>VLOOKUP(A6, 'S11 Work Stations'!$A$2:$C$45, 3, 0)</f>
        <v>30</v>
      </c>
      <c r="G6" s="230">
        <f>VLOOKUP(B6&amp;"-"&amp;A6, 'S12 Operations'!$A$2:$G$534, 7, 0)</f>
        <v>420</v>
      </c>
      <c r="H6" s="229">
        <f t="shared" si="3"/>
        <v>7</v>
      </c>
      <c r="I6" s="229">
        <f t="shared" si="4"/>
        <v>390994</v>
      </c>
      <c r="J6" s="230">
        <f t="shared" si="5"/>
        <v>6517</v>
      </c>
      <c r="L6">
        <f t="shared" si="6"/>
        <v>2</v>
      </c>
      <c r="M6">
        <f t="shared" si="0"/>
        <v>274</v>
      </c>
      <c r="N6">
        <f t="shared" si="1"/>
        <v>433</v>
      </c>
      <c r="O6">
        <f t="shared" si="7"/>
        <v>2</v>
      </c>
      <c r="Q6" s="214" t="str" cm="1">
        <f t="array" ref="Q6">INDEX($A$2:$A$118,MATCH(0,COUNTIF($Q$1:Q5,$A$2:$A$118),0))</f>
        <v>WS-07</v>
      </c>
      <c r="S6" s="224" t="str" cm="1">
        <f t="array" ref="S6">IFERROR(INDEX($E$2:$E$118, SMALL(IF($A$2:$A$118=S$2, ROW($E$2:$E$118)-ROW($E$2)+1), ROWS($S$3:S6))), "")</f>
        <v/>
      </c>
      <c r="T6" s="224" t="str" cm="1">
        <f t="array" ref="T6">IFERROR(INDEX($E$2:$E$118, SMALL(IF($A$2:$A$118=T$2, ROW($E$2:$E$118)-ROW($E$2)+1), ROWS($S$3:T6))), "")</f>
        <v/>
      </c>
      <c r="U6" s="224" t="str" cm="1">
        <f t="array" ref="U6">IFERROR(INDEX($E$2:$E$118, SMALL(IF($A$2:$A$118=U$2, ROW($E$2:$E$118)-ROW($E$2)+1), ROWS($S$3:U6))), "")</f>
        <v/>
      </c>
      <c r="V6" s="224" cm="1">
        <f t="array" ref="V6">IFERROR(INDEX($E$2:$E$118, SMALL(IF($A$2:$A$118=V$2, ROW($E$2:$E$118)-ROW($E$2)+1), ROWS($S$3:V6))), "")</f>
        <v>183</v>
      </c>
      <c r="W6" s="224" cm="1">
        <f t="array" ref="W6">IFERROR(INDEX($E$2:$E$118, SMALL(IF($A$2:$A$118=W$2, ROW($E$2:$E$118)-ROW($E$2)+1), ROWS($S$3:W6))), "")</f>
        <v>129</v>
      </c>
      <c r="X6" s="224" t="str" cm="1">
        <f t="array" ref="X6">IFERROR(INDEX($E$2:$E$118, SMALL(IF($A$2:$A$118=X$2, ROW($E$2:$E$118)-ROW($E$2)+1), ROWS($S$3:X6))), "")</f>
        <v/>
      </c>
      <c r="Y6" s="224" t="str" cm="1">
        <f t="array" ref="Y6">IFERROR(INDEX($E$2:$E$118, SMALL(IF($A$2:$A$118=Y$2, ROW($E$2:$E$118)-ROW($E$2)+1), ROWS($S$3:Y6))), "")</f>
        <v/>
      </c>
      <c r="Z6" s="224" t="str" cm="1">
        <f t="array" ref="Z6">IFERROR(INDEX($E$2:$E$118, SMALL(IF($A$2:$A$118=Z$2, ROW($E$2:$E$118)-ROW($E$2)+1), ROWS($S$3:Z6))), "")</f>
        <v/>
      </c>
      <c r="AA6" s="224" t="str" cm="1">
        <f t="array" ref="AA6">IFERROR(INDEX($E$2:$E$118, SMALL(IF($A$2:$A$118=AA$2, ROW($E$2:$E$118)-ROW($E$2)+1), ROWS($S$3:AA6))), "")</f>
        <v/>
      </c>
      <c r="AB6" s="224" t="str" cm="1">
        <f t="array" ref="AB6">IFERROR(INDEX($E$2:$E$118, SMALL(IF($A$2:$A$118=AB$2, ROW($E$2:$E$118)-ROW($E$2)+1), ROWS($S$3:AB6))), "")</f>
        <v/>
      </c>
      <c r="AC6" s="224" t="str" cm="1">
        <f t="array" ref="AC6">IFERROR(INDEX($E$2:$E$118, SMALL(IF($A$2:$A$118=AC$2, ROW($E$2:$E$118)-ROW($E$2)+1), ROWS($S$3:AC6))), "")</f>
        <v/>
      </c>
      <c r="AD6" s="224" cm="1">
        <f t="array" ref="AD6">IFERROR(INDEX($E$2:$E$118, SMALL(IF($A$2:$A$118=AD$2, ROW($E$2:$E$118)-ROW($E$2)+1), ROWS($S$3:AD6))), "")</f>
        <v>183</v>
      </c>
      <c r="AE6" s="224" t="str" cm="1">
        <f t="array" ref="AE6">IFERROR(INDEX($E$2:$E$118, SMALL(IF($A$2:$A$118=AE$2, ROW($E$2:$E$118)-ROW($E$2)+1), ROWS($S$3:AE6))), "")</f>
        <v/>
      </c>
      <c r="AF6" s="224" t="str" cm="1">
        <f t="array" ref="AF6">IFERROR(INDEX($E$2:$E$118, SMALL(IF($A$2:$A$118=AF$2, ROW($E$2:$E$118)-ROW($E$2)+1), ROWS($S$3:AF6))), "")</f>
        <v/>
      </c>
      <c r="AG6" s="224" t="str" cm="1">
        <f t="array" ref="AG6">IFERROR(INDEX($E$2:$E$118, SMALL(IF($A$2:$A$118=AG$2, ROW($E$2:$E$118)-ROW($E$2)+1), ROWS($S$3:AG6))), "")</f>
        <v/>
      </c>
      <c r="AH6" s="224" t="str" cm="1">
        <f t="array" ref="AH6">IFERROR(INDEX($E$2:$E$118, SMALL(IF($A$2:$A$118=AH$2, ROW($E$2:$E$118)-ROW($E$2)+1), ROWS($S$3:AH6))), "")</f>
        <v/>
      </c>
      <c r="AI6" s="224" t="str" cm="1">
        <f t="array" ref="AI6">IFERROR(INDEX($E$2:$E$118, SMALL(IF($A$2:$A$118=AI$2, ROW($E$2:$E$118)-ROW($E$2)+1), ROWS($S$3:AI6))), "")</f>
        <v/>
      </c>
      <c r="AJ6" s="224" cm="1">
        <f t="array" ref="AJ6">IFERROR(INDEX($E$2:$E$118, SMALL(IF($A$2:$A$118=AJ$2, ROW($E$2:$E$118)-ROW($E$2)+1), ROWS($S$3:AJ6))), "")</f>
        <v>274</v>
      </c>
      <c r="AK6" s="224" t="str" cm="1">
        <f t="array" ref="AK6">IFERROR(INDEX($E$2:$E$118, SMALL(IF($A$2:$A$118=AK$2, ROW($E$2:$E$118)-ROW($E$2)+1), ROWS($S$3:AK6))), "")</f>
        <v/>
      </c>
      <c r="AL6" s="224" cm="1">
        <f t="array" ref="AL6">IFERROR(INDEX($E$2:$E$118, SMALL(IF($A$2:$A$118=AL$2, ROW($E$2:$E$118)-ROW($E$2)+1), ROWS($S$3:AL6))), "")</f>
        <v>183</v>
      </c>
      <c r="AM6" s="224" cm="1">
        <f t="array" ref="AM6">IFERROR(INDEX($E$2:$E$118, SMALL(IF($A$2:$A$118=AM$2, ROW($E$2:$E$118)-ROW($E$2)+1), ROWS($S$3:AM6))), "")</f>
        <v>183</v>
      </c>
      <c r="AN6" s="224" t="str" cm="1">
        <f t="array" ref="AN6">IFERROR(INDEX($E$2:$E$118, SMALL(IF($A$2:$A$118=AN$2, ROW($E$2:$E$118)-ROW($E$2)+1), ROWS($S$3:AN6))), "")</f>
        <v/>
      </c>
      <c r="AO6" s="224" cm="1">
        <f t="array" ref="AO6">IFERROR(INDEX($E$2:$E$118, SMALL(IF($A$2:$A$118=AO$2, ROW($E$2:$E$118)-ROW($E$2)+1), ROWS($S$3:AO6))), "")</f>
        <v>274</v>
      </c>
      <c r="AP6" s="224" t="str" cm="1">
        <f t="array" ref="AP6">IFERROR(INDEX($E$2:$E$118, SMALL(IF($A$2:$A$118=AP$2, ROW($E$2:$E$118)-ROW($E$2)+1), ROWS($S$3:AP6))), "")</f>
        <v/>
      </c>
      <c r="AQ6" s="224" cm="1">
        <f t="array" ref="AQ6">IFERROR(INDEX($E$2:$E$118, SMALL(IF($A$2:$A$118=AQ$2, ROW($E$2:$E$118)-ROW($E$2)+1), ROWS($S$3:AQ6))), "")</f>
        <v>433</v>
      </c>
      <c r="AR6" s="224" cm="1">
        <f t="array" ref="AR6">IFERROR(INDEX($E$2:$E$118, SMALL(IF($A$2:$A$118=AR$2, ROW($E$2:$E$118)-ROW($E$2)+1), ROWS($S$3:AR6))), "")</f>
        <v>433</v>
      </c>
    </row>
    <row r="7" spans="1:44">
      <c r="A7" s="45" t="s">
        <v>577</v>
      </c>
      <c r="B7" s="45" t="s">
        <v>182</v>
      </c>
      <c r="C7" s="230">
        <f>VLOOKUP(B7, 'S08 ABC Output'!$A$3:$C$18, 3, 0)</f>
        <v>86542</v>
      </c>
      <c r="D7" s="230">
        <f>VLOOKUP(B7, 'S12 Operations'!$C$2:$H$534, 6, 0)</f>
        <v>200</v>
      </c>
      <c r="E7" s="230">
        <f t="shared" si="2"/>
        <v>433</v>
      </c>
      <c r="F7" s="230">
        <f>VLOOKUP(A7, 'S11 Work Stations'!$A$2:$C$45, 3, 0)</f>
        <v>40</v>
      </c>
      <c r="G7" s="230">
        <f>VLOOKUP(B7&amp;"-"&amp;A7, 'S12 Operations'!$A$2:$G$534, 7, 0)</f>
        <v>120</v>
      </c>
      <c r="H7" s="229">
        <f t="shared" si="3"/>
        <v>2</v>
      </c>
      <c r="I7" s="229">
        <f t="shared" si="4"/>
        <v>184044</v>
      </c>
      <c r="J7" s="230">
        <f t="shared" si="5"/>
        <v>3067</v>
      </c>
      <c r="L7">
        <f t="shared" si="6"/>
        <v>1</v>
      </c>
      <c r="M7">
        <f t="shared" si="0"/>
        <v>274</v>
      </c>
      <c r="N7">
        <f t="shared" si="1"/>
        <v>433</v>
      </c>
      <c r="O7">
        <f t="shared" si="7"/>
        <v>2</v>
      </c>
      <c r="Q7" s="214" t="str" cm="1">
        <f t="array" ref="Q7">INDEX($A$2:$A$118,MATCH(0,COUNTIF($Q$1:Q6,$A$2:$A$118),0))</f>
        <v>WS-08</v>
      </c>
      <c r="S7" s="224" t="str" cm="1">
        <f t="array" ref="S7">IFERROR(INDEX($E$2:$E$118, SMALL(IF($A$2:$A$118=S$2, ROW($E$2:$E$118)-ROW($E$2)+1), ROWS($S$3:S7))), "")</f>
        <v/>
      </c>
      <c r="T7" s="224" t="str" cm="1">
        <f t="array" ref="T7">IFERROR(INDEX($E$2:$E$118, SMALL(IF($A$2:$A$118=T$2, ROW($E$2:$E$118)-ROW($E$2)+1), ROWS($S$3:T7))), "")</f>
        <v/>
      </c>
      <c r="U7" s="224" t="str" cm="1">
        <f t="array" ref="U7">IFERROR(INDEX($E$2:$E$118, SMALL(IF($A$2:$A$118=U$2, ROW($E$2:$E$118)-ROW($E$2)+1), ROWS($S$3:U7))), "")</f>
        <v/>
      </c>
      <c r="V7" s="224" cm="1">
        <f t="array" ref="V7">IFERROR(INDEX($E$2:$E$118, SMALL(IF($A$2:$A$118=V$2, ROW($E$2:$E$118)-ROW($E$2)+1), ROWS($S$3:V7))), "")</f>
        <v>183</v>
      </c>
      <c r="W7" s="224" cm="1">
        <f t="array" ref="W7">IFERROR(INDEX($E$2:$E$118, SMALL(IF($A$2:$A$118=W$2, ROW($E$2:$E$118)-ROW($E$2)+1), ROWS($S$3:W7))), "")</f>
        <v>510</v>
      </c>
      <c r="X7" s="224" t="str" cm="1">
        <f t="array" ref="X7">IFERROR(INDEX($E$2:$E$118, SMALL(IF($A$2:$A$118=X$2, ROW($E$2:$E$118)-ROW($E$2)+1), ROWS($S$3:X7))), "")</f>
        <v/>
      </c>
      <c r="Y7" s="224" t="str" cm="1">
        <f t="array" ref="Y7">IFERROR(INDEX($E$2:$E$118, SMALL(IF($A$2:$A$118=Y$2, ROW($E$2:$E$118)-ROW($E$2)+1), ROWS($S$3:Y7))), "")</f>
        <v/>
      </c>
      <c r="Z7" s="224" t="str" cm="1">
        <f t="array" ref="Z7">IFERROR(INDEX($E$2:$E$118, SMALL(IF($A$2:$A$118=Z$2, ROW($E$2:$E$118)-ROW($E$2)+1), ROWS($S$3:Z7))), "")</f>
        <v/>
      </c>
      <c r="AA7" s="224" t="str" cm="1">
        <f t="array" ref="AA7">IFERROR(INDEX($E$2:$E$118, SMALL(IF($A$2:$A$118=AA$2, ROW($E$2:$E$118)-ROW($E$2)+1), ROWS($S$3:AA7))), "")</f>
        <v/>
      </c>
      <c r="AB7" s="224" t="str" cm="1">
        <f t="array" ref="AB7">IFERROR(INDEX($E$2:$E$118, SMALL(IF($A$2:$A$118=AB$2, ROW($E$2:$E$118)-ROW($E$2)+1), ROWS($S$3:AB7))), "")</f>
        <v/>
      </c>
      <c r="AC7" s="224" t="str" cm="1">
        <f t="array" ref="AC7">IFERROR(INDEX($E$2:$E$118, SMALL(IF($A$2:$A$118=AC$2, ROW($E$2:$E$118)-ROW($E$2)+1), ROWS($S$3:AC7))), "")</f>
        <v/>
      </c>
      <c r="AD7" s="224" cm="1">
        <f t="array" ref="AD7">IFERROR(INDEX($E$2:$E$118, SMALL(IF($A$2:$A$118=AD$2, ROW($E$2:$E$118)-ROW($E$2)+1), ROWS($S$3:AD7))), "")</f>
        <v>183</v>
      </c>
      <c r="AE7" s="224" t="str" cm="1">
        <f t="array" ref="AE7">IFERROR(INDEX($E$2:$E$118, SMALL(IF($A$2:$A$118=AE$2, ROW($E$2:$E$118)-ROW($E$2)+1), ROWS($S$3:AE7))), "")</f>
        <v/>
      </c>
      <c r="AF7" s="224" t="str" cm="1">
        <f t="array" ref="AF7">IFERROR(INDEX($E$2:$E$118, SMALL(IF($A$2:$A$118=AF$2, ROW($E$2:$E$118)-ROW($E$2)+1), ROWS($S$3:AF7))), "")</f>
        <v/>
      </c>
      <c r="AG7" s="224" t="str" cm="1">
        <f t="array" ref="AG7">IFERROR(INDEX($E$2:$E$118, SMALL(IF($A$2:$A$118=AG$2, ROW($E$2:$E$118)-ROW($E$2)+1), ROWS($S$3:AG7))), "")</f>
        <v/>
      </c>
      <c r="AH7" s="224" t="str" cm="1">
        <f t="array" ref="AH7">IFERROR(INDEX($E$2:$E$118, SMALL(IF($A$2:$A$118=AH$2, ROW($E$2:$E$118)-ROW($E$2)+1), ROWS($S$3:AH7))), "")</f>
        <v/>
      </c>
      <c r="AI7" s="224" t="str" cm="1">
        <f t="array" ref="AI7">IFERROR(INDEX($E$2:$E$118, SMALL(IF($A$2:$A$118=AI$2, ROW($E$2:$E$118)-ROW($E$2)+1), ROWS($S$3:AI7))), "")</f>
        <v/>
      </c>
      <c r="AJ7" s="224" cm="1">
        <f t="array" ref="AJ7">IFERROR(INDEX($E$2:$E$118, SMALL(IF($A$2:$A$118=AJ$2, ROW($E$2:$E$118)-ROW($E$2)+1), ROWS($S$3:AJ7))), "")</f>
        <v>254</v>
      </c>
      <c r="AK7" s="224" t="str" cm="1">
        <f t="array" ref="AK7">IFERROR(INDEX($E$2:$E$118, SMALL(IF($A$2:$A$118=AK$2, ROW($E$2:$E$118)-ROW($E$2)+1), ROWS($S$3:AK7))), "")</f>
        <v/>
      </c>
      <c r="AL7" s="224" cm="1">
        <f t="array" ref="AL7">IFERROR(INDEX($E$2:$E$118, SMALL(IF($A$2:$A$118=AL$2, ROW($E$2:$E$118)-ROW($E$2)+1), ROWS($S$3:AL7))), "")</f>
        <v>183</v>
      </c>
      <c r="AM7" s="224" cm="1">
        <f t="array" ref="AM7">IFERROR(INDEX($E$2:$E$118, SMALL(IF($A$2:$A$118=AM$2, ROW($E$2:$E$118)-ROW($E$2)+1), ROWS($S$3:AM7))), "")</f>
        <v>183</v>
      </c>
      <c r="AN7" s="224" t="str" cm="1">
        <f t="array" ref="AN7">IFERROR(INDEX($E$2:$E$118, SMALL(IF($A$2:$A$118=AN$2, ROW($E$2:$E$118)-ROW($E$2)+1), ROWS($S$3:AN7))), "")</f>
        <v/>
      </c>
      <c r="AO7" s="224" cm="1">
        <f t="array" ref="AO7">IFERROR(INDEX($E$2:$E$118, SMALL(IF($A$2:$A$118=AO$2, ROW($E$2:$E$118)-ROW($E$2)+1), ROWS($S$3:AO7))), "")</f>
        <v>254</v>
      </c>
      <c r="AP7" s="224" t="str" cm="1">
        <f t="array" ref="AP7">IFERROR(INDEX($E$2:$E$118, SMALL(IF($A$2:$A$118=AP$2, ROW($E$2:$E$118)-ROW($E$2)+1), ROWS($S$3:AP7))), "")</f>
        <v/>
      </c>
      <c r="AQ7" s="224" cm="1">
        <f t="array" ref="AQ7">IFERROR(INDEX($E$2:$E$118, SMALL(IF($A$2:$A$118=AQ$2, ROW($E$2:$E$118)-ROW($E$2)+1), ROWS($S$3:AQ7))), "")</f>
        <v>429</v>
      </c>
      <c r="AR7" s="224" cm="1">
        <f t="array" ref="AR7">IFERROR(INDEX($E$2:$E$118, SMALL(IF($A$2:$A$118=AR$2, ROW($E$2:$E$118)-ROW($E$2)+1), ROWS($S$3:AR7))), "")</f>
        <v>429</v>
      </c>
    </row>
    <row r="8" spans="1:44">
      <c r="A8" s="45" t="s">
        <v>577</v>
      </c>
      <c r="B8" s="45" t="s">
        <v>188</v>
      </c>
      <c r="C8" s="230">
        <f>VLOOKUP(B8, 'S08 ABC Output'!$A$3:$C$18, 3, 0)</f>
        <v>54682</v>
      </c>
      <c r="D8" s="230">
        <f>VLOOKUP(B8, 'S12 Operations'!$C$2:$H$534, 6, 0)</f>
        <v>200</v>
      </c>
      <c r="E8" s="230">
        <f t="shared" si="2"/>
        <v>274</v>
      </c>
      <c r="F8" s="230">
        <f>VLOOKUP(A8, 'S11 Work Stations'!$A$2:$C$45, 3, 0)</f>
        <v>40</v>
      </c>
      <c r="G8" s="230">
        <f>VLOOKUP(B8&amp;"-"&amp;A8, 'S12 Operations'!$A$2:$G$534, 7, 0)</f>
        <v>180</v>
      </c>
      <c r="H8" s="229">
        <f t="shared" si="3"/>
        <v>3</v>
      </c>
      <c r="I8" s="229">
        <f t="shared" si="4"/>
        <v>175006</v>
      </c>
      <c r="J8" s="230">
        <f t="shared" si="5"/>
        <v>2917</v>
      </c>
      <c r="L8">
        <f t="shared" si="6"/>
        <v>2</v>
      </c>
      <c r="M8">
        <f t="shared" si="0"/>
        <v>274</v>
      </c>
      <c r="N8">
        <f t="shared" si="1"/>
        <v>433</v>
      </c>
      <c r="O8">
        <f t="shared" si="7"/>
        <v>2</v>
      </c>
      <c r="Q8" s="214" t="str" cm="1">
        <f t="array" ref="Q8">INDEX($A$2:$A$118,MATCH(0,COUNTIF($Q$1:Q7,$A$2:$A$118),0))</f>
        <v>WS-18</v>
      </c>
      <c r="S8" s="224" t="str" cm="1">
        <f t="array" ref="S8">IFERROR(INDEX($E$2:$E$118, SMALL(IF($A$2:$A$118=S$2, ROW($E$2:$E$118)-ROW($E$2)+1), ROWS($S$3:S8))), "")</f>
        <v/>
      </c>
      <c r="T8" s="224" t="str" cm="1">
        <f t="array" ref="T8">IFERROR(INDEX($E$2:$E$118, SMALL(IF($A$2:$A$118=T$2, ROW($E$2:$E$118)-ROW($E$2)+1), ROWS($S$3:T8))), "")</f>
        <v/>
      </c>
      <c r="U8" s="224" t="str" cm="1">
        <f t="array" ref="U8">IFERROR(INDEX($E$2:$E$118, SMALL(IF($A$2:$A$118=U$2, ROW($E$2:$E$118)-ROW($E$2)+1), ROWS($S$3:U8))), "")</f>
        <v/>
      </c>
      <c r="V8" s="224" cm="1">
        <f t="array" ref="V8">IFERROR(INDEX($E$2:$E$118, SMALL(IF($A$2:$A$118=V$2, ROW($E$2:$E$118)-ROW($E$2)+1), ROWS($S$3:V8))), "")</f>
        <v>129</v>
      </c>
      <c r="W8" s="224" t="str" cm="1">
        <f t="array" ref="W8">IFERROR(INDEX($E$2:$E$118, SMALL(IF($A$2:$A$118=W$2, ROW($E$2:$E$118)-ROW($E$2)+1), ROWS($S$3:W8))), "")</f>
        <v/>
      </c>
      <c r="X8" s="224" t="str" cm="1">
        <f t="array" ref="X8">IFERROR(INDEX($E$2:$E$118, SMALL(IF($A$2:$A$118=X$2, ROW($E$2:$E$118)-ROW($E$2)+1), ROWS($S$3:X8))), "")</f>
        <v/>
      </c>
      <c r="Y8" s="224" t="str" cm="1">
        <f t="array" ref="Y8">IFERROR(INDEX($E$2:$E$118, SMALL(IF($A$2:$A$118=Y$2, ROW($E$2:$E$118)-ROW($E$2)+1), ROWS($S$3:Y8))), "")</f>
        <v/>
      </c>
      <c r="Z8" s="224" t="str" cm="1">
        <f t="array" ref="Z8">IFERROR(INDEX($E$2:$E$118, SMALL(IF($A$2:$A$118=Z$2, ROW($E$2:$E$118)-ROW($E$2)+1), ROWS($S$3:Z8))), "")</f>
        <v/>
      </c>
      <c r="AA8" s="224" t="str" cm="1">
        <f t="array" ref="AA8">IFERROR(INDEX($E$2:$E$118, SMALL(IF($A$2:$A$118=AA$2, ROW($E$2:$E$118)-ROW($E$2)+1), ROWS($S$3:AA8))), "")</f>
        <v/>
      </c>
      <c r="AB8" s="224" t="str" cm="1">
        <f t="array" ref="AB8">IFERROR(INDEX($E$2:$E$118, SMALL(IF($A$2:$A$118=AB$2, ROW($E$2:$E$118)-ROW($E$2)+1), ROWS($S$3:AB8))), "")</f>
        <v/>
      </c>
      <c r="AC8" s="224" t="str" cm="1">
        <f t="array" ref="AC8">IFERROR(INDEX($E$2:$E$118, SMALL(IF($A$2:$A$118=AC$2, ROW($E$2:$E$118)-ROW($E$2)+1), ROWS($S$3:AC8))), "")</f>
        <v/>
      </c>
      <c r="AD8" s="224" cm="1">
        <f t="array" ref="AD8">IFERROR(INDEX($E$2:$E$118, SMALL(IF($A$2:$A$118=AD$2, ROW($E$2:$E$118)-ROW($E$2)+1), ROWS($S$3:AD8))), "")</f>
        <v>129</v>
      </c>
      <c r="AE8" s="224" t="str" cm="1">
        <f t="array" ref="AE8">IFERROR(INDEX($E$2:$E$118, SMALL(IF($A$2:$A$118=AE$2, ROW($E$2:$E$118)-ROW($E$2)+1), ROWS($S$3:AE8))), "")</f>
        <v/>
      </c>
      <c r="AF8" s="224" t="str" cm="1">
        <f t="array" ref="AF8">IFERROR(INDEX($E$2:$E$118, SMALL(IF($A$2:$A$118=AF$2, ROW($E$2:$E$118)-ROW($E$2)+1), ROWS($S$3:AF8))), "")</f>
        <v/>
      </c>
      <c r="AG8" s="224" t="str" cm="1">
        <f t="array" ref="AG8">IFERROR(INDEX($E$2:$E$118, SMALL(IF($A$2:$A$118=AG$2, ROW($E$2:$E$118)-ROW($E$2)+1), ROWS($S$3:AG8))), "")</f>
        <v/>
      </c>
      <c r="AH8" s="224" t="str" cm="1">
        <f t="array" ref="AH8">IFERROR(INDEX($E$2:$E$118, SMALL(IF($A$2:$A$118=AH$2, ROW($E$2:$E$118)-ROW($E$2)+1), ROWS($S$3:AH8))), "")</f>
        <v/>
      </c>
      <c r="AI8" s="224" t="str" cm="1">
        <f t="array" ref="AI8">IFERROR(INDEX($E$2:$E$118, SMALL(IF($A$2:$A$118=AI$2, ROW($E$2:$E$118)-ROW($E$2)+1), ROWS($S$3:AI8))), "")</f>
        <v/>
      </c>
      <c r="AJ8" s="224" cm="1">
        <f t="array" ref="AJ8">IFERROR(INDEX($E$2:$E$118, SMALL(IF($A$2:$A$118=AJ$2, ROW($E$2:$E$118)-ROW($E$2)+1), ROWS($S$3:AJ8))), "")</f>
        <v>129</v>
      </c>
      <c r="AK8" s="224" t="str" cm="1">
        <f t="array" ref="AK8">IFERROR(INDEX($E$2:$E$118, SMALL(IF($A$2:$A$118=AK$2, ROW($E$2:$E$118)-ROW($E$2)+1), ROWS($S$3:AK8))), "")</f>
        <v/>
      </c>
      <c r="AL8" s="224" cm="1">
        <f t="array" ref="AL8">IFERROR(INDEX($E$2:$E$118, SMALL(IF($A$2:$A$118=AL$2, ROW($E$2:$E$118)-ROW($E$2)+1), ROWS($S$3:AL8))), "")</f>
        <v>129</v>
      </c>
      <c r="AM8" s="224" cm="1">
        <f t="array" ref="AM8">IFERROR(INDEX($E$2:$E$118, SMALL(IF($A$2:$A$118=AM$2, ROW($E$2:$E$118)-ROW($E$2)+1), ROWS($S$3:AM8))), "")</f>
        <v>129</v>
      </c>
      <c r="AN8" s="224" t="str" cm="1">
        <f t="array" ref="AN8">IFERROR(INDEX($E$2:$E$118, SMALL(IF($A$2:$A$118=AN$2, ROW($E$2:$E$118)-ROW($E$2)+1), ROWS($S$3:AN8))), "")</f>
        <v/>
      </c>
      <c r="AO8" s="224" cm="1">
        <f t="array" ref="AO8">IFERROR(INDEX($E$2:$E$118, SMALL(IF($A$2:$A$118=AO$2, ROW($E$2:$E$118)-ROW($E$2)+1), ROWS($S$3:AO8))), "")</f>
        <v>129</v>
      </c>
      <c r="AP8" s="224" t="str" cm="1">
        <f t="array" ref="AP8">IFERROR(INDEX($E$2:$E$118, SMALL(IF($A$2:$A$118=AP$2, ROW($E$2:$E$118)-ROW($E$2)+1), ROWS($S$3:AP8))), "")</f>
        <v/>
      </c>
      <c r="AQ8" s="224" cm="1">
        <f t="array" ref="AQ8">IFERROR(INDEX($E$2:$E$118, SMALL(IF($A$2:$A$118=AQ$2, ROW($E$2:$E$118)-ROW($E$2)+1), ROWS($S$3:AQ8))), "")</f>
        <v>327</v>
      </c>
      <c r="AR8" s="224" cm="1">
        <f t="array" ref="AR8">IFERROR(INDEX($E$2:$E$118, SMALL(IF($A$2:$A$118=AR$2, ROW($E$2:$E$118)-ROW($E$2)+1), ROWS($S$3:AR8))), "")</f>
        <v>327</v>
      </c>
    </row>
    <row r="9" spans="1:44">
      <c r="A9" s="45" t="s">
        <v>578</v>
      </c>
      <c r="B9" s="45" t="s">
        <v>178</v>
      </c>
      <c r="C9" s="230">
        <f>VLOOKUP(B9, 'S08 ABC Output'!$A$3:$C$18, 3, 0)</f>
        <v>215425</v>
      </c>
      <c r="D9" s="230">
        <f>VLOOKUP(B9, 'S12 Operations'!$C$2:$H$534, 6, 0)</f>
        <v>200</v>
      </c>
      <c r="E9" s="230">
        <f t="shared" si="2"/>
        <v>1078</v>
      </c>
      <c r="F9" s="230">
        <f>VLOOKUP(A9, 'S11 Work Stations'!$A$2:$C$45, 3, 0)</f>
        <v>30</v>
      </c>
      <c r="G9" s="230">
        <f>VLOOKUP(B9&amp;"-"&amp;A9, 'S12 Operations'!$A$2:$G$534, 7, 0)</f>
        <v>480</v>
      </c>
      <c r="H9" s="229">
        <f t="shared" si="3"/>
        <v>8</v>
      </c>
      <c r="I9" s="229">
        <f t="shared" si="4"/>
        <v>1733210</v>
      </c>
      <c r="J9" s="230">
        <f t="shared" si="5"/>
        <v>28887</v>
      </c>
      <c r="L9">
        <f t="shared" si="6"/>
        <v>1</v>
      </c>
      <c r="M9">
        <f t="shared" si="0"/>
        <v>129</v>
      </c>
      <c r="N9">
        <f t="shared" si="1"/>
        <v>1078</v>
      </c>
      <c r="O9">
        <f t="shared" si="7"/>
        <v>6</v>
      </c>
      <c r="Q9" s="214" t="str" cm="1">
        <f t="array" ref="Q9">INDEX($A$2:$A$118,MATCH(0,COUNTIF($Q$1:Q8,$A$2:$A$118),0))</f>
        <v>WS-20</v>
      </c>
      <c r="S9" s="224" t="str" cm="1">
        <f t="array" ref="S9">IFERROR(INDEX($E$2:$E$118, SMALL(IF($A$2:$A$118=S$2, ROW($E$2:$E$118)-ROW($E$2)+1), ROWS($S$3:S9))), "")</f>
        <v/>
      </c>
      <c r="T9" s="224" t="str" cm="1">
        <f t="array" ref="T9">IFERROR(INDEX($E$2:$E$118, SMALL(IF($A$2:$A$118=T$2, ROW($E$2:$E$118)-ROW($E$2)+1), ROWS($S$3:T9))), "")</f>
        <v/>
      </c>
      <c r="U9" s="224" t="str" cm="1">
        <f t="array" ref="U9">IFERROR(INDEX($E$2:$E$118, SMALL(IF($A$2:$A$118=U$2, ROW($E$2:$E$118)-ROW($E$2)+1), ROWS($S$3:U9))), "")</f>
        <v/>
      </c>
      <c r="V9" s="224" t="str" cm="1">
        <f t="array" ref="V9">IFERROR(INDEX($E$2:$E$118, SMALL(IF($A$2:$A$118=V$2, ROW($E$2:$E$118)-ROW($E$2)+1), ROWS($S$3:V9))), "")</f>
        <v/>
      </c>
      <c r="W9" s="224" t="str" cm="1">
        <f t="array" ref="W9">IFERROR(INDEX($E$2:$E$118, SMALL(IF($A$2:$A$118=W$2, ROW($E$2:$E$118)-ROW($E$2)+1), ROWS($S$3:W9))), "")</f>
        <v/>
      </c>
      <c r="X9" s="224" t="str" cm="1">
        <f t="array" ref="X9">IFERROR(INDEX($E$2:$E$118, SMALL(IF($A$2:$A$118=X$2, ROW($E$2:$E$118)-ROW($E$2)+1), ROWS($S$3:X9))), "")</f>
        <v/>
      </c>
      <c r="Y9" s="224" t="str" cm="1">
        <f t="array" ref="Y9">IFERROR(INDEX($E$2:$E$118, SMALL(IF($A$2:$A$118=Y$2, ROW($E$2:$E$118)-ROW($E$2)+1), ROWS($S$3:Y9))), "")</f>
        <v/>
      </c>
      <c r="Z9" s="224" t="str" cm="1">
        <f t="array" ref="Z9">IFERROR(INDEX($E$2:$E$118, SMALL(IF($A$2:$A$118=Z$2, ROW($E$2:$E$118)-ROW($E$2)+1), ROWS($S$3:Z9))), "")</f>
        <v/>
      </c>
      <c r="AA9" s="224" t="str" cm="1">
        <f t="array" ref="AA9">IFERROR(INDEX($E$2:$E$118, SMALL(IF($A$2:$A$118=AA$2, ROW($E$2:$E$118)-ROW($E$2)+1), ROWS($S$3:AA9))), "")</f>
        <v/>
      </c>
      <c r="AB9" s="224" t="str" cm="1">
        <f t="array" ref="AB9">IFERROR(INDEX($E$2:$E$118, SMALL(IF($A$2:$A$118=AB$2, ROW($E$2:$E$118)-ROW($E$2)+1), ROWS($S$3:AB9))), "")</f>
        <v/>
      </c>
      <c r="AC9" s="224" t="str" cm="1">
        <f t="array" ref="AC9">IFERROR(INDEX($E$2:$E$118, SMALL(IF($A$2:$A$118=AC$2, ROW($E$2:$E$118)-ROW($E$2)+1), ROWS($S$3:AC9))), "")</f>
        <v/>
      </c>
      <c r="AD9" s="224" t="str" cm="1">
        <f t="array" ref="AD9">IFERROR(INDEX($E$2:$E$118, SMALL(IF($A$2:$A$118=AD$2, ROW($E$2:$E$118)-ROW($E$2)+1), ROWS($S$3:AD9))), "")</f>
        <v/>
      </c>
      <c r="AE9" s="224" t="str" cm="1">
        <f t="array" ref="AE9">IFERROR(INDEX($E$2:$E$118, SMALL(IF($A$2:$A$118=AE$2, ROW($E$2:$E$118)-ROW($E$2)+1), ROWS($S$3:AE9))), "")</f>
        <v/>
      </c>
      <c r="AF9" s="224" t="str" cm="1">
        <f t="array" ref="AF9">IFERROR(INDEX($E$2:$E$118, SMALL(IF($A$2:$A$118=AF$2, ROW($E$2:$E$118)-ROW($E$2)+1), ROWS($S$3:AF9))), "")</f>
        <v/>
      </c>
      <c r="AG9" s="224" t="str" cm="1">
        <f t="array" ref="AG9">IFERROR(INDEX($E$2:$E$118, SMALL(IF($A$2:$A$118=AG$2, ROW($E$2:$E$118)-ROW($E$2)+1), ROWS($S$3:AG9))), "")</f>
        <v/>
      </c>
      <c r="AH9" s="224" t="str" cm="1">
        <f t="array" ref="AH9">IFERROR(INDEX($E$2:$E$118, SMALL(IF($A$2:$A$118=AH$2, ROW($E$2:$E$118)-ROW($E$2)+1), ROWS($S$3:AH9))), "")</f>
        <v/>
      </c>
      <c r="AI9" s="224" t="str" cm="1">
        <f t="array" ref="AI9">IFERROR(INDEX($E$2:$E$118, SMALL(IF($A$2:$A$118=AI$2, ROW($E$2:$E$118)-ROW($E$2)+1), ROWS($S$3:AI9))), "")</f>
        <v/>
      </c>
      <c r="AJ9" s="224" cm="1">
        <f t="array" ref="AJ9">IFERROR(INDEX($E$2:$E$118, SMALL(IF($A$2:$A$118=AJ$2, ROW($E$2:$E$118)-ROW($E$2)+1), ROWS($S$3:AJ9))), "")</f>
        <v>510</v>
      </c>
      <c r="AK9" s="224" t="str" cm="1">
        <f t="array" ref="AK9">IFERROR(INDEX($E$2:$E$118, SMALL(IF($A$2:$A$118=AK$2, ROW($E$2:$E$118)-ROW($E$2)+1), ROWS($S$3:AK9))), "")</f>
        <v/>
      </c>
      <c r="AL9" s="224" t="str" cm="1">
        <f t="array" ref="AL9">IFERROR(INDEX($E$2:$E$118, SMALL(IF($A$2:$A$118=AL$2, ROW($E$2:$E$118)-ROW($E$2)+1), ROWS($S$3:AL9))), "")</f>
        <v/>
      </c>
      <c r="AM9" s="224" t="str" cm="1">
        <f t="array" ref="AM9">IFERROR(INDEX($E$2:$E$118, SMALL(IF($A$2:$A$118=AM$2, ROW($E$2:$E$118)-ROW($E$2)+1), ROWS($S$3:AM9))), "")</f>
        <v/>
      </c>
      <c r="AN9" s="224" t="str" cm="1">
        <f t="array" ref="AN9">IFERROR(INDEX($E$2:$E$118, SMALL(IF($A$2:$A$118=AN$2, ROW($E$2:$E$118)-ROW($E$2)+1), ROWS($S$3:AN9))), "")</f>
        <v/>
      </c>
      <c r="AO9" s="224" cm="1">
        <f t="array" ref="AO9">IFERROR(INDEX($E$2:$E$118, SMALL(IF($A$2:$A$118=AO$2, ROW($E$2:$E$118)-ROW($E$2)+1), ROWS($S$3:AO9))), "")</f>
        <v>129</v>
      </c>
      <c r="AP9" s="224" t="str" cm="1">
        <f t="array" ref="AP9">IFERROR(INDEX($E$2:$E$118, SMALL(IF($A$2:$A$118=AP$2, ROW($E$2:$E$118)-ROW($E$2)+1), ROWS($S$3:AP9))), "")</f>
        <v/>
      </c>
      <c r="AQ9" s="224" cm="1">
        <f t="array" ref="AQ9">IFERROR(INDEX($E$2:$E$118, SMALL(IF($A$2:$A$118=AQ$2, ROW($E$2:$E$118)-ROW($E$2)+1), ROWS($S$3:AQ9))), "")</f>
        <v>274</v>
      </c>
      <c r="AR9" s="224" cm="1">
        <f t="array" ref="AR9">IFERROR(INDEX($E$2:$E$118, SMALL(IF($A$2:$A$118=AR$2, ROW($E$2:$E$118)-ROW($E$2)+1), ROWS($S$3:AR9))), "")</f>
        <v>274</v>
      </c>
    </row>
    <row r="10" spans="1:44">
      <c r="A10" s="45" t="s">
        <v>578</v>
      </c>
      <c r="B10" s="45" t="s">
        <v>186</v>
      </c>
      <c r="C10" s="230">
        <f>VLOOKUP(B10, 'S08 ABC Output'!$A$3:$C$18, 3, 0)</f>
        <v>65248</v>
      </c>
      <c r="D10" s="230">
        <f>VLOOKUP(B10, 'S12 Operations'!$C$2:$H$534, 6, 0)</f>
        <v>200</v>
      </c>
      <c r="E10" s="230">
        <f t="shared" si="2"/>
        <v>327</v>
      </c>
      <c r="F10" s="230">
        <f>VLOOKUP(A10, 'S11 Work Stations'!$A$2:$C$45, 3, 0)</f>
        <v>30</v>
      </c>
      <c r="G10" s="230">
        <f>VLOOKUP(B10&amp;"-"&amp;A10, 'S12 Operations'!$A$2:$G$534, 7, 0)</f>
        <v>720</v>
      </c>
      <c r="H10" s="229">
        <f t="shared" si="3"/>
        <v>12</v>
      </c>
      <c r="I10" s="229">
        <f t="shared" si="4"/>
        <v>792786</v>
      </c>
      <c r="J10" s="230">
        <f t="shared" si="5"/>
        <v>13213</v>
      </c>
      <c r="L10">
        <f t="shared" si="6"/>
        <v>2</v>
      </c>
      <c r="M10">
        <f t="shared" si="0"/>
        <v>129</v>
      </c>
      <c r="N10">
        <f t="shared" si="1"/>
        <v>1078</v>
      </c>
      <c r="O10">
        <f t="shared" si="7"/>
        <v>6</v>
      </c>
      <c r="Q10" s="214" t="str" cm="1">
        <f t="array" ref="Q10">INDEX($A$2:$A$118,MATCH(0,COUNTIF($Q$1:Q9,$A$2:$A$118),0))</f>
        <v>WS-21</v>
      </c>
      <c r="S10" s="224" t="str" cm="1">
        <f t="array" ref="S10">IFERROR(INDEX($E$2:$E$118, SMALL(IF($A$2:$A$118=S$2, ROW($E$2:$E$118)-ROW($E$2)+1), ROWS($S$3:S10))), "")</f>
        <v/>
      </c>
      <c r="T10" s="224" t="str" cm="1">
        <f t="array" ref="T10">IFERROR(INDEX($E$2:$E$118, SMALL(IF($A$2:$A$118=T$2, ROW($E$2:$E$118)-ROW($E$2)+1), ROWS($S$3:T10))), "")</f>
        <v/>
      </c>
      <c r="U10" s="224" t="str" cm="1">
        <f t="array" ref="U10">IFERROR(INDEX($E$2:$E$118, SMALL(IF($A$2:$A$118=U$2, ROW($E$2:$E$118)-ROW($E$2)+1), ROWS($S$3:U10))), "")</f>
        <v/>
      </c>
      <c r="V10" s="224" t="str" cm="1">
        <f t="array" ref="V10">IFERROR(INDEX($E$2:$E$118, SMALL(IF($A$2:$A$118=V$2, ROW($E$2:$E$118)-ROW($E$2)+1), ROWS($S$3:V10))), "")</f>
        <v/>
      </c>
      <c r="W10" s="224" t="str" cm="1">
        <f t="array" ref="W10">IFERROR(INDEX($E$2:$E$118, SMALL(IF($A$2:$A$118=W$2, ROW($E$2:$E$118)-ROW($E$2)+1), ROWS($S$3:W10))), "")</f>
        <v/>
      </c>
      <c r="X10" s="224" t="str" cm="1">
        <f t="array" ref="X10">IFERROR(INDEX($E$2:$E$118, SMALL(IF($A$2:$A$118=X$2, ROW($E$2:$E$118)-ROW($E$2)+1), ROWS($S$3:X10))), "")</f>
        <v/>
      </c>
      <c r="Y10" s="224" t="str" cm="1">
        <f t="array" ref="Y10">IFERROR(INDEX($E$2:$E$118, SMALL(IF($A$2:$A$118=Y$2, ROW($E$2:$E$118)-ROW($E$2)+1), ROWS($S$3:Y10))), "")</f>
        <v/>
      </c>
      <c r="Z10" s="224" t="str" cm="1">
        <f t="array" ref="Z10">IFERROR(INDEX($E$2:$E$118, SMALL(IF($A$2:$A$118=Z$2, ROW($E$2:$E$118)-ROW($E$2)+1), ROWS($S$3:Z10))), "")</f>
        <v/>
      </c>
      <c r="AA10" s="224" t="str" cm="1">
        <f t="array" ref="AA10">IFERROR(INDEX($E$2:$E$118, SMALL(IF($A$2:$A$118=AA$2, ROW($E$2:$E$118)-ROW($E$2)+1), ROWS($S$3:AA10))), "")</f>
        <v/>
      </c>
      <c r="AB10" s="224" t="str" cm="1">
        <f t="array" ref="AB10">IFERROR(INDEX($E$2:$E$118, SMALL(IF($A$2:$A$118=AB$2, ROW($E$2:$E$118)-ROW($E$2)+1), ROWS($S$3:AB10))), "")</f>
        <v/>
      </c>
      <c r="AC10" s="224" t="str" cm="1">
        <f t="array" ref="AC10">IFERROR(INDEX($E$2:$E$118, SMALL(IF($A$2:$A$118=AC$2, ROW($E$2:$E$118)-ROW($E$2)+1), ROWS($S$3:AC10))), "")</f>
        <v/>
      </c>
      <c r="AD10" s="224" t="str" cm="1">
        <f t="array" ref="AD10">IFERROR(INDEX($E$2:$E$118, SMALL(IF($A$2:$A$118=AD$2, ROW($E$2:$E$118)-ROW($E$2)+1), ROWS($S$3:AD10))), "")</f>
        <v/>
      </c>
      <c r="AE10" s="224" t="str" cm="1">
        <f t="array" ref="AE10">IFERROR(INDEX($E$2:$E$118, SMALL(IF($A$2:$A$118=AE$2, ROW($E$2:$E$118)-ROW($E$2)+1), ROWS($S$3:AE10))), "")</f>
        <v/>
      </c>
      <c r="AF10" s="224" t="str" cm="1">
        <f t="array" ref="AF10">IFERROR(INDEX($E$2:$E$118, SMALL(IF($A$2:$A$118=AF$2, ROW($E$2:$E$118)-ROW($E$2)+1), ROWS($S$3:AF10))), "")</f>
        <v/>
      </c>
      <c r="AG10" s="224" t="str" cm="1">
        <f t="array" ref="AG10">IFERROR(INDEX($E$2:$E$118, SMALL(IF($A$2:$A$118=AG$2, ROW($E$2:$E$118)-ROW($E$2)+1), ROWS($S$3:AG10))), "")</f>
        <v/>
      </c>
      <c r="AH10" s="224" t="str" cm="1">
        <f t="array" ref="AH10">IFERROR(INDEX($E$2:$E$118, SMALL(IF($A$2:$A$118=AH$2, ROW($E$2:$E$118)-ROW($E$2)+1), ROWS($S$3:AH10))), "")</f>
        <v/>
      </c>
      <c r="AI10" s="224" t="str" cm="1">
        <f t="array" ref="AI10">IFERROR(INDEX($E$2:$E$118, SMALL(IF($A$2:$A$118=AI$2, ROW($E$2:$E$118)-ROW($E$2)+1), ROWS($S$3:AI10))), "")</f>
        <v/>
      </c>
      <c r="AJ10" s="224" t="str" cm="1">
        <f t="array" ref="AJ10">IFERROR(INDEX($E$2:$E$118, SMALL(IF($A$2:$A$118=AJ$2, ROW($E$2:$E$118)-ROW($E$2)+1), ROWS($S$3:AJ10))), "")</f>
        <v/>
      </c>
      <c r="AK10" s="224" t="str" cm="1">
        <f t="array" ref="AK10">IFERROR(INDEX($E$2:$E$118, SMALL(IF($A$2:$A$118=AK$2, ROW($E$2:$E$118)-ROW($E$2)+1), ROWS($S$3:AK10))), "")</f>
        <v/>
      </c>
      <c r="AL10" s="224" t="str" cm="1">
        <f t="array" ref="AL10">IFERROR(INDEX($E$2:$E$118, SMALL(IF($A$2:$A$118=AL$2, ROW($E$2:$E$118)-ROW($E$2)+1), ROWS($S$3:AL10))), "")</f>
        <v/>
      </c>
      <c r="AM10" s="224" t="str" cm="1">
        <f t="array" ref="AM10">IFERROR(INDEX($E$2:$E$118, SMALL(IF($A$2:$A$118=AM$2, ROW($E$2:$E$118)-ROW($E$2)+1), ROWS($S$3:AM10))), "")</f>
        <v/>
      </c>
      <c r="AN10" s="224" t="str" cm="1">
        <f t="array" ref="AN10">IFERROR(INDEX($E$2:$E$118, SMALL(IF($A$2:$A$118=AN$2, ROW($E$2:$E$118)-ROW($E$2)+1), ROWS($S$3:AN10))), "")</f>
        <v/>
      </c>
      <c r="AO10" s="224" t="str" cm="1">
        <f t="array" ref="AO10">IFERROR(INDEX($E$2:$E$118, SMALL(IF($A$2:$A$118=AO$2, ROW($E$2:$E$118)-ROW($E$2)+1), ROWS($S$3:AO10))), "")</f>
        <v/>
      </c>
      <c r="AP10" s="224" t="str" cm="1">
        <f t="array" ref="AP10">IFERROR(INDEX($E$2:$E$118, SMALL(IF($A$2:$A$118=AP$2, ROW($E$2:$E$118)-ROW($E$2)+1), ROWS($S$3:AP10))), "")</f>
        <v/>
      </c>
      <c r="AQ10" s="224" cm="1">
        <f t="array" ref="AQ10">IFERROR(INDEX($E$2:$E$118, SMALL(IF($A$2:$A$118=AQ$2, ROW($E$2:$E$118)-ROW($E$2)+1), ROWS($S$3:AQ10))), "")</f>
        <v>254</v>
      </c>
      <c r="AR10" s="224" cm="1">
        <f t="array" ref="AR10">IFERROR(INDEX($E$2:$E$118, SMALL(IF($A$2:$A$118=AR$2, ROW($E$2:$E$118)-ROW($E$2)+1), ROWS($S$3:AR10))), "")</f>
        <v>254</v>
      </c>
    </row>
    <row r="11" spans="1:44">
      <c r="A11" s="45" t="s">
        <v>578</v>
      </c>
      <c r="B11" s="45" t="s">
        <v>192</v>
      </c>
      <c r="C11" s="230">
        <f>VLOOKUP(B11, 'S08 ABC Output'!$A$3:$C$18, 3, 0)</f>
        <v>45896</v>
      </c>
      <c r="D11" s="230">
        <f>VLOOKUP(B11, 'S12 Operations'!$C$2:$H$534, 6, 0)</f>
        <v>200</v>
      </c>
      <c r="E11" s="230">
        <f t="shared" si="2"/>
        <v>230</v>
      </c>
      <c r="F11" s="230">
        <f>VLOOKUP(A11, 'S11 Work Stations'!$A$2:$C$45, 3, 0)</f>
        <v>30</v>
      </c>
      <c r="G11" s="230">
        <f>VLOOKUP(B11&amp;"-"&amp;A11, 'S12 Operations'!$A$2:$G$534, 7, 0)</f>
        <v>720</v>
      </c>
      <c r="H11" s="229">
        <f t="shared" si="3"/>
        <v>12</v>
      </c>
      <c r="I11" s="229">
        <f t="shared" si="4"/>
        <v>557652</v>
      </c>
      <c r="J11" s="230">
        <f t="shared" si="5"/>
        <v>9294</v>
      </c>
      <c r="L11">
        <f t="shared" si="6"/>
        <v>3</v>
      </c>
      <c r="M11">
        <f t="shared" si="0"/>
        <v>129</v>
      </c>
      <c r="N11">
        <f t="shared" si="1"/>
        <v>1078</v>
      </c>
      <c r="O11">
        <f t="shared" si="7"/>
        <v>6</v>
      </c>
      <c r="Q11" s="214" t="str" cm="1">
        <f t="array" ref="Q11">INDEX($A$2:$A$118,MATCH(0,COUNTIF($Q$1:Q10,$A$2:$A$118),0))</f>
        <v>WS-23</v>
      </c>
      <c r="S11" s="224" t="str" cm="1">
        <f t="array" ref="S11">IFERROR(INDEX($E$2:$E$118, SMALL(IF($A$2:$A$118=S$2, ROW($E$2:$E$118)-ROW($E$2)+1), ROWS($S$3:S11))), "")</f>
        <v/>
      </c>
      <c r="T11" s="224" t="str" cm="1">
        <f t="array" ref="T11">IFERROR(INDEX($E$2:$E$118, SMALL(IF($A$2:$A$118=T$2, ROW($E$2:$E$118)-ROW($E$2)+1), ROWS($S$3:T11))), "")</f>
        <v/>
      </c>
      <c r="U11" s="224" t="str" cm="1">
        <f t="array" ref="U11">IFERROR(INDEX($E$2:$E$118, SMALL(IF($A$2:$A$118=U$2, ROW($E$2:$E$118)-ROW($E$2)+1), ROWS($S$3:U11))), "")</f>
        <v/>
      </c>
      <c r="V11" s="224" t="str" cm="1">
        <f t="array" ref="V11">IFERROR(INDEX($E$2:$E$118, SMALL(IF($A$2:$A$118=V$2, ROW($E$2:$E$118)-ROW($E$2)+1), ROWS($S$3:V11))), "")</f>
        <v/>
      </c>
      <c r="W11" s="224" t="str" cm="1">
        <f t="array" ref="W11">IFERROR(INDEX($E$2:$E$118, SMALL(IF($A$2:$A$118=W$2, ROW($E$2:$E$118)-ROW($E$2)+1), ROWS($S$3:W11))), "")</f>
        <v/>
      </c>
      <c r="X11" s="224" t="str" cm="1">
        <f t="array" ref="X11">IFERROR(INDEX($E$2:$E$118, SMALL(IF($A$2:$A$118=X$2, ROW($E$2:$E$118)-ROW($E$2)+1), ROWS($S$3:X11))), "")</f>
        <v/>
      </c>
      <c r="Y11" s="224" t="str" cm="1">
        <f t="array" ref="Y11">IFERROR(INDEX($E$2:$E$118, SMALL(IF($A$2:$A$118=Y$2, ROW($E$2:$E$118)-ROW($E$2)+1), ROWS($S$3:Y11))), "")</f>
        <v/>
      </c>
      <c r="Z11" s="224" t="str" cm="1">
        <f t="array" ref="Z11">IFERROR(INDEX($E$2:$E$118, SMALL(IF($A$2:$A$118=Z$2, ROW($E$2:$E$118)-ROW($E$2)+1), ROWS($S$3:Z11))), "")</f>
        <v/>
      </c>
      <c r="AA11" s="224" t="str" cm="1">
        <f t="array" ref="AA11">IFERROR(INDEX($E$2:$E$118, SMALL(IF($A$2:$A$118=AA$2, ROW($E$2:$E$118)-ROW($E$2)+1), ROWS($S$3:AA11))), "")</f>
        <v/>
      </c>
      <c r="AB11" s="224" t="str" cm="1">
        <f t="array" ref="AB11">IFERROR(INDEX($E$2:$E$118, SMALL(IF($A$2:$A$118=AB$2, ROW($E$2:$E$118)-ROW($E$2)+1), ROWS($S$3:AB11))), "")</f>
        <v/>
      </c>
      <c r="AC11" s="224" t="str" cm="1">
        <f t="array" ref="AC11">IFERROR(INDEX($E$2:$E$118, SMALL(IF($A$2:$A$118=AC$2, ROW($E$2:$E$118)-ROW($E$2)+1), ROWS($S$3:AC11))), "")</f>
        <v/>
      </c>
      <c r="AD11" s="224" t="str" cm="1">
        <f t="array" ref="AD11">IFERROR(INDEX($E$2:$E$118, SMALL(IF($A$2:$A$118=AD$2, ROW($E$2:$E$118)-ROW($E$2)+1), ROWS($S$3:AD11))), "")</f>
        <v/>
      </c>
      <c r="AE11" s="224" t="str" cm="1">
        <f t="array" ref="AE11">IFERROR(INDEX($E$2:$E$118, SMALL(IF($A$2:$A$118=AE$2, ROW($E$2:$E$118)-ROW($E$2)+1), ROWS($S$3:AE11))), "")</f>
        <v/>
      </c>
      <c r="AF11" s="224" t="str" cm="1">
        <f t="array" ref="AF11">IFERROR(INDEX($E$2:$E$118, SMALL(IF($A$2:$A$118=AF$2, ROW($E$2:$E$118)-ROW($E$2)+1), ROWS($S$3:AF11))), "")</f>
        <v/>
      </c>
      <c r="AG11" s="224" t="str" cm="1">
        <f t="array" ref="AG11">IFERROR(INDEX($E$2:$E$118, SMALL(IF($A$2:$A$118=AG$2, ROW($E$2:$E$118)-ROW($E$2)+1), ROWS($S$3:AG11))), "")</f>
        <v/>
      </c>
      <c r="AH11" s="224" t="str" cm="1">
        <f t="array" ref="AH11">IFERROR(INDEX($E$2:$E$118, SMALL(IF($A$2:$A$118=AH$2, ROW($E$2:$E$118)-ROW($E$2)+1), ROWS($S$3:AH11))), "")</f>
        <v/>
      </c>
      <c r="AI11" s="224" t="str" cm="1">
        <f t="array" ref="AI11">IFERROR(INDEX($E$2:$E$118, SMALL(IF($A$2:$A$118=AI$2, ROW($E$2:$E$118)-ROW($E$2)+1), ROWS($S$3:AI11))), "")</f>
        <v/>
      </c>
      <c r="AJ11" s="224" t="str" cm="1">
        <f t="array" ref="AJ11">IFERROR(INDEX($E$2:$E$118, SMALL(IF($A$2:$A$118=AJ$2, ROW($E$2:$E$118)-ROW($E$2)+1), ROWS($S$3:AJ11))), "")</f>
        <v/>
      </c>
      <c r="AK11" s="224" t="str" cm="1">
        <f t="array" ref="AK11">IFERROR(INDEX($E$2:$E$118, SMALL(IF($A$2:$A$118=AK$2, ROW($E$2:$E$118)-ROW($E$2)+1), ROWS($S$3:AK11))), "")</f>
        <v/>
      </c>
      <c r="AL11" s="224" t="str" cm="1">
        <f t="array" ref="AL11">IFERROR(INDEX($E$2:$E$118, SMALL(IF($A$2:$A$118=AL$2, ROW($E$2:$E$118)-ROW($E$2)+1), ROWS($S$3:AL11))), "")</f>
        <v/>
      </c>
      <c r="AM11" s="224" t="str" cm="1">
        <f t="array" ref="AM11">IFERROR(INDEX($E$2:$E$118, SMALL(IF($A$2:$A$118=AM$2, ROW($E$2:$E$118)-ROW($E$2)+1), ROWS($S$3:AM11))), "")</f>
        <v/>
      </c>
      <c r="AN11" s="224" t="str" cm="1">
        <f t="array" ref="AN11">IFERROR(INDEX($E$2:$E$118, SMALL(IF($A$2:$A$118=AN$2, ROW($E$2:$E$118)-ROW($E$2)+1), ROWS($S$3:AN11))), "")</f>
        <v/>
      </c>
      <c r="AO11" s="224" t="str" cm="1">
        <f t="array" ref="AO11">IFERROR(INDEX($E$2:$E$118, SMALL(IF($A$2:$A$118=AO$2, ROW($E$2:$E$118)-ROW($E$2)+1), ROWS($S$3:AO11))), "")</f>
        <v/>
      </c>
      <c r="AP11" s="224" t="str" cm="1">
        <f t="array" ref="AP11">IFERROR(INDEX($E$2:$E$118, SMALL(IF($A$2:$A$118=AP$2, ROW($E$2:$E$118)-ROW($E$2)+1), ROWS($S$3:AP11))), "")</f>
        <v/>
      </c>
      <c r="AQ11" s="224" cm="1">
        <f t="array" ref="AQ11">IFERROR(INDEX($E$2:$E$118, SMALL(IF($A$2:$A$118=AQ$2, ROW($E$2:$E$118)-ROW($E$2)+1), ROWS($S$3:AQ11))), "")</f>
        <v>230</v>
      </c>
      <c r="AR11" s="224" cm="1">
        <f t="array" ref="AR11">IFERROR(INDEX($E$2:$E$118, SMALL(IF($A$2:$A$118=AR$2, ROW($E$2:$E$118)-ROW($E$2)+1), ROWS($S$3:AR11))), "")</f>
        <v>230</v>
      </c>
    </row>
    <row r="12" spans="1:44">
      <c r="A12" s="45" t="s">
        <v>578</v>
      </c>
      <c r="B12" s="45" t="s">
        <v>194</v>
      </c>
      <c r="C12" s="230">
        <f>VLOOKUP(B12, 'S08 ABC Output'!$A$3:$C$18, 3, 0)</f>
        <v>36524</v>
      </c>
      <c r="D12" s="230">
        <f>VLOOKUP(B12, 'S12 Operations'!$C$2:$H$534, 6, 0)</f>
        <v>200</v>
      </c>
      <c r="E12" s="230">
        <f t="shared" si="2"/>
        <v>183</v>
      </c>
      <c r="F12" s="230">
        <f>VLOOKUP(A12, 'S11 Work Stations'!$A$2:$C$45, 3, 0)</f>
        <v>30</v>
      </c>
      <c r="G12" s="230">
        <f>VLOOKUP(B12&amp;"-"&amp;A12, 'S12 Operations'!$A$2:$G$534, 7, 0)</f>
        <v>360</v>
      </c>
      <c r="H12" s="229">
        <f t="shared" si="3"/>
        <v>6</v>
      </c>
      <c r="I12" s="229">
        <f t="shared" si="4"/>
        <v>224634</v>
      </c>
      <c r="J12" s="230">
        <f t="shared" si="5"/>
        <v>3744</v>
      </c>
      <c r="L12">
        <f t="shared" si="6"/>
        <v>4</v>
      </c>
      <c r="M12">
        <f t="shared" si="0"/>
        <v>129</v>
      </c>
      <c r="N12">
        <f t="shared" si="1"/>
        <v>1078</v>
      </c>
      <c r="O12">
        <f t="shared" si="7"/>
        <v>6</v>
      </c>
      <c r="Q12" s="214" t="str" cm="1">
        <f t="array" ref="Q12">INDEX($A$2:$A$118,MATCH(0,COUNTIF($Q$1:Q11,$A$2:$A$118),0))</f>
        <v>WS-24</v>
      </c>
      <c r="S12" s="224" t="str" cm="1">
        <f t="array" ref="S12">IFERROR(INDEX($E$2:$E$118, SMALL(IF($A$2:$A$118=S$2, ROW($E$2:$E$118)-ROW($E$2)+1), ROWS($S$3:S12))), "")</f>
        <v/>
      </c>
      <c r="T12" s="224" t="str" cm="1">
        <f t="array" ref="T12">IFERROR(INDEX($E$2:$E$118, SMALL(IF($A$2:$A$118=T$2, ROW($E$2:$E$118)-ROW($E$2)+1), ROWS($S$3:T12))), "")</f>
        <v/>
      </c>
      <c r="U12" s="224" t="str" cm="1">
        <f t="array" ref="U12">IFERROR(INDEX($E$2:$E$118, SMALL(IF($A$2:$A$118=U$2, ROW($E$2:$E$118)-ROW($E$2)+1), ROWS($S$3:U12))), "")</f>
        <v/>
      </c>
      <c r="V12" s="224" t="str" cm="1">
        <f t="array" ref="V12">IFERROR(INDEX($E$2:$E$118, SMALL(IF($A$2:$A$118=V$2, ROW($E$2:$E$118)-ROW($E$2)+1), ROWS($S$3:V12))), "")</f>
        <v/>
      </c>
      <c r="W12" s="224" t="str" cm="1">
        <f t="array" ref="W12">IFERROR(INDEX($E$2:$E$118, SMALL(IF($A$2:$A$118=W$2, ROW($E$2:$E$118)-ROW($E$2)+1), ROWS($S$3:W12))), "")</f>
        <v/>
      </c>
      <c r="X12" s="224" t="str" cm="1">
        <f t="array" ref="X12">IFERROR(INDEX($E$2:$E$118, SMALL(IF($A$2:$A$118=X$2, ROW($E$2:$E$118)-ROW($E$2)+1), ROWS($S$3:X12))), "")</f>
        <v/>
      </c>
      <c r="Y12" s="224" t="str" cm="1">
        <f t="array" ref="Y12">IFERROR(INDEX($E$2:$E$118, SMALL(IF($A$2:$A$118=Y$2, ROW($E$2:$E$118)-ROW($E$2)+1), ROWS($S$3:Y12))), "")</f>
        <v/>
      </c>
      <c r="Z12" s="224" t="str" cm="1">
        <f t="array" ref="Z12">IFERROR(INDEX($E$2:$E$118, SMALL(IF($A$2:$A$118=Z$2, ROW($E$2:$E$118)-ROW($E$2)+1), ROWS($S$3:Z12))), "")</f>
        <v/>
      </c>
      <c r="AA12" s="224" t="str" cm="1">
        <f t="array" ref="AA12">IFERROR(INDEX($E$2:$E$118, SMALL(IF($A$2:$A$118=AA$2, ROW($E$2:$E$118)-ROW($E$2)+1), ROWS($S$3:AA12))), "")</f>
        <v/>
      </c>
      <c r="AB12" s="224" t="str" cm="1">
        <f t="array" ref="AB12">IFERROR(INDEX($E$2:$E$118, SMALL(IF($A$2:$A$118=AB$2, ROW($E$2:$E$118)-ROW($E$2)+1), ROWS($S$3:AB12))), "")</f>
        <v/>
      </c>
      <c r="AC12" s="224" t="str" cm="1">
        <f t="array" ref="AC12">IFERROR(INDEX($E$2:$E$118, SMALL(IF($A$2:$A$118=AC$2, ROW($E$2:$E$118)-ROW($E$2)+1), ROWS($S$3:AC12))), "")</f>
        <v/>
      </c>
      <c r="AD12" s="224" t="str" cm="1">
        <f t="array" ref="AD12">IFERROR(INDEX($E$2:$E$118, SMALL(IF($A$2:$A$118=AD$2, ROW($E$2:$E$118)-ROW($E$2)+1), ROWS($S$3:AD12))), "")</f>
        <v/>
      </c>
      <c r="AE12" s="224" t="str" cm="1">
        <f t="array" ref="AE12">IFERROR(INDEX($E$2:$E$118, SMALL(IF($A$2:$A$118=AE$2, ROW($E$2:$E$118)-ROW($E$2)+1), ROWS($S$3:AE12))), "")</f>
        <v/>
      </c>
      <c r="AF12" s="224" t="str" cm="1">
        <f t="array" ref="AF12">IFERROR(INDEX($E$2:$E$118, SMALL(IF($A$2:$A$118=AF$2, ROW($E$2:$E$118)-ROW($E$2)+1), ROWS($S$3:AF12))), "")</f>
        <v/>
      </c>
      <c r="AG12" s="224" t="str" cm="1">
        <f t="array" ref="AG12">IFERROR(INDEX($E$2:$E$118, SMALL(IF($A$2:$A$118=AG$2, ROW($E$2:$E$118)-ROW($E$2)+1), ROWS($S$3:AG12))), "")</f>
        <v/>
      </c>
      <c r="AH12" s="224" t="str" cm="1">
        <f t="array" ref="AH12">IFERROR(INDEX($E$2:$E$118, SMALL(IF($A$2:$A$118=AH$2, ROW($E$2:$E$118)-ROW($E$2)+1), ROWS($S$3:AH12))), "")</f>
        <v/>
      </c>
      <c r="AI12" s="224" t="str" cm="1">
        <f t="array" ref="AI12">IFERROR(INDEX($E$2:$E$118, SMALL(IF($A$2:$A$118=AI$2, ROW($E$2:$E$118)-ROW($E$2)+1), ROWS($S$3:AI12))), "")</f>
        <v/>
      </c>
      <c r="AJ12" s="224" t="str" cm="1">
        <f t="array" ref="AJ12">IFERROR(INDEX($E$2:$E$118, SMALL(IF($A$2:$A$118=AJ$2, ROW($E$2:$E$118)-ROW($E$2)+1), ROWS($S$3:AJ12))), "")</f>
        <v/>
      </c>
      <c r="AK12" s="224" t="str" cm="1">
        <f t="array" ref="AK12">IFERROR(INDEX($E$2:$E$118, SMALL(IF($A$2:$A$118=AK$2, ROW($E$2:$E$118)-ROW($E$2)+1), ROWS($S$3:AK12))), "")</f>
        <v/>
      </c>
      <c r="AL12" s="224" t="str" cm="1">
        <f t="array" ref="AL12">IFERROR(INDEX($E$2:$E$118, SMALL(IF($A$2:$A$118=AL$2, ROW($E$2:$E$118)-ROW($E$2)+1), ROWS($S$3:AL12))), "")</f>
        <v/>
      </c>
      <c r="AM12" s="224" t="str" cm="1">
        <f t="array" ref="AM12">IFERROR(INDEX($E$2:$E$118, SMALL(IF($A$2:$A$118=AM$2, ROW($E$2:$E$118)-ROW($E$2)+1), ROWS($S$3:AM12))), "")</f>
        <v/>
      </c>
      <c r="AN12" s="224" t="str" cm="1">
        <f t="array" ref="AN12">IFERROR(INDEX($E$2:$E$118, SMALL(IF($A$2:$A$118=AN$2, ROW($E$2:$E$118)-ROW($E$2)+1), ROWS($S$3:AN12))), "")</f>
        <v/>
      </c>
      <c r="AO12" s="224" t="str" cm="1">
        <f t="array" ref="AO12">IFERROR(INDEX($E$2:$E$118, SMALL(IF($A$2:$A$118=AO$2, ROW($E$2:$E$118)-ROW($E$2)+1), ROWS($S$3:AO12))), "")</f>
        <v/>
      </c>
      <c r="AP12" s="224" t="str" cm="1">
        <f t="array" ref="AP12">IFERROR(INDEX($E$2:$E$118, SMALL(IF($A$2:$A$118=AP$2, ROW($E$2:$E$118)-ROW($E$2)+1), ROWS($S$3:AP12))), "")</f>
        <v/>
      </c>
      <c r="AQ12" s="224" cm="1">
        <f t="array" ref="AQ12">IFERROR(INDEX($E$2:$E$118, SMALL(IF($A$2:$A$118=AQ$2, ROW($E$2:$E$118)-ROW($E$2)+1), ROWS($S$3:AQ12))), "")</f>
        <v>183</v>
      </c>
      <c r="AR12" s="224" cm="1">
        <f t="array" ref="AR12">IFERROR(INDEX($E$2:$E$118, SMALL(IF($A$2:$A$118=AR$2, ROW($E$2:$E$118)-ROW($E$2)+1), ROWS($S$3:AR12))), "")</f>
        <v>183</v>
      </c>
    </row>
    <row r="13" spans="1:44">
      <c r="A13" s="45" t="s">
        <v>578</v>
      </c>
      <c r="B13" s="45" t="s">
        <v>196</v>
      </c>
      <c r="C13" s="230">
        <f>VLOOKUP(B13, 'S08 ABC Output'!$A$3:$C$18, 3, 0)</f>
        <v>36502</v>
      </c>
      <c r="D13" s="230">
        <f>VLOOKUP(B13, 'S12 Operations'!$C$2:$H$534, 6, 0)</f>
        <v>200</v>
      </c>
      <c r="E13" s="230">
        <f t="shared" si="2"/>
        <v>183</v>
      </c>
      <c r="F13" s="230">
        <f>VLOOKUP(A13, 'S11 Work Stations'!$A$2:$C$45, 3, 0)</f>
        <v>30</v>
      </c>
      <c r="G13" s="230">
        <f>VLOOKUP(B13&amp;"-"&amp;A13, 'S12 Operations'!$A$2:$G$534, 7, 0)</f>
        <v>540</v>
      </c>
      <c r="H13" s="229">
        <f t="shared" si="3"/>
        <v>9</v>
      </c>
      <c r="I13" s="229">
        <f t="shared" si="4"/>
        <v>334008</v>
      </c>
      <c r="J13" s="230">
        <f t="shared" si="5"/>
        <v>5567</v>
      </c>
      <c r="L13">
        <f t="shared" si="6"/>
        <v>4</v>
      </c>
      <c r="M13">
        <f t="shared" si="0"/>
        <v>129</v>
      </c>
      <c r="N13">
        <f t="shared" si="1"/>
        <v>1078</v>
      </c>
      <c r="O13">
        <f t="shared" si="7"/>
        <v>6</v>
      </c>
      <c r="Q13" s="214" t="str" cm="1">
        <f t="array" ref="Q13">INDEX($A$2:$A$118,MATCH(0,COUNTIF($Q$1:Q12,$A$2:$A$118),0))</f>
        <v>WS-25</v>
      </c>
      <c r="S13" s="224" t="str" cm="1">
        <f t="array" ref="S13">IFERROR(INDEX($E$2:$E$118, SMALL(IF($A$2:$A$118=S$2, ROW($E$2:$E$118)-ROW($E$2)+1), ROWS($S$3:S13))), "")</f>
        <v/>
      </c>
      <c r="T13" s="224" t="str" cm="1">
        <f t="array" ref="T13">IFERROR(INDEX($E$2:$E$118, SMALL(IF($A$2:$A$118=T$2, ROW($E$2:$E$118)-ROW($E$2)+1), ROWS($S$3:T13))), "")</f>
        <v/>
      </c>
      <c r="U13" s="224" t="str" cm="1">
        <f t="array" ref="U13">IFERROR(INDEX($E$2:$E$118, SMALL(IF($A$2:$A$118=U$2, ROW($E$2:$E$118)-ROW($E$2)+1), ROWS($S$3:U13))), "")</f>
        <v/>
      </c>
      <c r="V13" s="224" t="str" cm="1">
        <f t="array" ref="V13">IFERROR(INDEX($E$2:$E$118, SMALL(IF($A$2:$A$118=V$2, ROW($E$2:$E$118)-ROW($E$2)+1), ROWS($S$3:V13))), "")</f>
        <v/>
      </c>
      <c r="W13" s="224" t="str" cm="1">
        <f t="array" ref="W13">IFERROR(INDEX($E$2:$E$118, SMALL(IF($A$2:$A$118=W$2, ROW($E$2:$E$118)-ROW($E$2)+1), ROWS($S$3:W13))), "")</f>
        <v/>
      </c>
      <c r="X13" s="224" t="str" cm="1">
        <f t="array" ref="X13">IFERROR(INDEX($E$2:$E$118, SMALL(IF($A$2:$A$118=X$2, ROW($E$2:$E$118)-ROW($E$2)+1), ROWS($S$3:X13))), "")</f>
        <v/>
      </c>
      <c r="Y13" s="224" t="str" cm="1">
        <f t="array" ref="Y13">IFERROR(INDEX($E$2:$E$118, SMALL(IF($A$2:$A$118=Y$2, ROW($E$2:$E$118)-ROW($E$2)+1), ROWS($S$3:Y13))), "")</f>
        <v/>
      </c>
      <c r="Z13" s="224" t="str" cm="1">
        <f t="array" ref="Z13">IFERROR(INDEX($E$2:$E$118, SMALL(IF($A$2:$A$118=Z$2, ROW($E$2:$E$118)-ROW($E$2)+1), ROWS($S$3:Z13))), "")</f>
        <v/>
      </c>
      <c r="AA13" s="224" t="str" cm="1">
        <f t="array" ref="AA13">IFERROR(INDEX($E$2:$E$118, SMALL(IF($A$2:$A$118=AA$2, ROW($E$2:$E$118)-ROW($E$2)+1), ROWS($S$3:AA13))), "")</f>
        <v/>
      </c>
      <c r="AB13" s="224" t="str" cm="1">
        <f t="array" ref="AB13">IFERROR(INDEX($E$2:$E$118, SMALL(IF($A$2:$A$118=AB$2, ROW($E$2:$E$118)-ROW($E$2)+1), ROWS($S$3:AB13))), "")</f>
        <v/>
      </c>
      <c r="AC13" s="224" t="str" cm="1">
        <f t="array" ref="AC13">IFERROR(INDEX($E$2:$E$118, SMALL(IF($A$2:$A$118=AC$2, ROW($E$2:$E$118)-ROW($E$2)+1), ROWS($S$3:AC13))), "")</f>
        <v/>
      </c>
      <c r="AD13" s="224" t="str" cm="1">
        <f t="array" ref="AD13">IFERROR(INDEX($E$2:$E$118, SMALL(IF($A$2:$A$118=AD$2, ROW($E$2:$E$118)-ROW($E$2)+1), ROWS($S$3:AD13))), "")</f>
        <v/>
      </c>
      <c r="AE13" s="224" t="str" cm="1">
        <f t="array" ref="AE13">IFERROR(INDEX($E$2:$E$118, SMALL(IF($A$2:$A$118=AE$2, ROW($E$2:$E$118)-ROW($E$2)+1), ROWS($S$3:AE13))), "")</f>
        <v/>
      </c>
      <c r="AF13" s="224" t="str" cm="1">
        <f t="array" ref="AF13">IFERROR(INDEX($E$2:$E$118, SMALL(IF($A$2:$A$118=AF$2, ROW($E$2:$E$118)-ROW($E$2)+1), ROWS($S$3:AF13))), "")</f>
        <v/>
      </c>
      <c r="AG13" s="224" t="str" cm="1">
        <f t="array" ref="AG13">IFERROR(INDEX($E$2:$E$118, SMALL(IF($A$2:$A$118=AG$2, ROW($E$2:$E$118)-ROW($E$2)+1), ROWS($S$3:AG13))), "")</f>
        <v/>
      </c>
      <c r="AH13" s="224" t="str" cm="1">
        <f t="array" ref="AH13">IFERROR(INDEX($E$2:$E$118, SMALL(IF($A$2:$A$118=AH$2, ROW($E$2:$E$118)-ROW($E$2)+1), ROWS($S$3:AH13))), "")</f>
        <v/>
      </c>
      <c r="AI13" s="224" t="str" cm="1">
        <f t="array" ref="AI13">IFERROR(INDEX($E$2:$E$118, SMALL(IF($A$2:$A$118=AI$2, ROW($E$2:$E$118)-ROW($E$2)+1), ROWS($S$3:AI13))), "")</f>
        <v/>
      </c>
      <c r="AJ13" s="224" t="str" cm="1">
        <f t="array" ref="AJ13">IFERROR(INDEX($E$2:$E$118, SMALL(IF($A$2:$A$118=AJ$2, ROW($E$2:$E$118)-ROW($E$2)+1), ROWS($S$3:AJ13))), "")</f>
        <v/>
      </c>
      <c r="AK13" s="224" t="str" cm="1">
        <f t="array" ref="AK13">IFERROR(INDEX($E$2:$E$118, SMALL(IF($A$2:$A$118=AK$2, ROW($E$2:$E$118)-ROW($E$2)+1), ROWS($S$3:AK13))), "")</f>
        <v/>
      </c>
      <c r="AL13" s="224" t="str" cm="1">
        <f t="array" ref="AL13">IFERROR(INDEX($E$2:$E$118, SMALL(IF($A$2:$A$118=AL$2, ROW($E$2:$E$118)-ROW($E$2)+1), ROWS($S$3:AL13))), "")</f>
        <v/>
      </c>
      <c r="AM13" s="224" t="str" cm="1">
        <f t="array" ref="AM13">IFERROR(INDEX($E$2:$E$118, SMALL(IF($A$2:$A$118=AM$2, ROW($E$2:$E$118)-ROW($E$2)+1), ROWS($S$3:AM13))), "")</f>
        <v/>
      </c>
      <c r="AN13" s="224" t="str" cm="1">
        <f t="array" ref="AN13">IFERROR(INDEX($E$2:$E$118, SMALL(IF($A$2:$A$118=AN$2, ROW($E$2:$E$118)-ROW($E$2)+1), ROWS($S$3:AN13))), "")</f>
        <v/>
      </c>
      <c r="AO13" s="224" t="str" cm="1">
        <f t="array" ref="AO13">IFERROR(INDEX($E$2:$E$118, SMALL(IF($A$2:$A$118=AO$2, ROW($E$2:$E$118)-ROW($E$2)+1), ROWS($S$3:AO13))), "")</f>
        <v/>
      </c>
      <c r="AP13" s="224" t="str" cm="1">
        <f t="array" ref="AP13">IFERROR(INDEX($E$2:$E$118, SMALL(IF($A$2:$A$118=AP$2, ROW($E$2:$E$118)-ROW($E$2)+1), ROWS($S$3:AP13))), "")</f>
        <v/>
      </c>
      <c r="AQ13" s="224" cm="1">
        <f t="array" ref="AQ13">IFERROR(INDEX($E$2:$E$118, SMALL(IF($A$2:$A$118=AQ$2, ROW($E$2:$E$118)-ROW($E$2)+1), ROWS($S$3:AQ13))), "")</f>
        <v>183</v>
      </c>
      <c r="AR13" s="224" cm="1">
        <f t="array" ref="AR13">IFERROR(INDEX($E$2:$E$118, SMALL(IF($A$2:$A$118=AR$2, ROW($E$2:$E$118)-ROW($E$2)+1), ROWS($S$3:AR13))), "")</f>
        <v>183</v>
      </c>
    </row>
    <row r="14" spans="1:44">
      <c r="A14" s="45" t="s">
        <v>578</v>
      </c>
      <c r="B14" s="45" t="s">
        <v>202</v>
      </c>
      <c r="C14" s="230">
        <f>VLOOKUP(B14, 'S08 ABC Output'!$A$3:$C$18, 3, 0)</f>
        <v>25649</v>
      </c>
      <c r="D14" s="230">
        <f>VLOOKUP(B14, 'S12 Operations'!$C$2:$H$534, 6, 0)</f>
        <v>200</v>
      </c>
      <c r="E14" s="230">
        <f t="shared" si="2"/>
        <v>129</v>
      </c>
      <c r="F14" s="230">
        <f>VLOOKUP(A14, 'S11 Work Stations'!$A$2:$C$45, 3, 0)</f>
        <v>30</v>
      </c>
      <c r="G14" s="230">
        <f>VLOOKUP(B14&amp;"-"&amp;A14, 'S12 Operations'!$A$2:$G$534, 7, 0)</f>
        <v>840</v>
      </c>
      <c r="H14" s="229">
        <f t="shared" si="3"/>
        <v>14</v>
      </c>
      <c r="I14" s="229">
        <f t="shared" si="4"/>
        <v>362956</v>
      </c>
      <c r="J14" s="230">
        <f t="shared" si="5"/>
        <v>6049</v>
      </c>
      <c r="L14">
        <f t="shared" si="6"/>
        <v>6</v>
      </c>
      <c r="M14">
        <f t="shared" si="0"/>
        <v>129</v>
      </c>
      <c r="N14">
        <f t="shared" si="1"/>
        <v>1078</v>
      </c>
      <c r="O14">
        <f t="shared" si="7"/>
        <v>6</v>
      </c>
      <c r="Q14" s="214" t="str" cm="1">
        <f t="array" ref="Q14">INDEX($A$2:$A$118,MATCH(0,COUNTIF($Q$1:Q13,$A$2:$A$118),0))</f>
        <v>WS-26</v>
      </c>
      <c r="S14" s="224" t="str" cm="1">
        <f t="array" ref="S14">IFERROR(INDEX($E$2:$E$118, SMALL(IF($A$2:$A$118=S$2, ROW($E$2:$E$118)-ROW($E$2)+1), ROWS($S$3:S14))), "")</f>
        <v/>
      </c>
      <c r="T14" s="224" t="str" cm="1">
        <f t="array" ref="T14">IFERROR(INDEX($E$2:$E$118, SMALL(IF($A$2:$A$118=T$2, ROW($E$2:$E$118)-ROW($E$2)+1), ROWS($S$3:T14))), "")</f>
        <v/>
      </c>
      <c r="U14" s="224" t="str" cm="1">
        <f t="array" ref="U14">IFERROR(INDEX($E$2:$E$118, SMALL(IF($A$2:$A$118=U$2, ROW($E$2:$E$118)-ROW($E$2)+1), ROWS($S$3:U14))), "")</f>
        <v/>
      </c>
      <c r="V14" s="224" t="str" cm="1">
        <f t="array" ref="V14">IFERROR(INDEX($E$2:$E$118, SMALL(IF($A$2:$A$118=V$2, ROW($E$2:$E$118)-ROW($E$2)+1), ROWS($S$3:V14))), "")</f>
        <v/>
      </c>
      <c r="W14" s="224" t="str" cm="1">
        <f t="array" ref="W14">IFERROR(INDEX($E$2:$E$118, SMALL(IF($A$2:$A$118=W$2, ROW($E$2:$E$118)-ROW($E$2)+1), ROWS($S$3:W14))), "")</f>
        <v/>
      </c>
      <c r="X14" s="224" t="str" cm="1">
        <f t="array" ref="X14">IFERROR(INDEX($E$2:$E$118, SMALL(IF($A$2:$A$118=X$2, ROW($E$2:$E$118)-ROW($E$2)+1), ROWS($S$3:X14))), "")</f>
        <v/>
      </c>
      <c r="Y14" s="224" t="str" cm="1">
        <f t="array" ref="Y14">IFERROR(INDEX($E$2:$E$118, SMALL(IF($A$2:$A$118=Y$2, ROW($E$2:$E$118)-ROW($E$2)+1), ROWS($S$3:Y14))), "")</f>
        <v/>
      </c>
      <c r="Z14" s="224" t="str" cm="1">
        <f t="array" ref="Z14">IFERROR(INDEX($E$2:$E$118, SMALL(IF($A$2:$A$118=Z$2, ROW($E$2:$E$118)-ROW($E$2)+1), ROWS($S$3:Z14))), "")</f>
        <v/>
      </c>
      <c r="AA14" s="224" t="str" cm="1">
        <f t="array" ref="AA14">IFERROR(INDEX($E$2:$E$118, SMALL(IF($A$2:$A$118=AA$2, ROW($E$2:$E$118)-ROW($E$2)+1), ROWS($S$3:AA14))), "")</f>
        <v/>
      </c>
      <c r="AB14" s="224" t="str" cm="1">
        <f t="array" ref="AB14">IFERROR(INDEX($E$2:$E$118, SMALL(IF($A$2:$A$118=AB$2, ROW($E$2:$E$118)-ROW($E$2)+1), ROWS($S$3:AB14))), "")</f>
        <v/>
      </c>
      <c r="AC14" s="224" t="str" cm="1">
        <f t="array" ref="AC14">IFERROR(INDEX($E$2:$E$118, SMALL(IF($A$2:$A$118=AC$2, ROW($E$2:$E$118)-ROW($E$2)+1), ROWS($S$3:AC14))), "")</f>
        <v/>
      </c>
      <c r="AD14" s="224" t="str" cm="1">
        <f t="array" ref="AD14">IFERROR(INDEX($E$2:$E$118, SMALL(IF($A$2:$A$118=AD$2, ROW($E$2:$E$118)-ROW($E$2)+1), ROWS($S$3:AD14))), "")</f>
        <v/>
      </c>
      <c r="AE14" s="224" t="str" cm="1">
        <f t="array" ref="AE14">IFERROR(INDEX($E$2:$E$118, SMALL(IF($A$2:$A$118=AE$2, ROW($E$2:$E$118)-ROW($E$2)+1), ROWS($S$3:AE14))), "")</f>
        <v/>
      </c>
      <c r="AF14" s="224" t="str" cm="1">
        <f t="array" ref="AF14">IFERROR(INDEX($E$2:$E$118, SMALL(IF($A$2:$A$118=AF$2, ROW($E$2:$E$118)-ROW($E$2)+1), ROWS($S$3:AF14))), "")</f>
        <v/>
      </c>
      <c r="AG14" s="224" t="str" cm="1">
        <f t="array" ref="AG14">IFERROR(INDEX($E$2:$E$118, SMALL(IF($A$2:$A$118=AG$2, ROW($E$2:$E$118)-ROW($E$2)+1), ROWS($S$3:AG14))), "")</f>
        <v/>
      </c>
      <c r="AH14" s="224" t="str" cm="1">
        <f t="array" ref="AH14">IFERROR(INDEX($E$2:$E$118, SMALL(IF($A$2:$A$118=AH$2, ROW($E$2:$E$118)-ROW($E$2)+1), ROWS($S$3:AH14))), "")</f>
        <v/>
      </c>
      <c r="AI14" s="224" t="str" cm="1">
        <f t="array" ref="AI14">IFERROR(INDEX($E$2:$E$118, SMALL(IF($A$2:$A$118=AI$2, ROW($E$2:$E$118)-ROW($E$2)+1), ROWS($S$3:AI14))), "")</f>
        <v/>
      </c>
      <c r="AJ14" s="224" t="str" cm="1">
        <f t="array" ref="AJ14">IFERROR(INDEX($E$2:$E$118, SMALL(IF($A$2:$A$118=AJ$2, ROW($E$2:$E$118)-ROW($E$2)+1), ROWS($S$3:AJ14))), "")</f>
        <v/>
      </c>
      <c r="AK14" s="224" t="str" cm="1">
        <f t="array" ref="AK14">IFERROR(INDEX($E$2:$E$118, SMALL(IF($A$2:$A$118=AK$2, ROW($E$2:$E$118)-ROW($E$2)+1), ROWS($S$3:AK14))), "")</f>
        <v/>
      </c>
      <c r="AL14" s="224" t="str" cm="1">
        <f t="array" ref="AL14">IFERROR(INDEX($E$2:$E$118, SMALL(IF($A$2:$A$118=AL$2, ROW($E$2:$E$118)-ROW($E$2)+1), ROWS($S$3:AL14))), "")</f>
        <v/>
      </c>
      <c r="AM14" s="224" t="str" cm="1">
        <f t="array" ref="AM14">IFERROR(INDEX($E$2:$E$118, SMALL(IF($A$2:$A$118=AM$2, ROW($E$2:$E$118)-ROW($E$2)+1), ROWS($S$3:AM14))), "")</f>
        <v/>
      </c>
      <c r="AN14" s="224" t="str" cm="1">
        <f t="array" ref="AN14">IFERROR(INDEX($E$2:$E$118, SMALL(IF($A$2:$A$118=AN$2, ROW($E$2:$E$118)-ROW($E$2)+1), ROWS($S$3:AN14))), "")</f>
        <v/>
      </c>
      <c r="AO14" s="224" t="str" cm="1">
        <f t="array" ref="AO14">IFERROR(INDEX($E$2:$E$118, SMALL(IF($A$2:$A$118=AO$2, ROW($E$2:$E$118)-ROW($E$2)+1), ROWS($S$3:AO14))), "")</f>
        <v/>
      </c>
      <c r="AP14" s="224" t="str" cm="1">
        <f t="array" ref="AP14">IFERROR(INDEX($E$2:$E$118, SMALL(IF($A$2:$A$118=AP$2, ROW($E$2:$E$118)-ROW($E$2)+1), ROWS($S$3:AP14))), "")</f>
        <v/>
      </c>
      <c r="AQ14" s="224" cm="1">
        <f t="array" ref="AQ14">IFERROR(INDEX($E$2:$E$118, SMALL(IF($A$2:$A$118=AQ$2, ROW($E$2:$E$118)-ROW($E$2)+1), ROWS($S$3:AQ14))), "")</f>
        <v>129</v>
      </c>
      <c r="AR14" s="224" cm="1">
        <f t="array" ref="AR14">IFERROR(INDEX($E$2:$E$118, SMALL(IF($A$2:$A$118=AR$2, ROW($E$2:$E$118)-ROW($E$2)+1), ROWS($S$3:AR14))), "")</f>
        <v>129</v>
      </c>
    </row>
    <row r="15" spans="1:44">
      <c r="A15" s="45" t="s">
        <v>580</v>
      </c>
      <c r="B15" s="45" t="s">
        <v>180</v>
      </c>
      <c r="C15" s="230">
        <f>VLOOKUP(B15, 'S08 ABC Output'!$A$3:$C$18, 3, 0)</f>
        <v>125036</v>
      </c>
      <c r="D15" s="230">
        <f>VLOOKUP(B15, 'S12 Operations'!$C$2:$H$534, 6, 0)</f>
        <v>200</v>
      </c>
      <c r="E15" s="230">
        <f t="shared" si="2"/>
        <v>626</v>
      </c>
      <c r="F15" s="230">
        <f>VLOOKUP(A15, 'S11 Work Stations'!$A$2:$C$45, 3, 0)</f>
        <v>35</v>
      </c>
      <c r="G15" s="230">
        <f>VLOOKUP(B15&amp;"-"&amp;A15, 'S12 Operations'!$A$2:$G$534, 7, 0)</f>
        <v>300</v>
      </c>
      <c r="H15" s="229">
        <f t="shared" si="3"/>
        <v>5</v>
      </c>
      <c r="I15" s="229">
        <f t="shared" si="4"/>
        <v>643030</v>
      </c>
      <c r="J15" s="230">
        <f t="shared" si="5"/>
        <v>10717</v>
      </c>
      <c r="L15">
        <f t="shared" si="6"/>
        <v>1</v>
      </c>
      <c r="M15">
        <f t="shared" si="0"/>
        <v>129</v>
      </c>
      <c r="N15">
        <f t="shared" si="1"/>
        <v>626</v>
      </c>
      <c r="O15">
        <f t="shared" si="7"/>
        <v>5</v>
      </c>
      <c r="Q15" s="214" t="str" cm="1">
        <f t="array" ref="Q15">INDEX($A$2:$A$118,MATCH(0,COUNTIF($Q$1:Q14,$A$2:$A$118),0))</f>
        <v>WS-27</v>
      </c>
      <c r="S15" s="224" t="str" cm="1">
        <f t="array" ref="S15">IFERROR(INDEX($E$2:$E$118, SMALL(IF($A$2:$A$118=S$2, ROW($E$2:$E$118)-ROW($E$2)+1), ROWS($S$3:S15))), "")</f>
        <v/>
      </c>
      <c r="T15" s="224" t="str" cm="1">
        <f t="array" ref="T15">IFERROR(INDEX($E$2:$E$118, SMALL(IF($A$2:$A$118=T$2, ROW($E$2:$E$118)-ROW($E$2)+1), ROWS($S$3:T15))), "")</f>
        <v/>
      </c>
      <c r="U15" s="224" t="str" cm="1">
        <f t="array" ref="U15">IFERROR(INDEX($E$2:$E$118, SMALL(IF($A$2:$A$118=U$2, ROW($E$2:$E$118)-ROW($E$2)+1), ROWS($S$3:U15))), "")</f>
        <v/>
      </c>
      <c r="V15" s="224" t="str" cm="1">
        <f t="array" ref="V15">IFERROR(INDEX($E$2:$E$118, SMALL(IF($A$2:$A$118=V$2, ROW($E$2:$E$118)-ROW($E$2)+1), ROWS($S$3:V15))), "")</f>
        <v/>
      </c>
      <c r="W15" s="224" t="str" cm="1">
        <f t="array" ref="W15">IFERROR(INDEX($E$2:$E$118, SMALL(IF($A$2:$A$118=W$2, ROW($E$2:$E$118)-ROW($E$2)+1), ROWS($S$3:W15))), "")</f>
        <v/>
      </c>
      <c r="X15" s="224" t="str" cm="1">
        <f t="array" ref="X15">IFERROR(INDEX($E$2:$E$118, SMALL(IF($A$2:$A$118=X$2, ROW($E$2:$E$118)-ROW($E$2)+1), ROWS($S$3:X15))), "")</f>
        <v/>
      </c>
      <c r="Y15" s="224" t="str" cm="1">
        <f t="array" ref="Y15">IFERROR(INDEX($E$2:$E$118, SMALL(IF($A$2:$A$118=Y$2, ROW($E$2:$E$118)-ROW($E$2)+1), ROWS($S$3:Y15))), "")</f>
        <v/>
      </c>
      <c r="Z15" s="224" t="str" cm="1">
        <f t="array" ref="Z15">IFERROR(INDEX($E$2:$E$118, SMALL(IF($A$2:$A$118=Z$2, ROW($E$2:$E$118)-ROW($E$2)+1), ROWS($S$3:Z15))), "")</f>
        <v/>
      </c>
      <c r="AA15" s="224" t="str" cm="1">
        <f t="array" ref="AA15">IFERROR(INDEX($E$2:$E$118, SMALL(IF($A$2:$A$118=AA$2, ROW($E$2:$E$118)-ROW($E$2)+1), ROWS($S$3:AA15))), "")</f>
        <v/>
      </c>
      <c r="AB15" s="224" t="str" cm="1">
        <f t="array" ref="AB15">IFERROR(INDEX($E$2:$E$118, SMALL(IF($A$2:$A$118=AB$2, ROW($E$2:$E$118)-ROW($E$2)+1), ROWS($S$3:AB15))), "")</f>
        <v/>
      </c>
      <c r="AC15" s="224" t="str" cm="1">
        <f t="array" ref="AC15">IFERROR(INDEX($E$2:$E$118, SMALL(IF($A$2:$A$118=AC$2, ROW($E$2:$E$118)-ROW($E$2)+1), ROWS($S$3:AC15))), "")</f>
        <v/>
      </c>
      <c r="AD15" s="224" t="str" cm="1">
        <f t="array" ref="AD15">IFERROR(INDEX($E$2:$E$118, SMALL(IF($A$2:$A$118=AD$2, ROW($E$2:$E$118)-ROW($E$2)+1), ROWS($S$3:AD15))), "")</f>
        <v/>
      </c>
      <c r="AE15" s="224" t="str" cm="1">
        <f t="array" ref="AE15">IFERROR(INDEX($E$2:$E$118, SMALL(IF($A$2:$A$118=AE$2, ROW($E$2:$E$118)-ROW($E$2)+1), ROWS($S$3:AE15))), "")</f>
        <v/>
      </c>
      <c r="AF15" s="224" t="str" cm="1">
        <f t="array" ref="AF15">IFERROR(INDEX($E$2:$E$118, SMALL(IF($A$2:$A$118=AF$2, ROW($E$2:$E$118)-ROW($E$2)+1), ROWS($S$3:AF15))), "")</f>
        <v/>
      </c>
      <c r="AG15" s="224" t="str" cm="1">
        <f t="array" ref="AG15">IFERROR(INDEX($E$2:$E$118, SMALL(IF($A$2:$A$118=AG$2, ROW($E$2:$E$118)-ROW($E$2)+1), ROWS($S$3:AG15))), "")</f>
        <v/>
      </c>
      <c r="AH15" s="224" t="str" cm="1">
        <f t="array" ref="AH15">IFERROR(INDEX($E$2:$E$118, SMALL(IF($A$2:$A$118=AH$2, ROW($E$2:$E$118)-ROW($E$2)+1), ROWS($S$3:AH15))), "")</f>
        <v/>
      </c>
      <c r="AI15" s="224" t="str" cm="1">
        <f t="array" ref="AI15">IFERROR(INDEX($E$2:$E$118, SMALL(IF($A$2:$A$118=AI$2, ROW($E$2:$E$118)-ROW($E$2)+1), ROWS($S$3:AI15))), "")</f>
        <v/>
      </c>
      <c r="AJ15" s="224" t="str" cm="1">
        <f t="array" ref="AJ15">IFERROR(INDEX($E$2:$E$118, SMALL(IF($A$2:$A$118=AJ$2, ROW($E$2:$E$118)-ROW($E$2)+1), ROWS($S$3:AJ15))), "")</f>
        <v/>
      </c>
      <c r="AK15" s="224" t="str" cm="1">
        <f t="array" ref="AK15">IFERROR(INDEX($E$2:$E$118, SMALL(IF($A$2:$A$118=AK$2, ROW($E$2:$E$118)-ROW($E$2)+1), ROWS($S$3:AK15))), "")</f>
        <v/>
      </c>
      <c r="AL15" s="224" t="str" cm="1">
        <f t="array" ref="AL15">IFERROR(INDEX($E$2:$E$118, SMALL(IF($A$2:$A$118=AL$2, ROW($E$2:$E$118)-ROW($E$2)+1), ROWS($S$3:AL15))), "")</f>
        <v/>
      </c>
      <c r="AM15" s="224" t="str" cm="1">
        <f t="array" ref="AM15">IFERROR(INDEX($E$2:$E$118, SMALL(IF($A$2:$A$118=AM$2, ROW($E$2:$E$118)-ROW($E$2)+1), ROWS($S$3:AM15))), "")</f>
        <v/>
      </c>
      <c r="AN15" s="224" t="str" cm="1">
        <f t="array" ref="AN15">IFERROR(INDEX($E$2:$E$118, SMALL(IF($A$2:$A$118=AN$2, ROW($E$2:$E$118)-ROW($E$2)+1), ROWS($S$3:AN15))), "")</f>
        <v/>
      </c>
      <c r="AO15" s="224" t="str" cm="1">
        <f t="array" ref="AO15">IFERROR(INDEX($E$2:$E$118, SMALL(IF($A$2:$A$118=AO$2, ROW($E$2:$E$118)-ROW($E$2)+1), ROWS($S$3:AO15))), "")</f>
        <v/>
      </c>
      <c r="AP15" s="224" t="str" cm="1">
        <f t="array" ref="AP15">IFERROR(INDEX($E$2:$E$118, SMALL(IF($A$2:$A$118=AP$2, ROW($E$2:$E$118)-ROW($E$2)+1), ROWS($S$3:AP15))), "")</f>
        <v/>
      </c>
      <c r="AQ15" s="224" cm="1">
        <f t="array" ref="AQ15">IFERROR(INDEX($E$2:$E$118, SMALL(IF($A$2:$A$118=AQ$2, ROW($E$2:$E$118)-ROW($E$2)+1), ROWS($S$3:AQ15))), "")</f>
        <v>129</v>
      </c>
      <c r="AR15" s="224" cm="1">
        <f t="array" ref="AR15">IFERROR(INDEX($E$2:$E$118, SMALL(IF($A$2:$A$118=AR$2, ROW($E$2:$E$118)-ROW($E$2)+1), ROWS($S$3:AR15))), "")</f>
        <v>129</v>
      </c>
    </row>
    <row r="16" spans="1:44">
      <c r="A16" s="45" t="s">
        <v>580</v>
      </c>
      <c r="B16" s="45" t="s">
        <v>184</v>
      </c>
      <c r="C16" s="230">
        <f>VLOOKUP(B16, 'S08 ABC Output'!$A$3:$C$18, 3, 0)</f>
        <v>85612</v>
      </c>
      <c r="D16" s="230">
        <f>VLOOKUP(B16, 'S12 Operations'!$C$2:$H$534, 6, 0)</f>
        <v>200</v>
      </c>
      <c r="E16" s="230">
        <f t="shared" si="2"/>
        <v>429</v>
      </c>
      <c r="F16" s="230">
        <f>VLOOKUP(A16, 'S11 Work Stations'!$A$2:$C$45, 3, 0)</f>
        <v>35</v>
      </c>
      <c r="G16" s="230">
        <f>VLOOKUP(B16&amp;"-"&amp;A16, 'S12 Operations'!$A$2:$G$534, 7, 0)</f>
        <v>420</v>
      </c>
      <c r="H16" s="229">
        <f t="shared" si="3"/>
        <v>7</v>
      </c>
      <c r="I16" s="229">
        <f t="shared" si="4"/>
        <v>614299</v>
      </c>
      <c r="J16" s="230">
        <f t="shared" si="5"/>
        <v>10238</v>
      </c>
      <c r="L16">
        <f t="shared" si="6"/>
        <v>3</v>
      </c>
      <c r="M16">
        <f t="shared" si="0"/>
        <v>129</v>
      </c>
      <c r="N16">
        <f t="shared" si="1"/>
        <v>626</v>
      </c>
      <c r="O16">
        <f t="shared" si="7"/>
        <v>5</v>
      </c>
      <c r="Q16" s="214" t="str" cm="1">
        <f t="array" ref="Q16">INDEX($A$2:$A$118,MATCH(0,COUNTIF($Q$1:Q15,$A$2:$A$118),0))</f>
        <v>WS-28</v>
      </c>
      <c r="S16" s="224" t="str" cm="1">
        <f t="array" ref="S16">IFERROR(INDEX($E$2:$E$118, SMALL(IF($A$2:$A$118=S$2, ROW($E$2:$E$118)-ROW($E$2)+1), ROWS($S$3:S16))), "")</f>
        <v/>
      </c>
      <c r="T16" s="224" t="str" cm="1">
        <f t="array" ref="T16">IFERROR(INDEX($E$2:$E$118, SMALL(IF($A$2:$A$118=T$2, ROW($E$2:$E$118)-ROW($E$2)+1), ROWS($S$3:T16))), "")</f>
        <v/>
      </c>
      <c r="U16" s="224" t="str" cm="1">
        <f t="array" ref="U16">IFERROR(INDEX($E$2:$E$118, SMALL(IF($A$2:$A$118=U$2, ROW($E$2:$E$118)-ROW($E$2)+1), ROWS($S$3:U16))), "")</f>
        <v/>
      </c>
      <c r="V16" s="224" t="str" cm="1">
        <f t="array" ref="V16">IFERROR(INDEX($E$2:$E$118, SMALL(IF($A$2:$A$118=V$2, ROW($E$2:$E$118)-ROW($E$2)+1), ROWS($S$3:V16))), "")</f>
        <v/>
      </c>
      <c r="W16" s="224" t="str" cm="1">
        <f t="array" ref="W16">IFERROR(INDEX($E$2:$E$118, SMALL(IF($A$2:$A$118=W$2, ROW($E$2:$E$118)-ROW($E$2)+1), ROWS($S$3:W16))), "")</f>
        <v/>
      </c>
      <c r="X16" s="224" t="str" cm="1">
        <f t="array" ref="X16">IFERROR(INDEX($E$2:$E$118, SMALL(IF($A$2:$A$118=X$2, ROW($E$2:$E$118)-ROW($E$2)+1), ROWS($S$3:X16))), "")</f>
        <v/>
      </c>
      <c r="Y16" s="224" t="str" cm="1">
        <f t="array" ref="Y16">IFERROR(INDEX($E$2:$E$118, SMALL(IF($A$2:$A$118=Y$2, ROW($E$2:$E$118)-ROW($E$2)+1), ROWS($S$3:Y16))), "")</f>
        <v/>
      </c>
      <c r="Z16" s="224" t="str" cm="1">
        <f t="array" ref="Z16">IFERROR(INDEX($E$2:$E$118, SMALL(IF($A$2:$A$118=Z$2, ROW($E$2:$E$118)-ROW($E$2)+1), ROWS($S$3:Z16))), "")</f>
        <v/>
      </c>
      <c r="AA16" s="224" t="str" cm="1">
        <f t="array" ref="AA16">IFERROR(INDEX($E$2:$E$118, SMALL(IF($A$2:$A$118=AA$2, ROW($E$2:$E$118)-ROW($E$2)+1), ROWS($S$3:AA16))), "")</f>
        <v/>
      </c>
      <c r="AB16" s="224" t="str" cm="1">
        <f t="array" ref="AB16">IFERROR(INDEX($E$2:$E$118, SMALL(IF($A$2:$A$118=AB$2, ROW($E$2:$E$118)-ROW($E$2)+1), ROWS($S$3:AB16))), "")</f>
        <v/>
      </c>
      <c r="AC16" s="224" t="str" cm="1">
        <f t="array" ref="AC16">IFERROR(INDEX($E$2:$E$118, SMALL(IF($A$2:$A$118=AC$2, ROW($E$2:$E$118)-ROW($E$2)+1), ROWS($S$3:AC16))), "")</f>
        <v/>
      </c>
      <c r="AD16" s="224" t="str" cm="1">
        <f t="array" ref="AD16">IFERROR(INDEX($E$2:$E$118, SMALL(IF($A$2:$A$118=AD$2, ROW($E$2:$E$118)-ROW($E$2)+1), ROWS($S$3:AD16))), "")</f>
        <v/>
      </c>
      <c r="AE16" s="224" t="str" cm="1">
        <f t="array" ref="AE16">IFERROR(INDEX($E$2:$E$118, SMALL(IF($A$2:$A$118=AE$2, ROW($E$2:$E$118)-ROW($E$2)+1), ROWS($S$3:AE16))), "")</f>
        <v/>
      </c>
      <c r="AF16" s="224" t="str" cm="1">
        <f t="array" ref="AF16">IFERROR(INDEX($E$2:$E$118, SMALL(IF($A$2:$A$118=AF$2, ROW($E$2:$E$118)-ROW($E$2)+1), ROWS($S$3:AF16))), "")</f>
        <v/>
      </c>
      <c r="AG16" s="224" t="str" cm="1">
        <f t="array" ref="AG16">IFERROR(INDEX($E$2:$E$118, SMALL(IF($A$2:$A$118=AG$2, ROW($E$2:$E$118)-ROW($E$2)+1), ROWS($S$3:AG16))), "")</f>
        <v/>
      </c>
      <c r="AH16" s="224" t="str" cm="1">
        <f t="array" ref="AH16">IFERROR(INDEX($E$2:$E$118, SMALL(IF($A$2:$A$118=AH$2, ROW($E$2:$E$118)-ROW($E$2)+1), ROWS($S$3:AH16))), "")</f>
        <v/>
      </c>
      <c r="AI16" s="224" t="str" cm="1">
        <f t="array" ref="AI16">IFERROR(INDEX($E$2:$E$118, SMALL(IF($A$2:$A$118=AI$2, ROW($E$2:$E$118)-ROW($E$2)+1), ROWS($S$3:AI16))), "")</f>
        <v/>
      </c>
      <c r="AJ16" s="224" t="str" cm="1">
        <f t="array" ref="AJ16">IFERROR(INDEX($E$2:$E$118, SMALL(IF($A$2:$A$118=AJ$2, ROW($E$2:$E$118)-ROW($E$2)+1), ROWS($S$3:AJ16))), "")</f>
        <v/>
      </c>
      <c r="AK16" s="224" t="str" cm="1">
        <f t="array" ref="AK16">IFERROR(INDEX($E$2:$E$118, SMALL(IF($A$2:$A$118=AK$2, ROW($E$2:$E$118)-ROW($E$2)+1), ROWS($S$3:AK16))), "")</f>
        <v/>
      </c>
      <c r="AL16" s="224" t="str" cm="1">
        <f t="array" ref="AL16">IFERROR(INDEX($E$2:$E$118, SMALL(IF($A$2:$A$118=AL$2, ROW($E$2:$E$118)-ROW($E$2)+1), ROWS($S$3:AL16))), "")</f>
        <v/>
      </c>
      <c r="AM16" s="224" t="str" cm="1">
        <f t="array" ref="AM16">IFERROR(INDEX($E$2:$E$118, SMALL(IF($A$2:$A$118=AM$2, ROW($E$2:$E$118)-ROW($E$2)+1), ROWS($S$3:AM16))), "")</f>
        <v/>
      </c>
      <c r="AN16" s="224" t="str" cm="1">
        <f t="array" ref="AN16">IFERROR(INDEX($E$2:$E$118, SMALL(IF($A$2:$A$118=AN$2, ROW($E$2:$E$118)-ROW($E$2)+1), ROWS($S$3:AN16))), "")</f>
        <v/>
      </c>
      <c r="AO16" s="224" t="str" cm="1">
        <f t="array" ref="AO16">IFERROR(INDEX($E$2:$E$118, SMALL(IF($A$2:$A$118=AO$2, ROW($E$2:$E$118)-ROW($E$2)+1), ROWS($S$3:AO16))), "")</f>
        <v/>
      </c>
      <c r="AP16" s="224" t="str" cm="1">
        <f t="array" ref="AP16">IFERROR(INDEX($E$2:$E$118, SMALL(IF($A$2:$A$118=AP$2, ROW($E$2:$E$118)-ROW($E$2)+1), ROWS($S$3:AP16))), "")</f>
        <v/>
      </c>
      <c r="AQ16" s="224" cm="1">
        <f t="array" ref="AQ16">IFERROR(INDEX($E$2:$E$118, SMALL(IF($A$2:$A$118=AQ$2, ROW($E$2:$E$118)-ROW($E$2)+1), ROWS($S$3:AQ16))), "")</f>
        <v>129</v>
      </c>
      <c r="AR16" s="224" cm="1">
        <f t="array" ref="AR16">IFERROR(INDEX($E$2:$E$118, SMALL(IF($A$2:$A$118=AR$2, ROW($E$2:$E$118)-ROW($E$2)+1), ROWS($S$3:AR16))), "")</f>
        <v>129</v>
      </c>
    </row>
    <row r="17" spans="1:44">
      <c r="A17" s="45" t="s">
        <v>580</v>
      </c>
      <c r="B17" s="45" t="s">
        <v>190</v>
      </c>
      <c r="C17" s="230">
        <f>VLOOKUP(B17, 'S08 ABC Output'!$A$3:$C$18, 3, 0)</f>
        <v>50689</v>
      </c>
      <c r="D17" s="230">
        <f>VLOOKUP(B17, 'S12 Operations'!$C$2:$H$534, 6, 0)</f>
        <v>200</v>
      </c>
      <c r="E17" s="230">
        <f t="shared" si="2"/>
        <v>254</v>
      </c>
      <c r="F17" s="230">
        <f>VLOOKUP(A17, 'S11 Work Stations'!$A$2:$C$45, 3, 0)</f>
        <v>35</v>
      </c>
      <c r="G17" s="230">
        <f>VLOOKUP(B17&amp;"-"&amp;A17, 'S12 Operations'!$A$2:$G$534, 7, 0)</f>
        <v>600</v>
      </c>
      <c r="H17" s="229">
        <f t="shared" si="3"/>
        <v>10</v>
      </c>
      <c r="I17" s="229">
        <f t="shared" si="4"/>
        <v>515780</v>
      </c>
      <c r="J17" s="230">
        <f t="shared" si="5"/>
        <v>8596</v>
      </c>
      <c r="L17">
        <f t="shared" si="6"/>
        <v>4</v>
      </c>
      <c r="M17">
        <f t="shared" si="0"/>
        <v>129</v>
      </c>
      <c r="N17">
        <f t="shared" si="1"/>
        <v>626</v>
      </c>
      <c r="O17">
        <f t="shared" si="7"/>
        <v>5</v>
      </c>
      <c r="Q17" s="214" t="str" cm="1">
        <f t="array" ref="Q17">INDEX($A$2:$A$118,MATCH(0,COUNTIF($Q$1:Q16,$A$2:$A$118),0))</f>
        <v>WS-29</v>
      </c>
      <c r="S17" s="224" t="str" cm="1">
        <f t="array" ref="S17">IFERROR(INDEX($E$2:$E$118, SMALL(IF($A$2:$A$118=S$2, ROW($E$2:$E$118)-ROW($E$2)+1), ROWS($S$3:S17))), "")</f>
        <v/>
      </c>
      <c r="T17" s="224" t="str" cm="1">
        <f t="array" ref="T17">IFERROR(INDEX($E$2:$E$118, SMALL(IF($A$2:$A$118=T$2, ROW($E$2:$E$118)-ROW($E$2)+1), ROWS($S$3:T17))), "")</f>
        <v/>
      </c>
      <c r="U17" s="224" t="str" cm="1">
        <f t="array" ref="U17">IFERROR(INDEX($E$2:$E$118, SMALL(IF($A$2:$A$118=U$2, ROW($E$2:$E$118)-ROW($E$2)+1), ROWS($S$3:U17))), "")</f>
        <v/>
      </c>
      <c r="V17" s="224" t="str" cm="1">
        <f t="array" ref="V17">IFERROR(INDEX($E$2:$E$118, SMALL(IF($A$2:$A$118=V$2, ROW($E$2:$E$118)-ROW($E$2)+1), ROWS($S$3:V17))), "")</f>
        <v/>
      </c>
      <c r="W17" s="224" t="str" cm="1">
        <f t="array" ref="W17">IFERROR(INDEX($E$2:$E$118, SMALL(IF($A$2:$A$118=W$2, ROW($E$2:$E$118)-ROW($E$2)+1), ROWS($S$3:W17))), "")</f>
        <v/>
      </c>
      <c r="X17" s="224" t="str" cm="1">
        <f t="array" ref="X17">IFERROR(INDEX($E$2:$E$118, SMALL(IF($A$2:$A$118=X$2, ROW($E$2:$E$118)-ROW($E$2)+1), ROWS($S$3:X17))), "")</f>
        <v/>
      </c>
      <c r="Y17" s="224" t="str" cm="1">
        <f t="array" ref="Y17">IFERROR(INDEX($E$2:$E$118, SMALL(IF($A$2:$A$118=Y$2, ROW($E$2:$E$118)-ROW($E$2)+1), ROWS($S$3:Y17))), "")</f>
        <v/>
      </c>
      <c r="Z17" s="224" t="str" cm="1">
        <f t="array" ref="Z17">IFERROR(INDEX($E$2:$E$118, SMALL(IF($A$2:$A$118=Z$2, ROW($E$2:$E$118)-ROW($E$2)+1), ROWS($S$3:Z17))), "")</f>
        <v/>
      </c>
      <c r="AA17" s="224" t="str" cm="1">
        <f t="array" ref="AA17">IFERROR(INDEX($E$2:$E$118, SMALL(IF($A$2:$A$118=AA$2, ROW($E$2:$E$118)-ROW($E$2)+1), ROWS($S$3:AA17))), "")</f>
        <v/>
      </c>
      <c r="AB17" s="224" t="str" cm="1">
        <f t="array" ref="AB17">IFERROR(INDEX($E$2:$E$118, SMALL(IF($A$2:$A$118=AB$2, ROW($E$2:$E$118)-ROW($E$2)+1), ROWS($S$3:AB17))), "")</f>
        <v/>
      </c>
      <c r="AC17" s="224" t="str" cm="1">
        <f t="array" ref="AC17">IFERROR(INDEX($E$2:$E$118, SMALL(IF($A$2:$A$118=AC$2, ROW($E$2:$E$118)-ROW($E$2)+1), ROWS($S$3:AC17))), "")</f>
        <v/>
      </c>
      <c r="AD17" s="224" t="str" cm="1">
        <f t="array" ref="AD17">IFERROR(INDEX($E$2:$E$118, SMALL(IF($A$2:$A$118=AD$2, ROW($E$2:$E$118)-ROW($E$2)+1), ROWS($S$3:AD17))), "")</f>
        <v/>
      </c>
      <c r="AE17" s="224" t="str" cm="1">
        <f t="array" ref="AE17">IFERROR(INDEX($E$2:$E$118, SMALL(IF($A$2:$A$118=AE$2, ROW($E$2:$E$118)-ROW($E$2)+1), ROWS($S$3:AE17))), "")</f>
        <v/>
      </c>
      <c r="AF17" s="224" t="str" cm="1">
        <f t="array" ref="AF17">IFERROR(INDEX($E$2:$E$118, SMALL(IF($A$2:$A$118=AF$2, ROW($E$2:$E$118)-ROW($E$2)+1), ROWS($S$3:AF17))), "")</f>
        <v/>
      </c>
      <c r="AG17" s="224" t="str" cm="1">
        <f t="array" ref="AG17">IFERROR(INDEX($E$2:$E$118, SMALL(IF($A$2:$A$118=AG$2, ROW($E$2:$E$118)-ROW($E$2)+1), ROWS($S$3:AG17))), "")</f>
        <v/>
      </c>
      <c r="AH17" s="224" t="str" cm="1">
        <f t="array" ref="AH17">IFERROR(INDEX($E$2:$E$118, SMALL(IF($A$2:$A$118=AH$2, ROW($E$2:$E$118)-ROW($E$2)+1), ROWS($S$3:AH17))), "")</f>
        <v/>
      </c>
      <c r="AI17" s="224" t="str" cm="1">
        <f t="array" ref="AI17">IFERROR(INDEX($E$2:$E$118, SMALL(IF($A$2:$A$118=AI$2, ROW($E$2:$E$118)-ROW($E$2)+1), ROWS($S$3:AI17))), "")</f>
        <v/>
      </c>
      <c r="AJ17" s="224" t="str" cm="1">
        <f t="array" ref="AJ17">IFERROR(INDEX($E$2:$E$118, SMALL(IF($A$2:$A$118=AJ$2, ROW($E$2:$E$118)-ROW($E$2)+1), ROWS($S$3:AJ17))), "")</f>
        <v/>
      </c>
      <c r="AK17" s="224" t="str" cm="1">
        <f t="array" ref="AK17">IFERROR(INDEX($E$2:$E$118, SMALL(IF($A$2:$A$118=AK$2, ROW($E$2:$E$118)-ROW($E$2)+1), ROWS($S$3:AK17))), "")</f>
        <v/>
      </c>
      <c r="AL17" s="224" t="str" cm="1">
        <f t="array" ref="AL17">IFERROR(INDEX($E$2:$E$118, SMALL(IF($A$2:$A$118=AL$2, ROW($E$2:$E$118)-ROW($E$2)+1), ROWS($S$3:AL17))), "")</f>
        <v/>
      </c>
      <c r="AM17" s="224" t="str" cm="1">
        <f t="array" ref="AM17">IFERROR(INDEX($E$2:$E$118, SMALL(IF($A$2:$A$118=AM$2, ROW($E$2:$E$118)-ROW($E$2)+1), ROWS($S$3:AM17))), "")</f>
        <v/>
      </c>
      <c r="AN17" s="224" t="str" cm="1">
        <f t="array" ref="AN17">IFERROR(INDEX($E$2:$E$118, SMALL(IF($A$2:$A$118=AN$2, ROW($E$2:$E$118)-ROW($E$2)+1), ROWS($S$3:AN17))), "")</f>
        <v/>
      </c>
      <c r="AO17" s="224" t="str" cm="1">
        <f t="array" ref="AO17">IFERROR(INDEX($E$2:$E$118, SMALL(IF($A$2:$A$118=AO$2, ROW($E$2:$E$118)-ROW($E$2)+1), ROWS($S$3:AO17))), "")</f>
        <v/>
      </c>
      <c r="AP17" s="224" t="str" cm="1">
        <f t="array" ref="AP17">IFERROR(INDEX($E$2:$E$118, SMALL(IF($A$2:$A$118=AP$2, ROW($E$2:$E$118)-ROW($E$2)+1), ROWS($S$3:AP17))), "")</f>
        <v/>
      </c>
      <c r="AQ17" s="224" cm="1">
        <f t="array" ref="AQ17">IFERROR(INDEX($E$2:$E$118, SMALL(IF($A$2:$A$118=AQ$2, ROW($E$2:$E$118)-ROW($E$2)+1), ROWS($S$3:AQ17))), "")</f>
        <v>129</v>
      </c>
      <c r="AR17" s="224" cm="1">
        <f t="array" ref="AR17">IFERROR(INDEX($E$2:$E$118, SMALL(IF($A$2:$A$118=AR$2, ROW($E$2:$E$118)-ROW($E$2)+1), ROWS($S$3:AR17))), "")</f>
        <v>129</v>
      </c>
    </row>
    <row r="18" spans="1:44">
      <c r="A18" s="45" t="s">
        <v>580</v>
      </c>
      <c r="B18" s="45" t="s">
        <v>200</v>
      </c>
      <c r="C18" s="230">
        <f>VLOOKUP(B18, 'S08 ABC Output'!$A$3:$C$18, 3, 0)</f>
        <v>25689</v>
      </c>
      <c r="D18" s="230">
        <f>VLOOKUP(B18, 'S12 Operations'!$C$2:$H$534, 6, 0)</f>
        <v>200</v>
      </c>
      <c r="E18" s="230">
        <f t="shared" si="2"/>
        <v>129</v>
      </c>
      <c r="F18" s="230">
        <f>VLOOKUP(A18, 'S11 Work Stations'!$A$2:$C$45, 3, 0)</f>
        <v>35</v>
      </c>
      <c r="G18" s="230">
        <f>VLOOKUP(B18&amp;"-"&amp;A18, 'S12 Operations'!$A$2:$G$534, 7, 0)</f>
        <v>540</v>
      </c>
      <c r="H18" s="229">
        <f t="shared" si="3"/>
        <v>9</v>
      </c>
      <c r="I18" s="229">
        <f t="shared" si="4"/>
        <v>235716</v>
      </c>
      <c r="J18" s="230">
        <f t="shared" si="5"/>
        <v>3929</v>
      </c>
      <c r="L18">
        <f t="shared" si="6"/>
        <v>5</v>
      </c>
      <c r="M18">
        <f t="shared" si="0"/>
        <v>129</v>
      </c>
      <c r="N18">
        <f t="shared" si="1"/>
        <v>626</v>
      </c>
      <c r="O18">
        <f t="shared" si="7"/>
        <v>5</v>
      </c>
      <c r="Q18" s="214" t="str" cm="1">
        <f t="array" ref="Q18">INDEX($A$2:$A$118,MATCH(0,COUNTIF($Q$1:Q17,$A$2:$A$118),0))</f>
        <v>WS-31</v>
      </c>
      <c r="S18" s="224" t="str" cm="1">
        <f t="array" ref="S18">IFERROR(INDEX($E$2:$E$118, SMALL(IF($A$2:$A$118=S$2, ROW($E$2:$E$118)-ROW($E$2)+1), ROWS($S$3:S18))), "")</f>
        <v/>
      </c>
      <c r="T18" s="224" t="str" cm="1">
        <f t="array" ref="T18">IFERROR(INDEX($E$2:$E$118, SMALL(IF($A$2:$A$118=T$2, ROW($E$2:$E$118)-ROW($E$2)+1), ROWS($S$3:T18))), "")</f>
        <v/>
      </c>
      <c r="U18" s="224" t="str" cm="1">
        <f t="array" ref="U18">IFERROR(INDEX($E$2:$E$118, SMALL(IF($A$2:$A$118=U$2, ROW($E$2:$E$118)-ROW($E$2)+1), ROWS($S$3:U18))), "")</f>
        <v/>
      </c>
      <c r="V18" s="224" t="str" cm="1">
        <f t="array" ref="V18">IFERROR(INDEX($E$2:$E$118, SMALL(IF($A$2:$A$118=V$2, ROW($E$2:$E$118)-ROW($E$2)+1), ROWS($S$3:V18))), "")</f>
        <v/>
      </c>
      <c r="W18" s="224" t="str" cm="1">
        <f t="array" ref="W18">IFERROR(INDEX($E$2:$E$118, SMALL(IF($A$2:$A$118=W$2, ROW($E$2:$E$118)-ROW($E$2)+1), ROWS($S$3:W18))), "")</f>
        <v/>
      </c>
      <c r="X18" s="224" t="str" cm="1">
        <f t="array" ref="X18">IFERROR(INDEX($E$2:$E$118, SMALL(IF($A$2:$A$118=X$2, ROW($E$2:$E$118)-ROW($E$2)+1), ROWS($S$3:X18))), "")</f>
        <v/>
      </c>
      <c r="Y18" s="224" t="str" cm="1">
        <f t="array" ref="Y18">IFERROR(INDEX($E$2:$E$118, SMALL(IF($A$2:$A$118=Y$2, ROW($E$2:$E$118)-ROW($E$2)+1), ROWS($S$3:Y18))), "")</f>
        <v/>
      </c>
      <c r="Z18" s="224" t="str" cm="1">
        <f t="array" ref="Z18">IFERROR(INDEX($E$2:$E$118, SMALL(IF($A$2:$A$118=Z$2, ROW($E$2:$E$118)-ROW($E$2)+1), ROWS($S$3:Z18))), "")</f>
        <v/>
      </c>
      <c r="AA18" s="224" t="str" cm="1">
        <f t="array" ref="AA18">IFERROR(INDEX($E$2:$E$118, SMALL(IF($A$2:$A$118=AA$2, ROW($E$2:$E$118)-ROW($E$2)+1), ROWS($S$3:AA18))), "")</f>
        <v/>
      </c>
      <c r="AB18" s="224" t="str" cm="1">
        <f t="array" ref="AB18">IFERROR(INDEX($E$2:$E$118, SMALL(IF($A$2:$A$118=AB$2, ROW($E$2:$E$118)-ROW($E$2)+1), ROWS($S$3:AB18))), "")</f>
        <v/>
      </c>
      <c r="AC18" s="224" t="str" cm="1">
        <f t="array" ref="AC18">IFERROR(INDEX($E$2:$E$118, SMALL(IF($A$2:$A$118=AC$2, ROW($E$2:$E$118)-ROW($E$2)+1), ROWS($S$3:AC18))), "")</f>
        <v/>
      </c>
      <c r="AD18" s="224" t="str" cm="1">
        <f t="array" ref="AD18">IFERROR(INDEX($E$2:$E$118, SMALL(IF($A$2:$A$118=AD$2, ROW($E$2:$E$118)-ROW($E$2)+1), ROWS($S$3:AD18))), "")</f>
        <v/>
      </c>
      <c r="AE18" s="224" t="str" cm="1">
        <f t="array" ref="AE18">IFERROR(INDEX($E$2:$E$118, SMALL(IF($A$2:$A$118=AE$2, ROW($E$2:$E$118)-ROW($E$2)+1), ROWS($S$3:AE18))), "")</f>
        <v/>
      </c>
      <c r="AF18" s="224" t="str" cm="1">
        <f t="array" ref="AF18">IFERROR(INDEX($E$2:$E$118, SMALL(IF($A$2:$A$118=AF$2, ROW($E$2:$E$118)-ROW($E$2)+1), ROWS($S$3:AF18))), "")</f>
        <v/>
      </c>
      <c r="AG18" s="224" t="str" cm="1">
        <f t="array" ref="AG18">IFERROR(INDEX($E$2:$E$118, SMALL(IF($A$2:$A$118=AG$2, ROW($E$2:$E$118)-ROW($E$2)+1), ROWS($S$3:AG18))), "")</f>
        <v/>
      </c>
      <c r="AH18" s="224" t="str" cm="1">
        <f t="array" ref="AH18">IFERROR(INDEX($E$2:$E$118, SMALL(IF($A$2:$A$118=AH$2, ROW($E$2:$E$118)-ROW($E$2)+1), ROWS($S$3:AH18))), "")</f>
        <v/>
      </c>
      <c r="AI18" s="224" t="str" cm="1">
        <f t="array" ref="AI18">IFERROR(INDEX($E$2:$E$118, SMALL(IF($A$2:$A$118=AI$2, ROW($E$2:$E$118)-ROW($E$2)+1), ROWS($S$3:AI18))), "")</f>
        <v/>
      </c>
      <c r="AJ18" s="224" t="str" cm="1">
        <f t="array" ref="AJ18">IFERROR(INDEX($E$2:$E$118, SMALL(IF($A$2:$A$118=AJ$2, ROW($E$2:$E$118)-ROW($E$2)+1), ROWS($S$3:AJ18))), "")</f>
        <v/>
      </c>
      <c r="AK18" s="224" t="str" cm="1">
        <f t="array" ref="AK18">IFERROR(INDEX($E$2:$E$118, SMALL(IF($A$2:$A$118=AK$2, ROW($E$2:$E$118)-ROW($E$2)+1), ROWS($S$3:AK18))), "")</f>
        <v/>
      </c>
      <c r="AL18" s="224" t="str" cm="1">
        <f t="array" ref="AL18">IFERROR(INDEX($E$2:$E$118, SMALL(IF($A$2:$A$118=AL$2, ROW($E$2:$E$118)-ROW($E$2)+1), ROWS($S$3:AL18))), "")</f>
        <v/>
      </c>
      <c r="AM18" s="224" t="str" cm="1">
        <f t="array" ref="AM18">IFERROR(INDEX($E$2:$E$118, SMALL(IF($A$2:$A$118=AM$2, ROW($E$2:$E$118)-ROW($E$2)+1), ROWS($S$3:AM18))), "")</f>
        <v/>
      </c>
      <c r="AN18" s="224" t="str" cm="1">
        <f t="array" ref="AN18">IFERROR(INDEX($E$2:$E$118, SMALL(IF($A$2:$A$118=AN$2, ROW($E$2:$E$118)-ROW($E$2)+1), ROWS($S$3:AN18))), "")</f>
        <v/>
      </c>
      <c r="AO18" s="224" t="str" cm="1">
        <f t="array" ref="AO18">IFERROR(INDEX($E$2:$E$118, SMALL(IF($A$2:$A$118=AO$2, ROW($E$2:$E$118)-ROW($E$2)+1), ROWS($S$3:AO18))), "")</f>
        <v/>
      </c>
      <c r="AP18" s="224" t="str" cm="1">
        <f t="array" ref="AP18">IFERROR(INDEX($E$2:$E$118, SMALL(IF($A$2:$A$118=AP$2, ROW($E$2:$E$118)-ROW($E$2)+1), ROWS($S$3:AP18))), "")</f>
        <v/>
      </c>
      <c r="AQ18" s="224" cm="1">
        <f t="array" ref="AQ18">IFERROR(INDEX($E$2:$E$118, SMALL(IF($A$2:$A$118=AQ$2, ROW($E$2:$E$118)-ROW($E$2)+1), ROWS($S$3:AQ18))), "")</f>
        <v>510</v>
      </c>
      <c r="AR18" s="224" cm="1">
        <f t="array" ref="AR18">IFERROR(INDEX($E$2:$E$118, SMALL(IF($A$2:$A$118=AR$2, ROW($E$2:$E$118)-ROW($E$2)+1), ROWS($S$3:AR18))), "")</f>
        <v>510</v>
      </c>
    </row>
    <row r="19" spans="1:44">
      <c r="A19" s="45" t="s">
        <v>580</v>
      </c>
      <c r="B19" s="45" t="s">
        <v>205</v>
      </c>
      <c r="C19" s="230">
        <f>VLOOKUP(B19, 'S08 ABC Output'!$A$3:$C$18, 3, 0)</f>
        <v>25468</v>
      </c>
      <c r="D19" s="230">
        <f>VLOOKUP(B19, 'S12 Operations'!$C$2:$H$534, 6, 0)</f>
        <v>50</v>
      </c>
      <c r="E19" s="230">
        <f t="shared" si="2"/>
        <v>510</v>
      </c>
      <c r="F19" s="230">
        <f>VLOOKUP(A19, 'S11 Work Stations'!$A$2:$C$45, 3, 0)</f>
        <v>35</v>
      </c>
      <c r="G19" s="230">
        <f>VLOOKUP(B19&amp;"-"&amp;A19, 'S12 Operations'!$A$2:$G$534, 7, 0)</f>
        <v>840</v>
      </c>
      <c r="H19" s="229">
        <f t="shared" si="3"/>
        <v>14</v>
      </c>
      <c r="I19" s="229">
        <f t="shared" si="4"/>
        <v>374402</v>
      </c>
      <c r="J19" s="230">
        <f t="shared" si="5"/>
        <v>6240</v>
      </c>
      <c r="L19">
        <f t="shared" si="6"/>
        <v>2</v>
      </c>
      <c r="M19">
        <f t="shared" si="0"/>
        <v>129</v>
      </c>
      <c r="N19">
        <f t="shared" si="1"/>
        <v>626</v>
      </c>
      <c r="O19">
        <f t="shared" si="7"/>
        <v>5</v>
      </c>
      <c r="Q19" s="214" t="str" cm="1">
        <f t="array" ref="Q19">INDEX($A$2:$A$118,MATCH(0,COUNTIF($Q$1:Q18,$A$2:$A$118),0))</f>
        <v>WS-32</v>
      </c>
      <c r="S19" s="225" t="str">
        <f>S2</f>
        <v>WS-02</v>
      </c>
      <c r="T19" s="225" t="str">
        <f t="shared" ref="T19:AR19" si="8">T2</f>
        <v>WS-03</v>
      </c>
      <c r="U19" s="225" t="str">
        <f t="shared" si="8"/>
        <v>WS-04</v>
      </c>
      <c r="V19" s="225" t="str">
        <f t="shared" si="8"/>
        <v>WS-05</v>
      </c>
      <c r="W19" s="225" t="str">
        <f t="shared" si="8"/>
        <v>WS-07</v>
      </c>
      <c r="X19" s="225" t="str">
        <f t="shared" si="8"/>
        <v>WS-08</v>
      </c>
      <c r="Y19" s="225" t="str">
        <f t="shared" si="8"/>
        <v>WS-18</v>
      </c>
      <c r="Z19" s="225" t="str">
        <f t="shared" si="8"/>
        <v>WS-20</v>
      </c>
      <c r="AA19" s="225" t="str">
        <f t="shared" si="8"/>
        <v>WS-21</v>
      </c>
      <c r="AB19" s="225" t="str">
        <f t="shared" si="8"/>
        <v>WS-23</v>
      </c>
      <c r="AC19" s="225" t="str">
        <f t="shared" si="8"/>
        <v>WS-24</v>
      </c>
      <c r="AD19" s="225" t="str">
        <f t="shared" si="8"/>
        <v>WS-25</v>
      </c>
      <c r="AE19" s="225" t="str">
        <f t="shared" si="8"/>
        <v>WS-26</v>
      </c>
      <c r="AF19" s="225" t="str">
        <f t="shared" si="8"/>
        <v>WS-27</v>
      </c>
      <c r="AG19" s="225" t="str">
        <f t="shared" si="8"/>
        <v>WS-28</v>
      </c>
      <c r="AH19" s="225" t="str">
        <f t="shared" si="8"/>
        <v>WS-29</v>
      </c>
      <c r="AI19" s="225" t="str">
        <f t="shared" si="8"/>
        <v>WS-31</v>
      </c>
      <c r="AJ19" s="225" t="str">
        <f t="shared" si="8"/>
        <v>WS-32</v>
      </c>
      <c r="AK19" s="225" t="str">
        <f t="shared" si="8"/>
        <v>WS-33</v>
      </c>
      <c r="AL19" s="225" t="str">
        <f t="shared" si="8"/>
        <v>WS-34</v>
      </c>
      <c r="AM19" s="225" t="str">
        <f t="shared" si="8"/>
        <v>WS-36</v>
      </c>
      <c r="AN19" s="225" t="str">
        <f t="shared" si="8"/>
        <v>WS-38</v>
      </c>
      <c r="AO19" s="225" t="str">
        <f t="shared" si="8"/>
        <v>WS-40</v>
      </c>
      <c r="AP19" s="225" t="str">
        <f t="shared" si="8"/>
        <v>WS-42</v>
      </c>
      <c r="AQ19" s="225" t="str">
        <f t="shared" si="8"/>
        <v>WS-43</v>
      </c>
      <c r="AR19" s="225" t="str">
        <f t="shared" si="8"/>
        <v>WS-44</v>
      </c>
    </row>
    <row r="20" spans="1:44">
      <c r="A20" s="45" t="s">
        <v>581</v>
      </c>
      <c r="B20" s="45" t="s">
        <v>184</v>
      </c>
      <c r="C20" s="230">
        <f>VLOOKUP(B20, 'S08 ABC Output'!$A$3:$C$18, 3, 0)</f>
        <v>85612</v>
      </c>
      <c r="D20" s="230">
        <f>VLOOKUP(B20, 'S12 Operations'!$C$2:$H$534, 6, 0)</f>
        <v>200</v>
      </c>
      <c r="E20" s="230">
        <f t="shared" si="2"/>
        <v>429</v>
      </c>
      <c r="F20" s="230">
        <f>VLOOKUP(A20, 'S11 Work Stations'!$A$2:$C$45, 3, 0)</f>
        <v>30</v>
      </c>
      <c r="G20" s="230">
        <f>VLOOKUP(B20&amp;"-"&amp;A20, 'S12 Operations'!$A$2:$G$534, 7, 0)</f>
        <v>480</v>
      </c>
      <c r="H20" s="229">
        <f t="shared" si="3"/>
        <v>8</v>
      </c>
      <c r="I20" s="229">
        <f t="shared" si="4"/>
        <v>692516</v>
      </c>
      <c r="J20" s="230">
        <f t="shared" si="5"/>
        <v>11542</v>
      </c>
      <c r="L20">
        <f t="shared" si="6"/>
        <v>1</v>
      </c>
      <c r="M20">
        <f t="shared" si="0"/>
        <v>254</v>
      </c>
      <c r="N20">
        <f t="shared" si="1"/>
        <v>429</v>
      </c>
      <c r="O20">
        <f t="shared" si="7"/>
        <v>2</v>
      </c>
      <c r="Q20" s="214" t="str" cm="1">
        <f t="array" ref="Q20">INDEX($A$2:$A$118,MATCH(0,COUNTIF($Q$1:Q19,$A$2:$A$118),0))</f>
        <v>WS-33</v>
      </c>
      <c r="S20" s="224">
        <f>IFERROR(LARGE(S$3:S$18,ROWS(S$20:S20)), "")</f>
        <v>1252</v>
      </c>
      <c r="T20" s="224">
        <f>IFERROR(LARGE(T$3:T$18,ROWS(T$20:T20)), "")</f>
        <v>433</v>
      </c>
      <c r="U20" s="224">
        <f>IFERROR(LARGE(U$3:U$18,ROWS(U$20:U20)), "")</f>
        <v>433</v>
      </c>
      <c r="V20" s="224">
        <f>IFERROR(LARGE(V$3:V$18,ROWS(V$20:V20)), "")</f>
        <v>1078</v>
      </c>
      <c r="W20" s="224">
        <f>IFERROR(LARGE(W$3:W$18,ROWS(W$20:W20)), "")</f>
        <v>626</v>
      </c>
      <c r="X20" s="224">
        <f>IFERROR(LARGE(X$3:X$18,ROWS(X$20:X20)), "")</f>
        <v>429</v>
      </c>
      <c r="Y20" s="224">
        <f>IFERROR(LARGE(Y$3:Y$18,ROWS(Y$20:Y20)), "")</f>
        <v>1252</v>
      </c>
      <c r="Z20" s="224">
        <f>IFERROR(LARGE(Z$3:Z$18,ROWS(Z$20:Z20)), "")</f>
        <v>429</v>
      </c>
      <c r="AA20" s="224">
        <f>IFERROR(LARGE(AA$3:AA$18,ROWS(AA$20:AA20)), "")</f>
        <v>626</v>
      </c>
      <c r="AB20" s="224">
        <f>IFERROR(LARGE(AB$3:AB$18,ROWS(AB$20:AB20)), "")</f>
        <v>433</v>
      </c>
      <c r="AC20" s="224">
        <f>IFERROR(LARGE(AC$3:AC$18,ROWS(AC$20:AC20)), "")</f>
        <v>1252</v>
      </c>
      <c r="AD20" s="224">
        <f>IFERROR(LARGE(AD$3:AD$18,ROWS(AD$20:AD20)), "")</f>
        <v>1078</v>
      </c>
      <c r="AE20" s="224">
        <f>IFERROR(LARGE(AE$3:AE$18,ROWS(AE$20:AE20)), "")</f>
        <v>429</v>
      </c>
      <c r="AF20" s="224">
        <f>IFERROR(LARGE(AF$3:AF$18,ROWS(AF$20:AF20)), "")</f>
        <v>626</v>
      </c>
      <c r="AG20" s="224">
        <f>IFERROR(LARGE(AG$3:AG$18,ROWS(AG$20:AG20)), "")</f>
        <v>626</v>
      </c>
      <c r="AH20" s="224">
        <f>IFERROR(LARGE(AH$3:AH$18,ROWS(AH$20:AH20)), "")</f>
        <v>1252</v>
      </c>
      <c r="AI20" s="224">
        <f>IFERROR(LARGE(AI$3:AI$18,ROWS(AI$20:AI20)), "")</f>
        <v>433</v>
      </c>
      <c r="AJ20" s="224">
        <f>IFERROR(LARGE(AJ$3:AJ$18,ROWS(AJ$20:AJ20)), "")</f>
        <v>626</v>
      </c>
      <c r="AK20" s="224">
        <f>IFERROR(LARGE(AK$3:AK$18,ROWS(AK$20:AK20)), "")</f>
        <v>1252</v>
      </c>
      <c r="AL20" s="224">
        <f>IFERROR(LARGE(AL$3:AL$18,ROWS(AL$20:AL20)), "")</f>
        <v>1078</v>
      </c>
      <c r="AM20" s="224">
        <f>IFERROR(LARGE(AM$3:AM$18,ROWS(AM$20:AM20)), "")</f>
        <v>1078</v>
      </c>
      <c r="AN20" s="224">
        <f>IFERROR(LARGE(AN$3:AN$18,ROWS(AN$20:AN20)), "")</f>
        <v>626</v>
      </c>
      <c r="AO20" s="224">
        <f>IFERROR(LARGE(AO$3:AO$18,ROWS(AO$20:AO20)), "")</f>
        <v>1252</v>
      </c>
      <c r="AP20" s="224">
        <f>IFERROR(LARGE(AP$3:AP$18,ROWS(AP$20:AP20)), "")</f>
        <v>433</v>
      </c>
      <c r="AQ20" s="224">
        <f>IFERROR(LARGE(AQ$3:AQ$18,ROWS(AQ$20:AQ20)), "")</f>
        <v>1252</v>
      </c>
      <c r="AR20" s="224">
        <f>IFERROR(LARGE(AR$3:AR$18,ROWS(AR$20:AR20)), "")</f>
        <v>1252</v>
      </c>
    </row>
    <row r="21" spans="1:44">
      <c r="A21" s="45" t="s">
        <v>581</v>
      </c>
      <c r="B21" s="45" t="s">
        <v>190</v>
      </c>
      <c r="C21" s="230">
        <f>VLOOKUP(B21, 'S08 ABC Output'!$A$3:$C$18, 3, 0)</f>
        <v>50689</v>
      </c>
      <c r="D21" s="230">
        <f>VLOOKUP(B21, 'S12 Operations'!$C$2:$H$534, 6, 0)</f>
        <v>200</v>
      </c>
      <c r="E21" s="230">
        <f t="shared" si="2"/>
        <v>254</v>
      </c>
      <c r="F21" s="230">
        <f>VLOOKUP(A21, 'S11 Work Stations'!$A$2:$C$45, 3, 0)</f>
        <v>30</v>
      </c>
      <c r="G21" s="230">
        <f>VLOOKUP(B21&amp;"-"&amp;A21, 'S12 Operations'!$A$2:$G$534, 7, 0)</f>
        <v>120</v>
      </c>
      <c r="H21" s="229">
        <f t="shared" si="3"/>
        <v>2</v>
      </c>
      <c r="I21" s="229">
        <f t="shared" si="4"/>
        <v>108998</v>
      </c>
      <c r="J21" s="230">
        <f t="shared" si="5"/>
        <v>1817</v>
      </c>
      <c r="L21">
        <f t="shared" si="6"/>
        <v>2</v>
      </c>
      <c r="M21">
        <f t="shared" si="0"/>
        <v>254</v>
      </c>
      <c r="N21">
        <f t="shared" si="1"/>
        <v>429</v>
      </c>
      <c r="O21">
        <f t="shared" si="7"/>
        <v>2</v>
      </c>
      <c r="Q21" s="214" t="str" cm="1">
        <f t="array" ref="Q21">INDEX($A$2:$A$118,MATCH(0,COUNTIF($Q$1:Q20,$A$2:$A$118),0))</f>
        <v>WS-34</v>
      </c>
      <c r="S21" s="224">
        <f>IFERROR(LARGE(S$3:S$18,ROWS(S$20:S21)), "")</f>
        <v>129</v>
      </c>
      <c r="T21" s="224">
        <f>IFERROR(LARGE(T$3:T$18,ROWS(T$20:T21)), "")</f>
        <v>274</v>
      </c>
      <c r="U21" s="224">
        <f>IFERROR(LARGE(U$3:U$18,ROWS(U$20:U21)), "")</f>
        <v>274</v>
      </c>
      <c r="V21" s="224">
        <f>IFERROR(LARGE(V$3:V$18,ROWS(V$20:V21)), "")</f>
        <v>327</v>
      </c>
      <c r="W21" s="224">
        <f>IFERROR(LARGE(W$3:W$18,ROWS(W$20:W21)), "")</f>
        <v>510</v>
      </c>
      <c r="X21" s="224">
        <f>IFERROR(LARGE(X$3:X$18,ROWS(X$20:X21)), "")</f>
        <v>254</v>
      </c>
      <c r="Y21" s="224">
        <f>IFERROR(LARGE(Y$3:Y$18,ROWS(Y$20:Y21)), "")</f>
        <v>129</v>
      </c>
      <c r="Z21" s="224">
        <f>IFERROR(LARGE(Z$3:Z$18,ROWS(Z$20:Z21)), "")</f>
        <v>254</v>
      </c>
      <c r="AA21" s="224">
        <f>IFERROR(LARGE(AA$3:AA$18,ROWS(AA$20:AA21)), "")</f>
        <v>510</v>
      </c>
      <c r="AB21" s="224">
        <f>IFERROR(LARGE(AB$3:AB$18,ROWS(AB$20:AB21)), "")</f>
        <v>274</v>
      </c>
      <c r="AC21" s="224">
        <f>IFERROR(LARGE(AC$3:AC$18,ROWS(AC$20:AC21)), "")</f>
        <v>129</v>
      </c>
      <c r="AD21" s="224">
        <f>IFERROR(LARGE(AD$3:AD$18,ROWS(AD$20:AD21)), "")</f>
        <v>327</v>
      </c>
      <c r="AE21" s="224">
        <f>IFERROR(LARGE(AE$3:AE$18,ROWS(AE$20:AE21)), "")</f>
        <v>254</v>
      </c>
      <c r="AF21" s="224">
        <f>IFERROR(LARGE(AF$3:AF$18,ROWS(AF$20:AF21)), "")</f>
        <v>510</v>
      </c>
      <c r="AG21" s="224">
        <f>IFERROR(LARGE(AG$3:AG$18,ROWS(AG$20:AG21)), "")</f>
        <v>510</v>
      </c>
      <c r="AH21" s="224">
        <f>IFERROR(LARGE(AH$3:AH$18,ROWS(AH$20:AH21)), "")</f>
        <v>129</v>
      </c>
      <c r="AI21" s="224">
        <f>IFERROR(LARGE(AI$3:AI$18,ROWS(AI$20:AI21)), "")</f>
        <v>274</v>
      </c>
      <c r="AJ21" s="224">
        <f>IFERROR(LARGE(AJ$3:AJ$18,ROWS(AJ$20:AJ21)), "")</f>
        <v>510</v>
      </c>
      <c r="AK21" s="224">
        <f>IFERROR(LARGE(AK$3:AK$18,ROWS(AK$20:AK21)), "")</f>
        <v>129</v>
      </c>
      <c r="AL21" s="224">
        <f>IFERROR(LARGE(AL$3:AL$18,ROWS(AL$20:AL21)), "")</f>
        <v>327</v>
      </c>
      <c r="AM21" s="224">
        <f>IFERROR(LARGE(AM$3:AM$18,ROWS(AM$20:AM21)), "")</f>
        <v>327</v>
      </c>
      <c r="AN21" s="224">
        <f>IFERROR(LARGE(AN$3:AN$18,ROWS(AN$20:AN21)), "")</f>
        <v>510</v>
      </c>
      <c r="AO21" s="224">
        <f>IFERROR(LARGE(AO$3:AO$18,ROWS(AO$20:AO21)), "")</f>
        <v>433</v>
      </c>
      <c r="AP21" s="224" t="str">
        <f>IFERROR(LARGE(AP$3:AP$18,ROWS(AP$20:AP21)), "")</f>
        <v/>
      </c>
      <c r="AQ21" s="224">
        <f>IFERROR(LARGE(AQ$3:AQ$18,ROWS(AQ$20:AQ21)), "")</f>
        <v>1078</v>
      </c>
      <c r="AR21" s="224">
        <f>IFERROR(LARGE(AR$3:AR$18,ROWS(AR$20:AR21)), "")</f>
        <v>1078</v>
      </c>
    </row>
    <row r="22" spans="1:44">
      <c r="A22" s="45" t="s">
        <v>591</v>
      </c>
      <c r="B22" s="45" t="s">
        <v>176</v>
      </c>
      <c r="C22" s="230">
        <f>VLOOKUP(B22, 'S08 ABC Output'!$A$3:$C$18, 3, 0)</f>
        <v>250356</v>
      </c>
      <c r="D22" s="230">
        <f>VLOOKUP(B22, 'S12 Operations'!$C$2:$H$534, 6, 0)</f>
        <v>200</v>
      </c>
      <c r="E22" s="230">
        <f t="shared" si="2"/>
        <v>1252</v>
      </c>
      <c r="F22" s="230">
        <f>VLOOKUP(A22, 'S11 Work Stations'!$A$2:$C$45, 3, 0)</f>
        <v>30</v>
      </c>
      <c r="G22" s="230">
        <f>VLOOKUP(B22&amp;"-"&amp;A22, 'S12 Operations'!$A$2:$G$534, 7, 0)</f>
        <v>420</v>
      </c>
      <c r="H22" s="229">
        <f t="shared" si="3"/>
        <v>7</v>
      </c>
      <c r="I22" s="229">
        <f t="shared" si="4"/>
        <v>1756362</v>
      </c>
      <c r="J22" s="230">
        <f t="shared" si="5"/>
        <v>29273</v>
      </c>
      <c r="L22">
        <f t="shared" si="6"/>
        <v>1</v>
      </c>
      <c r="M22">
        <f t="shared" si="0"/>
        <v>129</v>
      </c>
      <c r="N22">
        <f t="shared" si="1"/>
        <v>1252</v>
      </c>
      <c r="O22">
        <f t="shared" si="7"/>
        <v>3</v>
      </c>
      <c r="Q22" s="214" t="str" cm="1">
        <f t="array" ref="Q22">INDEX($A$2:$A$118,MATCH(0,COUNTIF($Q$1:Q21,$A$2:$A$118),0))</f>
        <v>WS-36</v>
      </c>
      <c r="S22" s="224">
        <f>IFERROR(LARGE(S$3:S$18,ROWS(S$20:S22)), "")</f>
        <v>129</v>
      </c>
      <c r="T22" s="224" t="str">
        <f>IFERROR(LARGE(T$3:T$18,ROWS(T$20:T22)), "")</f>
        <v/>
      </c>
      <c r="U22" s="224" t="str">
        <f>IFERROR(LARGE(U$3:U$18,ROWS(U$20:U22)), "")</f>
        <v/>
      </c>
      <c r="V22" s="224">
        <f>IFERROR(LARGE(V$3:V$18,ROWS(V$20:V22)), "")</f>
        <v>230</v>
      </c>
      <c r="W22" s="224">
        <f>IFERROR(LARGE(W$3:W$18,ROWS(W$20:W22)), "")</f>
        <v>429</v>
      </c>
      <c r="X22" s="224" t="str">
        <f>IFERROR(LARGE(X$3:X$18,ROWS(X$20:X22)), "")</f>
        <v/>
      </c>
      <c r="Y22" s="224">
        <f>IFERROR(LARGE(Y$3:Y$18,ROWS(Y$20:Y22)), "")</f>
        <v>129</v>
      </c>
      <c r="Z22" s="224" t="str">
        <f>IFERROR(LARGE(Z$3:Z$18,ROWS(Z$20:Z22)), "")</f>
        <v/>
      </c>
      <c r="AA22" s="224">
        <f>IFERROR(LARGE(AA$3:AA$18,ROWS(AA$20:AA22)), "")</f>
        <v>129</v>
      </c>
      <c r="AB22" s="224" t="str">
        <f>IFERROR(LARGE(AB$3:AB$18,ROWS(AB$20:AB22)), "")</f>
        <v/>
      </c>
      <c r="AC22" s="224">
        <f>IFERROR(LARGE(AC$3:AC$18,ROWS(AC$20:AC22)), "")</f>
        <v>129</v>
      </c>
      <c r="AD22" s="224">
        <f>IFERROR(LARGE(AD$3:AD$18,ROWS(AD$20:AD22)), "")</f>
        <v>230</v>
      </c>
      <c r="AE22" s="224" t="str">
        <f>IFERROR(LARGE(AE$3:AE$18,ROWS(AE$20:AE22)), "")</f>
        <v/>
      </c>
      <c r="AF22" s="224">
        <f>IFERROR(LARGE(AF$3:AF$18,ROWS(AF$20:AF22)), "")</f>
        <v>129</v>
      </c>
      <c r="AG22" s="224">
        <f>IFERROR(LARGE(AG$3:AG$18,ROWS(AG$20:AG22)), "")</f>
        <v>129</v>
      </c>
      <c r="AH22" s="224">
        <f>IFERROR(LARGE(AH$3:AH$18,ROWS(AH$20:AH22)), "")</f>
        <v>129</v>
      </c>
      <c r="AI22" s="224" t="str">
        <f>IFERROR(LARGE(AI$3:AI$18,ROWS(AI$20:AI22)), "")</f>
        <v/>
      </c>
      <c r="AJ22" s="224">
        <f>IFERROR(LARGE(AJ$3:AJ$18,ROWS(AJ$20:AJ22)), "")</f>
        <v>433</v>
      </c>
      <c r="AK22" s="224">
        <f>IFERROR(LARGE(AK$3:AK$18,ROWS(AK$20:AK22)), "")</f>
        <v>129</v>
      </c>
      <c r="AL22" s="224">
        <f>IFERROR(LARGE(AL$3:AL$18,ROWS(AL$20:AL22)), "")</f>
        <v>230</v>
      </c>
      <c r="AM22" s="224">
        <f>IFERROR(LARGE(AM$3:AM$18,ROWS(AM$20:AM22)), "")</f>
        <v>230</v>
      </c>
      <c r="AN22" s="224">
        <f>IFERROR(LARGE(AN$3:AN$18,ROWS(AN$20:AN22)), "")</f>
        <v>129</v>
      </c>
      <c r="AO22" s="224">
        <f>IFERROR(LARGE(AO$3:AO$18,ROWS(AO$20:AO22)), "")</f>
        <v>429</v>
      </c>
      <c r="AP22" s="224" t="str">
        <f>IFERROR(LARGE(AP$3:AP$18,ROWS(AP$20:AP22)), "")</f>
        <v/>
      </c>
      <c r="AQ22" s="224">
        <f>IFERROR(LARGE(AQ$3:AQ$18,ROWS(AQ$20:AQ22)), "")</f>
        <v>626</v>
      </c>
      <c r="AR22" s="224">
        <f>IFERROR(LARGE(AR$3:AR$18,ROWS(AR$20:AR22)), "")</f>
        <v>626</v>
      </c>
    </row>
    <row r="23" spans="1:44">
      <c r="A23" s="45" t="s">
        <v>591</v>
      </c>
      <c r="B23" s="45" t="s">
        <v>198</v>
      </c>
      <c r="C23" s="230">
        <f>VLOOKUP(B23, 'S08 ABC Output'!$A$3:$C$18, 3, 0)</f>
        <v>25689</v>
      </c>
      <c r="D23" s="230">
        <f>VLOOKUP(B23, 'S12 Operations'!$C$2:$H$534, 6, 0)</f>
        <v>200</v>
      </c>
      <c r="E23" s="230">
        <f t="shared" si="2"/>
        <v>129</v>
      </c>
      <c r="F23" s="230">
        <f>VLOOKUP(A23, 'S11 Work Stations'!$A$2:$C$45, 3, 0)</f>
        <v>30</v>
      </c>
      <c r="G23" s="230">
        <f>VLOOKUP(B23&amp;"-"&amp;A23, 'S12 Operations'!$A$2:$G$534, 7, 0)</f>
        <v>480</v>
      </c>
      <c r="H23" s="229">
        <f t="shared" si="3"/>
        <v>8</v>
      </c>
      <c r="I23" s="229">
        <f t="shared" si="4"/>
        <v>209382</v>
      </c>
      <c r="J23" s="230">
        <f t="shared" si="5"/>
        <v>3490</v>
      </c>
      <c r="L23">
        <f t="shared" si="6"/>
        <v>2</v>
      </c>
      <c r="M23">
        <f t="shared" si="0"/>
        <v>129</v>
      </c>
      <c r="N23">
        <f t="shared" si="1"/>
        <v>1252</v>
      </c>
      <c r="O23">
        <f t="shared" si="7"/>
        <v>3</v>
      </c>
      <c r="Q23" s="214" t="str" cm="1">
        <f t="array" ref="Q23">INDEX($A$2:$A$118,MATCH(0,COUNTIF($Q$1:Q22,$A$2:$A$118),0))</f>
        <v>WS-38</v>
      </c>
      <c r="S23" s="224" t="str">
        <f>IFERROR(LARGE(S$3:S$18,ROWS(S$20:S23)), "")</f>
        <v/>
      </c>
      <c r="T23" s="224" t="str">
        <f>IFERROR(LARGE(T$3:T$18,ROWS(T$20:T23)), "")</f>
        <v/>
      </c>
      <c r="U23" s="224" t="str">
        <f>IFERROR(LARGE(U$3:U$18,ROWS(U$20:U23)), "")</f>
        <v/>
      </c>
      <c r="V23" s="224">
        <f>IFERROR(LARGE(V$3:V$18,ROWS(V$20:V23)), "")</f>
        <v>183</v>
      </c>
      <c r="W23" s="224">
        <f>IFERROR(LARGE(W$3:W$18,ROWS(W$20:W23)), "")</f>
        <v>254</v>
      </c>
      <c r="X23" s="224" t="str">
        <f>IFERROR(LARGE(X$3:X$18,ROWS(X$20:X23)), "")</f>
        <v/>
      </c>
      <c r="Y23" s="224" t="str">
        <f>IFERROR(LARGE(Y$3:Y$18,ROWS(Y$20:Y23)), "")</f>
        <v/>
      </c>
      <c r="Z23" s="224" t="str">
        <f>IFERROR(LARGE(Z$3:Z$18,ROWS(Z$20:Z23)), "")</f>
        <v/>
      </c>
      <c r="AA23" s="224" t="str">
        <f>IFERROR(LARGE(AA$3:AA$18,ROWS(AA$20:AA23)), "")</f>
        <v/>
      </c>
      <c r="AB23" s="224" t="str">
        <f>IFERROR(LARGE(AB$3:AB$18,ROWS(AB$20:AB23)), "")</f>
        <v/>
      </c>
      <c r="AC23" s="224" t="str">
        <f>IFERROR(LARGE(AC$3:AC$18,ROWS(AC$20:AC23)), "")</f>
        <v/>
      </c>
      <c r="AD23" s="224">
        <f>IFERROR(LARGE(AD$3:AD$18,ROWS(AD$20:AD23)), "")</f>
        <v>183</v>
      </c>
      <c r="AE23" s="224" t="str">
        <f>IFERROR(LARGE(AE$3:AE$18,ROWS(AE$20:AE23)), "")</f>
        <v/>
      </c>
      <c r="AF23" s="224" t="str">
        <f>IFERROR(LARGE(AF$3:AF$18,ROWS(AF$20:AF23)), "")</f>
        <v/>
      </c>
      <c r="AG23" s="224" t="str">
        <f>IFERROR(LARGE(AG$3:AG$18,ROWS(AG$20:AG23)), "")</f>
        <v/>
      </c>
      <c r="AH23" s="224" t="str">
        <f>IFERROR(LARGE(AH$3:AH$18,ROWS(AH$20:AH23)), "")</f>
        <v/>
      </c>
      <c r="AI23" s="224" t="str">
        <f>IFERROR(LARGE(AI$3:AI$18,ROWS(AI$20:AI23)), "")</f>
        <v/>
      </c>
      <c r="AJ23" s="224">
        <f>IFERROR(LARGE(AJ$3:AJ$18,ROWS(AJ$20:AJ23)), "")</f>
        <v>429</v>
      </c>
      <c r="AK23" s="224" t="str">
        <f>IFERROR(LARGE(AK$3:AK$18,ROWS(AK$20:AK23)), "")</f>
        <v/>
      </c>
      <c r="AL23" s="224">
        <f>IFERROR(LARGE(AL$3:AL$18,ROWS(AL$20:AL23)), "")</f>
        <v>183</v>
      </c>
      <c r="AM23" s="224">
        <f>IFERROR(LARGE(AM$3:AM$18,ROWS(AM$20:AM23)), "")</f>
        <v>183</v>
      </c>
      <c r="AN23" s="224" t="str">
        <f>IFERROR(LARGE(AN$3:AN$18,ROWS(AN$20:AN23)), "")</f>
        <v/>
      </c>
      <c r="AO23" s="224">
        <f>IFERROR(LARGE(AO$3:AO$18,ROWS(AO$20:AO23)), "")</f>
        <v>274</v>
      </c>
      <c r="AP23" s="224" t="str">
        <f>IFERROR(LARGE(AP$3:AP$18,ROWS(AP$20:AP23)), "")</f>
        <v/>
      </c>
      <c r="AQ23" s="224">
        <f>IFERROR(LARGE(AQ$3:AQ$18,ROWS(AQ$20:AQ23)), "")</f>
        <v>510</v>
      </c>
      <c r="AR23" s="224">
        <f>IFERROR(LARGE(AR$3:AR$18,ROWS(AR$20:AR23)), "")</f>
        <v>510</v>
      </c>
    </row>
    <row r="24" spans="1:44">
      <c r="A24" s="45" t="s">
        <v>591</v>
      </c>
      <c r="B24" s="45" t="s">
        <v>203</v>
      </c>
      <c r="C24" s="230">
        <f>VLOOKUP(B24, 'S08 ABC Output'!$A$3:$C$18, 3, 0)</f>
        <v>25639</v>
      </c>
      <c r="D24" s="230">
        <f>VLOOKUP(B24, 'S12 Operations'!$C$2:$H$534, 6, 0)</f>
        <v>200</v>
      </c>
      <c r="E24" s="230">
        <f t="shared" si="2"/>
        <v>129</v>
      </c>
      <c r="F24" s="230">
        <f>VLOOKUP(A24, 'S11 Work Stations'!$A$2:$C$45, 3, 0)</f>
        <v>30</v>
      </c>
      <c r="G24" s="230">
        <f>VLOOKUP(B24&amp;"-"&amp;A24, 'S12 Operations'!$A$2:$G$534, 7, 0)</f>
        <v>360</v>
      </c>
      <c r="H24" s="229">
        <f t="shared" si="3"/>
        <v>6</v>
      </c>
      <c r="I24" s="229">
        <f t="shared" si="4"/>
        <v>157704</v>
      </c>
      <c r="J24" s="230">
        <f t="shared" si="5"/>
        <v>2628</v>
      </c>
      <c r="L24">
        <f t="shared" si="6"/>
        <v>2</v>
      </c>
      <c r="M24">
        <f t="shared" si="0"/>
        <v>129</v>
      </c>
      <c r="N24">
        <f t="shared" si="1"/>
        <v>1252</v>
      </c>
      <c r="O24">
        <f t="shared" si="7"/>
        <v>3</v>
      </c>
      <c r="Q24" s="214" t="str" cm="1">
        <f t="array" ref="Q24">INDEX($A$2:$A$118,MATCH(0,COUNTIF($Q$1:Q23,$A$2:$A$118),0))</f>
        <v>WS-40</v>
      </c>
      <c r="S24" s="224" t="str">
        <f>IFERROR(LARGE(S$3:S$18,ROWS(S$20:S24)), "")</f>
        <v/>
      </c>
      <c r="T24" s="224" t="str">
        <f>IFERROR(LARGE(T$3:T$18,ROWS(T$20:T24)), "")</f>
        <v/>
      </c>
      <c r="U24" s="224" t="str">
        <f>IFERROR(LARGE(U$3:U$18,ROWS(U$20:U24)), "")</f>
        <v/>
      </c>
      <c r="V24" s="224">
        <f>IFERROR(LARGE(V$3:V$18,ROWS(V$20:V24)), "")</f>
        <v>183</v>
      </c>
      <c r="W24" s="224">
        <f>IFERROR(LARGE(W$3:W$18,ROWS(W$20:W24)), "")</f>
        <v>129</v>
      </c>
      <c r="X24" s="224" t="str">
        <f>IFERROR(LARGE(X$3:X$18,ROWS(X$20:X24)), "")</f>
        <v/>
      </c>
      <c r="Y24" s="224" t="str">
        <f>IFERROR(LARGE(Y$3:Y$18,ROWS(Y$20:Y24)), "")</f>
        <v/>
      </c>
      <c r="Z24" s="224" t="str">
        <f>IFERROR(LARGE(Z$3:Z$18,ROWS(Z$20:Z24)), "")</f>
        <v/>
      </c>
      <c r="AA24" s="224" t="str">
        <f>IFERROR(LARGE(AA$3:AA$18,ROWS(AA$20:AA24)), "")</f>
        <v/>
      </c>
      <c r="AB24" s="224" t="str">
        <f>IFERROR(LARGE(AB$3:AB$18,ROWS(AB$20:AB24)), "")</f>
        <v/>
      </c>
      <c r="AC24" s="224" t="str">
        <f>IFERROR(LARGE(AC$3:AC$18,ROWS(AC$20:AC24)), "")</f>
        <v/>
      </c>
      <c r="AD24" s="224">
        <f>IFERROR(LARGE(AD$3:AD$18,ROWS(AD$20:AD24)), "")</f>
        <v>183</v>
      </c>
      <c r="AE24" s="224" t="str">
        <f>IFERROR(LARGE(AE$3:AE$18,ROWS(AE$20:AE24)), "")</f>
        <v/>
      </c>
      <c r="AF24" s="224" t="str">
        <f>IFERROR(LARGE(AF$3:AF$18,ROWS(AF$20:AF24)), "")</f>
        <v/>
      </c>
      <c r="AG24" s="224" t="str">
        <f>IFERROR(LARGE(AG$3:AG$18,ROWS(AG$20:AG24)), "")</f>
        <v/>
      </c>
      <c r="AH24" s="224" t="str">
        <f>IFERROR(LARGE(AH$3:AH$18,ROWS(AH$20:AH24)), "")</f>
        <v/>
      </c>
      <c r="AI24" s="224" t="str">
        <f>IFERROR(LARGE(AI$3:AI$18,ROWS(AI$20:AI24)), "")</f>
        <v/>
      </c>
      <c r="AJ24" s="224">
        <f>IFERROR(LARGE(AJ$3:AJ$18,ROWS(AJ$20:AJ24)), "")</f>
        <v>274</v>
      </c>
      <c r="AK24" s="224" t="str">
        <f>IFERROR(LARGE(AK$3:AK$18,ROWS(AK$20:AK24)), "")</f>
        <v/>
      </c>
      <c r="AL24" s="224">
        <f>IFERROR(LARGE(AL$3:AL$18,ROWS(AL$20:AL24)), "")</f>
        <v>183</v>
      </c>
      <c r="AM24" s="224">
        <f>IFERROR(LARGE(AM$3:AM$18,ROWS(AM$20:AM24)), "")</f>
        <v>183</v>
      </c>
      <c r="AN24" s="224" t="str">
        <f>IFERROR(LARGE(AN$3:AN$18,ROWS(AN$20:AN24)), "")</f>
        <v/>
      </c>
      <c r="AO24" s="224">
        <f>IFERROR(LARGE(AO$3:AO$18,ROWS(AO$20:AO24)), "")</f>
        <v>254</v>
      </c>
      <c r="AP24" s="224" t="str">
        <f>IFERROR(LARGE(AP$3:AP$18,ROWS(AP$20:AP24)), "")</f>
        <v/>
      </c>
      <c r="AQ24" s="224">
        <f>IFERROR(LARGE(AQ$3:AQ$18,ROWS(AQ$20:AQ24)), "")</f>
        <v>433</v>
      </c>
      <c r="AR24" s="224">
        <f>IFERROR(LARGE(AR$3:AR$18,ROWS(AR$20:AR24)), "")</f>
        <v>433</v>
      </c>
    </row>
    <row r="25" spans="1:44">
      <c r="A25" s="45" t="s">
        <v>593</v>
      </c>
      <c r="B25" s="45" t="s">
        <v>184</v>
      </c>
      <c r="C25" s="230">
        <f>VLOOKUP(B25, 'S08 ABC Output'!$A$3:$C$18, 3, 0)</f>
        <v>85612</v>
      </c>
      <c r="D25" s="230">
        <f>VLOOKUP(B25, 'S12 Operations'!$C$2:$H$534, 6, 0)</f>
        <v>200</v>
      </c>
      <c r="E25" s="230">
        <f t="shared" si="2"/>
        <v>429</v>
      </c>
      <c r="F25" s="230">
        <f>VLOOKUP(A25, 'S11 Work Stations'!$A$2:$C$45, 3, 0)</f>
        <v>20</v>
      </c>
      <c r="G25" s="230">
        <f>VLOOKUP(B25&amp;"-"&amp;A25, 'S12 Operations'!$A$2:$G$534, 7, 0)</f>
        <v>180</v>
      </c>
      <c r="H25" s="229">
        <f t="shared" si="3"/>
        <v>3</v>
      </c>
      <c r="I25" s="229">
        <f t="shared" si="4"/>
        <v>261916</v>
      </c>
      <c r="J25" s="230">
        <f t="shared" si="5"/>
        <v>4365</v>
      </c>
      <c r="L25">
        <f t="shared" si="6"/>
        <v>1</v>
      </c>
      <c r="M25">
        <f t="shared" si="0"/>
        <v>254</v>
      </c>
      <c r="N25">
        <f t="shared" si="1"/>
        <v>429</v>
      </c>
      <c r="O25">
        <f t="shared" si="7"/>
        <v>2</v>
      </c>
      <c r="Q25" s="214" t="str" cm="1">
        <f t="array" ref="Q25">INDEX($A$2:$A$118,MATCH(0,COUNTIF($Q$1:Q24,$A$2:$A$118),0))</f>
        <v>WS-42</v>
      </c>
      <c r="S25" s="224" t="str">
        <f>IFERROR(LARGE(S$3:S$18,ROWS(S$20:S25)), "")</f>
        <v/>
      </c>
      <c r="T25" s="224" t="str">
        <f>IFERROR(LARGE(T$3:T$18,ROWS(T$20:T25)), "")</f>
        <v/>
      </c>
      <c r="U25" s="224" t="str">
        <f>IFERROR(LARGE(U$3:U$18,ROWS(U$20:U25)), "")</f>
        <v/>
      </c>
      <c r="V25" s="224">
        <f>IFERROR(LARGE(V$3:V$18,ROWS(V$20:V25)), "")</f>
        <v>129</v>
      </c>
      <c r="W25" s="224" t="str">
        <f>IFERROR(LARGE(W$3:W$18,ROWS(W$20:W25)), "")</f>
        <v/>
      </c>
      <c r="X25" s="224" t="str">
        <f>IFERROR(LARGE(X$3:X$18,ROWS(X$20:X25)), "")</f>
        <v/>
      </c>
      <c r="Y25" s="224" t="str">
        <f>IFERROR(LARGE(Y$3:Y$18,ROWS(Y$20:Y25)), "")</f>
        <v/>
      </c>
      <c r="Z25" s="224" t="str">
        <f>IFERROR(LARGE(Z$3:Z$18,ROWS(Z$20:Z25)), "")</f>
        <v/>
      </c>
      <c r="AA25" s="224" t="str">
        <f>IFERROR(LARGE(AA$3:AA$18,ROWS(AA$20:AA25)), "")</f>
        <v/>
      </c>
      <c r="AB25" s="224" t="str">
        <f>IFERROR(LARGE(AB$3:AB$18,ROWS(AB$20:AB25)), "")</f>
        <v/>
      </c>
      <c r="AC25" s="224" t="str">
        <f>IFERROR(LARGE(AC$3:AC$18,ROWS(AC$20:AC25)), "")</f>
        <v/>
      </c>
      <c r="AD25" s="224">
        <f>IFERROR(LARGE(AD$3:AD$18,ROWS(AD$20:AD25)), "")</f>
        <v>129</v>
      </c>
      <c r="AE25" s="224" t="str">
        <f>IFERROR(LARGE(AE$3:AE$18,ROWS(AE$20:AE25)), "")</f>
        <v/>
      </c>
      <c r="AF25" s="224" t="str">
        <f>IFERROR(LARGE(AF$3:AF$18,ROWS(AF$20:AF25)), "")</f>
        <v/>
      </c>
      <c r="AG25" s="224" t="str">
        <f>IFERROR(LARGE(AG$3:AG$18,ROWS(AG$20:AG25)), "")</f>
        <v/>
      </c>
      <c r="AH25" s="224" t="str">
        <f>IFERROR(LARGE(AH$3:AH$18,ROWS(AH$20:AH25)), "")</f>
        <v/>
      </c>
      <c r="AI25" s="224" t="str">
        <f>IFERROR(LARGE(AI$3:AI$18,ROWS(AI$20:AI25)), "")</f>
        <v/>
      </c>
      <c r="AJ25" s="224">
        <f>IFERROR(LARGE(AJ$3:AJ$18,ROWS(AJ$20:AJ25)), "")</f>
        <v>254</v>
      </c>
      <c r="AK25" s="224" t="str">
        <f>IFERROR(LARGE(AK$3:AK$18,ROWS(AK$20:AK25)), "")</f>
        <v/>
      </c>
      <c r="AL25" s="224">
        <f>IFERROR(LARGE(AL$3:AL$18,ROWS(AL$20:AL25)), "")</f>
        <v>129</v>
      </c>
      <c r="AM25" s="224">
        <f>IFERROR(LARGE(AM$3:AM$18,ROWS(AM$20:AM25)), "")</f>
        <v>129</v>
      </c>
      <c r="AN25" s="224" t="str">
        <f>IFERROR(LARGE(AN$3:AN$18,ROWS(AN$20:AN25)), "")</f>
        <v/>
      </c>
      <c r="AO25" s="224">
        <f>IFERROR(LARGE(AO$3:AO$18,ROWS(AO$20:AO25)), "")</f>
        <v>129</v>
      </c>
      <c r="AP25" s="224" t="str">
        <f>IFERROR(LARGE(AP$3:AP$18,ROWS(AP$20:AP25)), "")</f>
        <v/>
      </c>
      <c r="AQ25" s="224">
        <f>IFERROR(LARGE(AQ$3:AQ$18,ROWS(AQ$20:AQ25)), "")</f>
        <v>429</v>
      </c>
      <c r="AR25" s="224">
        <f>IFERROR(LARGE(AR$3:AR$18,ROWS(AR$20:AR25)), "")</f>
        <v>429</v>
      </c>
    </row>
    <row r="26" spans="1:44">
      <c r="A26" s="45" t="s">
        <v>593</v>
      </c>
      <c r="B26" s="45" t="s">
        <v>190</v>
      </c>
      <c r="C26" s="230">
        <f>VLOOKUP(B26, 'S08 ABC Output'!$A$3:$C$18, 3, 0)</f>
        <v>50689</v>
      </c>
      <c r="D26" s="230">
        <f>VLOOKUP(B26, 'S12 Operations'!$C$2:$H$534, 6, 0)</f>
        <v>200</v>
      </c>
      <c r="E26" s="230">
        <f t="shared" si="2"/>
        <v>254</v>
      </c>
      <c r="F26" s="230">
        <f>VLOOKUP(A26, 'S11 Work Stations'!$A$2:$C$45, 3, 0)</f>
        <v>20</v>
      </c>
      <c r="G26" s="230">
        <f>VLOOKUP(B26&amp;"-"&amp;A26, 'S12 Operations'!$A$2:$G$534, 7, 0)</f>
        <v>1140</v>
      </c>
      <c r="H26" s="229">
        <f t="shared" si="3"/>
        <v>19</v>
      </c>
      <c r="I26" s="229">
        <f t="shared" si="4"/>
        <v>968171</v>
      </c>
      <c r="J26" s="230">
        <f t="shared" si="5"/>
        <v>16136</v>
      </c>
      <c r="L26">
        <f t="shared" si="6"/>
        <v>2</v>
      </c>
      <c r="M26">
        <f t="shared" si="0"/>
        <v>254</v>
      </c>
      <c r="N26">
        <f t="shared" si="1"/>
        <v>429</v>
      </c>
      <c r="O26">
        <f t="shared" si="7"/>
        <v>2</v>
      </c>
      <c r="Q26" s="214" t="str" cm="1">
        <f t="array" ref="Q26">INDEX($A$2:$A$118,MATCH(0,COUNTIF($Q$1:Q25,$A$2:$A$118),0))</f>
        <v>WS-43</v>
      </c>
      <c r="S26" s="224" t="str">
        <f>IFERROR(LARGE(S$3:S$18,ROWS(S$20:S26)), "")</f>
        <v/>
      </c>
      <c r="T26" s="224" t="str">
        <f>IFERROR(LARGE(T$3:T$18,ROWS(T$20:T26)), "")</f>
        <v/>
      </c>
      <c r="U26" s="224" t="str">
        <f>IFERROR(LARGE(U$3:U$18,ROWS(U$20:U26)), "")</f>
        <v/>
      </c>
      <c r="V26" s="224" t="str">
        <f>IFERROR(LARGE(V$3:V$18,ROWS(V$20:V26)), "")</f>
        <v/>
      </c>
      <c r="W26" s="224" t="str">
        <f>IFERROR(LARGE(W$3:W$18,ROWS(W$20:W26)), "")</f>
        <v/>
      </c>
      <c r="X26" s="224" t="str">
        <f>IFERROR(LARGE(X$3:X$18,ROWS(X$20:X26)), "")</f>
        <v/>
      </c>
      <c r="Y26" s="224" t="str">
        <f>IFERROR(LARGE(Y$3:Y$18,ROWS(Y$20:Y26)), "")</f>
        <v/>
      </c>
      <c r="Z26" s="224" t="str">
        <f>IFERROR(LARGE(Z$3:Z$18,ROWS(Z$20:Z26)), "")</f>
        <v/>
      </c>
      <c r="AA26" s="224" t="str">
        <f>IFERROR(LARGE(AA$3:AA$18,ROWS(AA$20:AA26)), "")</f>
        <v/>
      </c>
      <c r="AB26" s="224" t="str">
        <f>IFERROR(LARGE(AB$3:AB$18,ROWS(AB$20:AB26)), "")</f>
        <v/>
      </c>
      <c r="AC26" s="224" t="str">
        <f>IFERROR(LARGE(AC$3:AC$18,ROWS(AC$20:AC26)), "")</f>
        <v/>
      </c>
      <c r="AD26" s="224" t="str">
        <f>IFERROR(LARGE(AD$3:AD$18,ROWS(AD$20:AD26)), "")</f>
        <v/>
      </c>
      <c r="AE26" s="224" t="str">
        <f>IFERROR(LARGE(AE$3:AE$18,ROWS(AE$20:AE26)), "")</f>
        <v/>
      </c>
      <c r="AF26" s="224" t="str">
        <f>IFERROR(LARGE(AF$3:AF$18,ROWS(AF$20:AF26)), "")</f>
        <v/>
      </c>
      <c r="AG26" s="224" t="str">
        <f>IFERROR(LARGE(AG$3:AG$18,ROWS(AG$20:AG26)), "")</f>
        <v/>
      </c>
      <c r="AH26" s="224" t="str">
        <f>IFERROR(LARGE(AH$3:AH$18,ROWS(AH$20:AH26)), "")</f>
        <v/>
      </c>
      <c r="AI26" s="224" t="str">
        <f>IFERROR(LARGE(AI$3:AI$18,ROWS(AI$20:AI26)), "")</f>
        <v/>
      </c>
      <c r="AJ26" s="224">
        <f>IFERROR(LARGE(AJ$3:AJ$18,ROWS(AJ$20:AJ26)), "")</f>
        <v>129</v>
      </c>
      <c r="AK26" s="224" t="str">
        <f>IFERROR(LARGE(AK$3:AK$18,ROWS(AK$20:AK26)), "")</f>
        <v/>
      </c>
      <c r="AL26" s="224" t="str">
        <f>IFERROR(LARGE(AL$3:AL$18,ROWS(AL$20:AL26)), "")</f>
        <v/>
      </c>
      <c r="AM26" s="224" t="str">
        <f>IFERROR(LARGE(AM$3:AM$18,ROWS(AM$20:AM26)), "")</f>
        <v/>
      </c>
      <c r="AN26" s="224" t="str">
        <f>IFERROR(LARGE(AN$3:AN$18,ROWS(AN$20:AN26)), "")</f>
        <v/>
      </c>
      <c r="AO26" s="224">
        <f>IFERROR(LARGE(AO$3:AO$18,ROWS(AO$20:AO26)), "")</f>
        <v>129</v>
      </c>
      <c r="AP26" s="224" t="str">
        <f>IFERROR(LARGE(AP$3:AP$18,ROWS(AP$20:AP26)), "")</f>
        <v/>
      </c>
      <c r="AQ26" s="224">
        <f>IFERROR(LARGE(AQ$3:AQ$18,ROWS(AQ$20:AQ26)), "")</f>
        <v>327</v>
      </c>
      <c r="AR26" s="224">
        <f>IFERROR(LARGE(AR$3:AR$18,ROWS(AR$20:AR26)), "")</f>
        <v>327</v>
      </c>
    </row>
    <row r="27" spans="1:44">
      <c r="A27" s="45" t="s">
        <v>594</v>
      </c>
      <c r="B27" s="45" t="s">
        <v>180</v>
      </c>
      <c r="C27" s="230">
        <f>VLOOKUP(B27, 'S08 ABC Output'!$A$3:$C$18, 3, 0)</f>
        <v>125036</v>
      </c>
      <c r="D27" s="230">
        <f>VLOOKUP(B27, 'S12 Operations'!$C$2:$H$534, 6, 0)</f>
        <v>200</v>
      </c>
      <c r="E27" s="230">
        <f t="shared" si="2"/>
        <v>626</v>
      </c>
      <c r="F27" s="230">
        <f>VLOOKUP(A27, 'S11 Work Stations'!$A$2:$C$45, 3, 0)</f>
        <v>30</v>
      </c>
      <c r="G27" s="230">
        <f>VLOOKUP(B27&amp;"-"&amp;A27, 'S12 Operations'!$A$2:$G$534, 7, 0)</f>
        <v>300</v>
      </c>
      <c r="H27" s="229">
        <f t="shared" si="3"/>
        <v>5</v>
      </c>
      <c r="I27" s="229">
        <f t="shared" si="4"/>
        <v>640480</v>
      </c>
      <c r="J27" s="230">
        <f t="shared" si="5"/>
        <v>10675</v>
      </c>
      <c r="L27">
        <f t="shared" si="6"/>
        <v>1</v>
      </c>
      <c r="M27">
        <f t="shared" si="0"/>
        <v>129</v>
      </c>
      <c r="N27">
        <f t="shared" si="1"/>
        <v>626</v>
      </c>
      <c r="O27">
        <f t="shared" si="7"/>
        <v>3</v>
      </c>
      <c r="Q27" s="214" t="str" cm="1">
        <f t="array" ref="Q27">INDEX($A$2:$A$118,MATCH(0,COUNTIF($Q$1:Q26,$A$2:$A$118),0))</f>
        <v>WS-44</v>
      </c>
      <c r="S27" s="224" t="str">
        <f>IFERROR(LARGE(S$3:S$18,ROWS(S$20:S27)), "")</f>
        <v/>
      </c>
      <c r="T27" s="224" t="str">
        <f>IFERROR(LARGE(T$3:T$18,ROWS(T$20:T27)), "")</f>
        <v/>
      </c>
      <c r="U27" s="224" t="str">
        <f>IFERROR(LARGE(U$3:U$18,ROWS(U$20:U27)), "")</f>
        <v/>
      </c>
      <c r="V27" s="224" t="str">
        <f>IFERROR(LARGE(V$3:V$18,ROWS(V$20:V27)), "")</f>
        <v/>
      </c>
      <c r="W27" s="224" t="str">
        <f>IFERROR(LARGE(W$3:W$18,ROWS(W$20:W27)), "")</f>
        <v/>
      </c>
      <c r="X27" s="224" t="str">
        <f>IFERROR(LARGE(X$3:X$18,ROWS(X$20:X27)), "")</f>
        <v/>
      </c>
      <c r="Y27" s="224" t="str">
        <f>IFERROR(LARGE(Y$3:Y$18,ROWS(Y$20:Y27)), "")</f>
        <v/>
      </c>
      <c r="Z27" s="224" t="str">
        <f>IFERROR(LARGE(Z$3:Z$18,ROWS(Z$20:Z27)), "")</f>
        <v/>
      </c>
      <c r="AA27" s="224" t="str">
        <f>IFERROR(LARGE(AA$3:AA$18,ROWS(AA$20:AA27)), "")</f>
        <v/>
      </c>
      <c r="AB27" s="224" t="str">
        <f>IFERROR(LARGE(AB$3:AB$18,ROWS(AB$20:AB27)), "")</f>
        <v/>
      </c>
      <c r="AC27" s="224" t="str">
        <f>IFERROR(LARGE(AC$3:AC$18,ROWS(AC$20:AC27)), "")</f>
        <v/>
      </c>
      <c r="AD27" s="224" t="str">
        <f>IFERROR(LARGE(AD$3:AD$18,ROWS(AD$20:AD27)), "")</f>
        <v/>
      </c>
      <c r="AE27" s="224" t="str">
        <f>IFERROR(LARGE(AE$3:AE$18,ROWS(AE$20:AE27)), "")</f>
        <v/>
      </c>
      <c r="AF27" s="224" t="str">
        <f>IFERROR(LARGE(AF$3:AF$18,ROWS(AF$20:AF27)), "")</f>
        <v/>
      </c>
      <c r="AG27" s="224" t="str">
        <f>IFERROR(LARGE(AG$3:AG$18,ROWS(AG$20:AG27)), "")</f>
        <v/>
      </c>
      <c r="AH27" s="224" t="str">
        <f>IFERROR(LARGE(AH$3:AH$18,ROWS(AH$20:AH27)), "")</f>
        <v/>
      </c>
      <c r="AI27" s="224" t="str">
        <f>IFERROR(LARGE(AI$3:AI$18,ROWS(AI$20:AI27)), "")</f>
        <v/>
      </c>
      <c r="AJ27" s="224" t="str">
        <f>IFERROR(LARGE(AJ$3:AJ$18,ROWS(AJ$20:AJ27)), "")</f>
        <v/>
      </c>
      <c r="AK27" s="224" t="str">
        <f>IFERROR(LARGE(AK$3:AK$18,ROWS(AK$20:AK27)), "")</f>
        <v/>
      </c>
      <c r="AL27" s="224" t="str">
        <f>IFERROR(LARGE(AL$3:AL$18,ROWS(AL$20:AL27)), "")</f>
        <v/>
      </c>
      <c r="AM27" s="224" t="str">
        <f>IFERROR(LARGE(AM$3:AM$18,ROWS(AM$20:AM27)), "")</f>
        <v/>
      </c>
      <c r="AN27" s="224" t="str">
        <f>IFERROR(LARGE(AN$3:AN$18,ROWS(AN$20:AN27)), "")</f>
        <v/>
      </c>
      <c r="AO27" s="224" t="str">
        <f>IFERROR(LARGE(AO$3:AO$18,ROWS(AO$20:AO27)), "")</f>
        <v/>
      </c>
      <c r="AP27" s="224" t="str">
        <f>IFERROR(LARGE(AP$3:AP$18,ROWS(AP$20:AP27)), "")</f>
        <v/>
      </c>
      <c r="AQ27" s="224">
        <f>IFERROR(LARGE(AQ$3:AQ$18,ROWS(AQ$20:AQ27)), "")</f>
        <v>274</v>
      </c>
      <c r="AR27" s="224">
        <f>IFERROR(LARGE(AR$3:AR$18,ROWS(AR$20:AR27)), "")</f>
        <v>274</v>
      </c>
    </row>
    <row r="28" spans="1:44">
      <c r="A28" s="45" t="s">
        <v>594</v>
      </c>
      <c r="B28" s="45" t="s">
        <v>200</v>
      </c>
      <c r="C28" s="230">
        <f>VLOOKUP(B28, 'S08 ABC Output'!$A$3:$C$18, 3, 0)</f>
        <v>25689</v>
      </c>
      <c r="D28" s="230">
        <f>VLOOKUP(B28, 'S12 Operations'!$C$2:$H$534, 6, 0)</f>
        <v>200</v>
      </c>
      <c r="E28" s="230">
        <f t="shared" si="2"/>
        <v>129</v>
      </c>
      <c r="F28" s="230">
        <f>VLOOKUP(A28, 'S11 Work Stations'!$A$2:$C$45, 3, 0)</f>
        <v>30</v>
      </c>
      <c r="G28" s="230">
        <f>VLOOKUP(B28&amp;"-"&amp;A28, 'S12 Operations'!$A$2:$G$534, 7, 0)</f>
        <v>180</v>
      </c>
      <c r="H28" s="229">
        <f t="shared" si="3"/>
        <v>3</v>
      </c>
      <c r="I28" s="229">
        <f t="shared" si="4"/>
        <v>80937</v>
      </c>
      <c r="J28" s="230">
        <f t="shared" si="5"/>
        <v>1349</v>
      </c>
      <c r="L28">
        <f t="shared" si="6"/>
        <v>3</v>
      </c>
      <c r="M28">
        <f t="shared" si="0"/>
        <v>129</v>
      </c>
      <c r="N28">
        <f t="shared" si="1"/>
        <v>626</v>
      </c>
      <c r="O28">
        <f t="shared" si="7"/>
        <v>3</v>
      </c>
      <c r="Q28" s="44"/>
      <c r="S28" s="224" t="str">
        <f>IFERROR(LARGE(S$3:S$18,ROWS(S$20:S28)), "")</f>
        <v/>
      </c>
      <c r="T28" s="224" t="str">
        <f>IFERROR(LARGE(T$3:T$18,ROWS(T$20:T28)), "")</f>
        <v/>
      </c>
      <c r="U28" s="224" t="str">
        <f>IFERROR(LARGE(U$3:U$18,ROWS(U$20:U28)), "")</f>
        <v/>
      </c>
      <c r="V28" s="224" t="str">
        <f>IFERROR(LARGE(V$3:V$18,ROWS(V$20:V28)), "")</f>
        <v/>
      </c>
      <c r="W28" s="224" t="str">
        <f>IFERROR(LARGE(W$3:W$18,ROWS(W$20:W28)), "")</f>
        <v/>
      </c>
      <c r="X28" s="224" t="str">
        <f>IFERROR(LARGE(X$3:X$18,ROWS(X$20:X28)), "")</f>
        <v/>
      </c>
      <c r="Y28" s="224" t="str">
        <f>IFERROR(LARGE(Y$3:Y$18,ROWS(Y$20:Y28)), "")</f>
        <v/>
      </c>
      <c r="Z28" s="224" t="str">
        <f>IFERROR(LARGE(Z$3:Z$18,ROWS(Z$20:Z28)), "")</f>
        <v/>
      </c>
      <c r="AA28" s="224" t="str">
        <f>IFERROR(LARGE(AA$3:AA$18,ROWS(AA$20:AA28)), "")</f>
        <v/>
      </c>
      <c r="AB28" s="224" t="str">
        <f>IFERROR(LARGE(AB$3:AB$18,ROWS(AB$20:AB28)), "")</f>
        <v/>
      </c>
      <c r="AC28" s="224" t="str">
        <f>IFERROR(LARGE(AC$3:AC$18,ROWS(AC$20:AC28)), "")</f>
        <v/>
      </c>
      <c r="AD28" s="224" t="str">
        <f>IFERROR(LARGE(AD$3:AD$18,ROWS(AD$20:AD28)), "")</f>
        <v/>
      </c>
      <c r="AE28" s="224" t="str">
        <f>IFERROR(LARGE(AE$3:AE$18,ROWS(AE$20:AE28)), "")</f>
        <v/>
      </c>
      <c r="AF28" s="224" t="str">
        <f>IFERROR(LARGE(AF$3:AF$18,ROWS(AF$20:AF28)), "")</f>
        <v/>
      </c>
      <c r="AG28" s="224" t="str">
        <f>IFERROR(LARGE(AG$3:AG$18,ROWS(AG$20:AG28)), "")</f>
        <v/>
      </c>
      <c r="AH28" s="224" t="str">
        <f>IFERROR(LARGE(AH$3:AH$18,ROWS(AH$20:AH28)), "")</f>
        <v/>
      </c>
      <c r="AI28" s="224" t="str">
        <f>IFERROR(LARGE(AI$3:AI$18,ROWS(AI$20:AI28)), "")</f>
        <v/>
      </c>
      <c r="AJ28" s="224" t="str">
        <f>IFERROR(LARGE(AJ$3:AJ$18,ROWS(AJ$20:AJ28)), "")</f>
        <v/>
      </c>
      <c r="AK28" s="224" t="str">
        <f>IFERROR(LARGE(AK$3:AK$18,ROWS(AK$20:AK28)), "")</f>
        <v/>
      </c>
      <c r="AL28" s="224" t="str">
        <f>IFERROR(LARGE(AL$3:AL$18,ROWS(AL$20:AL28)), "")</f>
        <v/>
      </c>
      <c r="AM28" s="224" t="str">
        <f>IFERROR(LARGE(AM$3:AM$18,ROWS(AM$20:AM28)), "")</f>
        <v/>
      </c>
      <c r="AN28" s="224" t="str">
        <f>IFERROR(LARGE(AN$3:AN$18,ROWS(AN$20:AN28)), "")</f>
        <v/>
      </c>
      <c r="AO28" s="224" t="str">
        <f>IFERROR(LARGE(AO$3:AO$18,ROWS(AO$20:AO28)), "")</f>
        <v/>
      </c>
      <c r="AP28" s="224" t="str">
        <f>IFERROR(LARGE(AP$3:AP$18,ROWS(AP$20:AP28)), "")</f>
        <v/>
      </c>
      <c r="AQ28" s="224">
        <f>IFERROR(LARGE(AQ$3:AQ$18,ROWS(AQ$20:AQ28)), "")</f>
        <v>254</v>
      </c>
      <c r="AR28" s="224">
        <f>IFERROR(LARGE(AR$3:AR$18,ROWS(AR$20:AR28)), "")</f>
        <v>254</v>
      </c>
    </row>
    <row r="29" spans="1:44">
      <c r="A29" s="45" t="s">
        <v>594</v>
      </c>
      <c r="B29" s="45" t="s">
        <v>205</v>
      </c>
      <c r="C29" s="230">
        <f>VLOOKUP(B29, 'S08 ABC Output'!$A$3:$C$18, 3, 0)</f>
        <v>25468</v>
      </c>
      <c r="D29" s="230">
        <f>VLOOKUP(B29, 'S12 Operations'!$C$2:$H$534, 6, 0)</f>
        <v>50</v>
      </c>
      <c r="E29" s="230">
        <f t="shared" si="2"/>
        <v>510</v>
      </c>
      <c r="F29" s="230">
        <f>VLOOKUP(A29, 'S11 Work Stations'!$A$2:$C$45, 3, 0)</f>
        <v>30</v>
      </c>
      <c r="G29" s="230">
        <f>VLOOKUP(B29&amp;"-"&amp;A29, 'S12 Operations'!$A$2:$G$534, 7, 0)</f>
        <v>180</v>
      </c>
      <c r="H29" s="229">
        <f t="shared" si="3"/>
        <v>3</v>
      </c>
      <c r="I29" s="229">
        <f t="shared" si="4"/>
        <v>91704</v>
      </c>
      <c r="J29" s="230">
        <f t="shared" si="5"/>
        <v>1528</v>
      </c>
      <c r="L29">
        <f t="shared" si="6"/>
        <v>2</v>
      </c>
      <c r="M29">
        <f t="shared" si="0"/>
        <v>129</v>
      </c>
      <c r="N29">
        <f t="shared" si="1"/>
        <v>626</v>
      </c>
      <c r="O29">
        <f t="shared" si="7"/>
        <v>3</v>
      </c>
      <c r="Q29" s="44"/>
      <c r="S29" s="224" t="str">
        <f>IFERROR(LARGE(S$3:S$18,ROWS(S$20:S29)), "")</f>
        <v/>
      </c>
      <c r="T29" s="224" t="str">
        <f>IFERROR(LARGE(T$3:T$18,ROWS(T$20:T29)), "")</f>
        <v/>
      </c>
      <c r="U29" s="224" t="str">
        <f>IFERROR(LARGE(U$3:U$18,ROWS(U$20:U29)), "")</f>
        <v/>
      </c>
      <c r="V29" s="224" t="str">
        <f>IFERROR(LARGE(V$3:V$18,ROWS(V$20:V29)), "")</f>
        <v/>
      </c>
      <c r="W29" s="224" t="str">
        <f>IFERROR(LARGE(W$3:W$18,ROWS(W$20:W29)), "")</f>
        <v/>
      </c>
      <c r="X29" s="224" t="str">
        <f>IFERROR(LARGE(X$3:X$18,ROWS(X$20:X29)), "")</f>
        <v/>
      </c>
      <c r="Y29" s="224" t="str">
        <f>IFERROR(LARGE(Y$3:Y$18,ROWS(Y$20:Y29)), "")</f>
        <v/>
      </c>
      <c r="Z29" s="224" t="str">
        <f>IFERROR(LARGE(Z$3:Z$18,ROWS(Z$20:Z29)), "")</f>
        <v/>
      </c>
      <c r="AA29" s="224" t="str">
        <f>IFERROR(LARGE(AA$3:AA$18,ROWS(AA$20:AA29)), "")</f>
        <v/>
      </c>
      <c r="AB29" s="224" t="str">
        <f>IFERROR(LARGE(AB$3:AB$18,ROWS(AB$20:AB29)), "")</f>
        <v/>
      </c>
      <c r="AC29" s="224" t="str">
        <f>IFERROR(LARGE(AC$3:AC$18,ROWS(AC$20:AC29)), "")</f>
        <v/>
      </c>
      <c r="AD29" s="224" t="str">
        <f>IFERROR(LARGE(AD$3:AD$18,ROWS(AD$20:AD29)), "")</f>
        <v/>
      </c>
      <c r="AE29" s="224" t="str">
        <f>IFERROR(LARGE(AE$3:AE$18,ROWS(AE$20:AE29)), "")</f>
        <v/>
      </c>
      <c r="AF29" s="224" t="str">
        <f>IFERROR(LARGE(AF$3:AF$18,ROWS(AF$20:AF29)), "")</f>
        <v/>
      </c>
      <c r="AG29" s="224" t="str">
        <f>IFERROR(LARGE(AG$3:AG$18,ROWS(AG$20:AG29)), "")</f>
        <v/>
      </c>
      <c r="AH29" s="224" t="str">
        <f>IFERROR(LARGE(AH$3:AH$18,ROWS(AH$20:AH29)), "")</f>
        <v/>
      </c>
      <c r="AI29" s="224" t="str">
        <f>IFERROR(LARGE(AI$3:AI$18,ROWS(AI$20:AI29)), "")</f>
        <v/>
      </c>
      <c r="AJ29" s="224" t="str">
        <f>IFERROR(LARGE(AJ$3:AJ$18,ROWS(AJ$20:AJ29)), "")</f>
        <v/>
      </c>
      <c r="AK29" s="224" t="str">
        <f>IFERROR(LARGE(AK$3:AK$18,ROWS(AK$20:AK29)), "")</f>
        <v/>
      </c>
      <c r="AL29" s="224" t="str">
        <f>IFERROR(LARGE(AL$3:AL$18,ROWS(AL$20:AL29)), "")</f>
        <v/>
      </c>
      <c r="AM29" s="224" t="str">
        <f>IFERROR(LARGE(AM$3:AM$18,ROWS(AM$20:AM29)), "")</f>
        <v/>
      </c>
      <c r="AN29" s="224" t="str">
        <f>IFERROR(LARGE(AN$3:AN$18,ROWS(AN$20:AN29)), "")</f>
        <v/>
      </c>
      <c r="AO29" s="224" t="str">
        <f>IFERROR(LARGE(AO$3:AO$18,ROWS(AO$20:AO29)), "")</f>
        <v/>
      </c>
      <c r="AP29" s="224" t="str">
        <f>IFERROR(LARGE(AP$3:AP$18,ROWS(AP$20:AP29)), "")</f>
        <v/>
      </c>
      <c r="AQ29" s="224">
        <f>IFERROR(LARGE(AQ$3:AQ$18,ROWS(AQ$20:AQ29)), "")</f>
        <v>230</v>
      </c>
      <c r="AR29" s="224">
        <f>IFERROR(LARGE(AR$3:AR$18,ROWS(AR$20:AR29)), "")</f>
        <v>230</v>
      </c>
    </row>
    <row r="30" spans="1:44">
      <c r="A30" s="45" t="s">
        <v>596</v>
      </c>
      <c r="B30" s="45" t="s">
        <v>182</v>
      </c>
      <c r="C30" s="230">
        <f>VLOOKUP(B30, 'S08 ABC Output'!$A$3:$C$18, 3, 0)</f>
        <v>86542</v>
      </c>
      <c r="D30" s="230">
        <f>VLOOKUP(B30, 'S12 Operations'!$C$2:$H$534, 6, 0)</f>
        <v>200</v>
      </c>
      <c r="E30" s="230">
        <f t="shared" si="2"/>
        <v>433</v>
      </c>
      <c r="F30" s="230">
        <f>VLOOKUP(A30, 'S11 Work Stations'!$A$2:$C$45, 3, 0)</f>
        <v>35</v>
      </c>
      <c r="G30" s="230">
        <f>VLOOKUP(B30&amp;"-"&amp;A30, 'S12 Operations'!$A$2:$G$534, 7, 0)</f>
        <v>180</v>
      </c>
      <c r="H30" s="229">
        <f t="shared" si="3"/>
        <v>3</v>
      </c>
      <c r="I30" s="229">
        <f t="shared" si="4"/>
        <v>269216</v>
      </c>
      <c r="J30" s="230">
        <f t="shared" si="5"/>
        <v>4487</v>
      </c>
      <c r="L30">
        <f t="shared" si="6"/>
        <v>1</v>
      </c>
      <c r="M30">
        <f t="shared" si="0"/>
        <v>274</v>
      </c>
      <c r="N30">
        <f t="shared" si="1"/>
        <v>433</v>
      </c>
      <c r="O30">
        <f t="shared" si="7"/>
        <v>2</v>
      </c>
      <c r="Q30" s="44"/>
      <c r="S30" s="224" t="str">
        <f>IFERROR(LARGE(S$3:S$18,ROWS(S$20:S30)), "")</f>
        <v/>
      </c>
      <c r="T30" s="224" t="str">
        <f>IFERROR(LARGE(T$3:T$18,ROWS(T$20:T30)), "")</f>
        <v/>
      </c>
      <c r="U30" s="224" t="str">
        <f>IFERROR(LARGE(U$3:U$18,ROWS(U$20:U30)), "")</f>
        <v/>
      </c>
      <c r="V30" s="224" t="str">
        <f>IFERROR(LARGE(V$3:V$18,ROWS(V$20:V30)), "")</f>
        <v/>
      </c>
      <c r="W30" s="224" t="str">
        <f>IFERROR(LARGE(W$3:W$18,ROWS(W$20:W30)), "")</f>
        <v/>
      </c>
      <c r="X30" s="224" t="str">
        <f>IFERROR(LARGE(X$3:X$18,ROWS(X$20:X30)), "")</f>
        <v/>
      </c>
      <c r="Y30" s="224" t="str">
        <f>IFERROR(LARGE(Y$3:Y$18,ROWS(Y$20:Y30)), "")</f>
        <v/>
      </c>
      <c r="Z30" s="224" t="str">
        <f>IFERROR(LARGE(Z$3:Z$18,ROWS(Z$20:Z30)), "")</f>
        <v/>
      </c>
      <c r="AA30" s="224" t="str">
        <f>IFERROR(LARGE(AA$3:AA$18,ROWS(AA$20:AA30)), "")</f>
        <v/>
      </c>
      <c r="AB30" s="224" t="str">
        <f>IFERROR(LARGE(AB$3:AB$18,ROWS(AB$20:AB30)), "")</f>
        <v/>
      </c>
      <c r="AC30" s="224" t="str">
        <f>IFERROR(LARGE(AC$3:AC$18,ROWS(AC$20:AC30)), "")</f>
        <v/>
      </c>
      <c r="AD30" s="224" t="str">
        <f>IFERROR(LARGE(AD$3:AD$18,ROWS(AD$20:AD30)), "")</f>
        <v/>
      </c>
      <c r="AE30" s="224" t="str">
        <f>IFERROR(LARGE(AE$3:AE$18,ROWS(AE$20:AE30)), "")</f>
        <v/>
      </c>
      <c r="AF30" s="224" t="str">
        <f>IFERROR(LARGE(AF$3:AF$18,ROWS(AF$20:AF30)), "")</f>
        <v/>
      </c>
      <c r="AG30" s="224" t="str">
        <f>IFERROR(LARGE(AG$3:AG$18,ROWS(AG$20:AG30)), "")</f>
        <v/>
      </c>
      <c r="AH30" s="224" t="str">
        <f>IFERROR(LARGE(AH$3:AH$18,ROWS(AH$20:AH30)), "")</f>
        <v/>
      </c>
      <c r="AI30" s="224" t="str">
        <f>IFERROR(LARGE(AI$3:AI$18,ROWS(AI$20:AI30)), "")</f>
        <v/>
      </c>
      <c r="AJ30" s="224" t="str">
        <f>IFERROR(LARGE(AJ$3:AJ$18,ROWS(AJ$20:AJ30)), "")</f>
        <v/>
      </c>
      <c r="AK30" s="224" t="str">
        <f>IFERROR(LARGE(AK$3:AK$18,ROWS(AK$20:AK30)), "")</f>
        <v/>
      </c>
      <c r="AL30" s="224" t="str">
        <f>IFERROR(LARGE(AL$3:AL$18,ROWS(AL$20:AL30)), "")</f>
        <v/>
      </c>
      <c r="AM30" s="224" t="str">
        <f>IFERROR(LARGE(AM$3:AM$18,ROWS(AM$20:AM30)), "")</f>
        <v/>
      </c>
      <c r="AN30" s="224" t="str">
        <f>IFERROR(LARGE(AN$3:AN$18,ROWS(AN$20:AN30)), "")</f>
        <v/>
      </c>
      <c r="AO30" s="224" t="str">
        <f>IFERROR(LARGE(AO$3:AO$18,ROWS(AO$20:AO30)), "")</f>
        <v/>
      </c>
      <c r="AP30" s="224" t="str">
        <f>IFERROR(LARGE(AP$3:AP$18,ROWS(AP$20:AP30)), "")</f>
        <v/>
      </c>
      <c r="AQ30" s="224">
        <f>IFERROR(LARGE(AQ$3:AQ$18,ROWS(AQ$20:AQ30)), "")</f>
        <v>183</v>
      </c>
      <c r="AR30" s="224">
        <f>IFERROR(LARGE(AR$3:AR$18,ROWS(AR$20:AR30)), "")</f>
        <v>183</v>
      </c>
    </row>
    <row r="31" spans="1:44">
      <c r="A31" s="45" t="s">
        <v>596</v>
      </c>
      <c r="B31" s="45" t="s">
        <v>188</v>
      </c>
      <c r="C31" s="230">
        <f>VLOOKUP(B31, 'S08 ABC Output'!$A$3:$C$18, 3, 0)</f>
        <v>54682</v>
      </c>
      <c r="D31" s="230">
        <f>VLOOKUP(B31, 'S12 Operations'!$C$2:$H$534, 6, 0)</f>
        <v>200</v>
      </c>
      <c r="E31" s="230">
        <f t="shared" si="2"/>
        <v>274</v>
      </c>
      <c r="F31" s="230">
        <f>VLOOKUP(A31, 'S11 Work Stations'!$A$2:$C$45, 3, 0)</f>
        <v>35</v>
      </c>
      <c r="G31" s="230">
        <f>VLOOKUP(B31&amp;"-"&amp;A31, 'S12 Operations'!$A$2:$G$534, 7, 0)</f>
        <v>420</v>
      </c>
      <c r="H31" s="229">
        <f t="shared" si="3"/>
        <v>7</v>
      </c>
      <c r="I31" s="229">
        <f t="shared" si="4"/>
        <v>392364</v>
      </c>
      <c r="J31" s="230">
        <f t="shared" si="5"/>
        <v>6539</v>
      </c>
      <c r="L31">
        <f t="shared" si="6"/>
        <v>2</v>
      </c>
      <c r="M31">
        <f t="shared" si="0"/>
        <v>274</v>
      </c>
      <c r="N31">
        <f t="shared" si="1"/>
        <v>433</v>
      </c>
      <c r="O31">
        <f t="shared" si="7"/>
        <v>2</v>
      </c>
      <c r="Q31" s="44"/>
      <c r="S31" s="224" t="str">
        <f>IFERROR(LARGE(S$3:S$18,ROWS(S$20:S31)), "")</f>
        <v/>
      </c>
      <c r="T31" s="224" t="str">
        <f>IFERROR(LARGE(T$3:T$18,ROWS(T$20:T31)), "")</f>
        <v/>
      </c>
      <c r="U31" s="224" t="str">
        <f>IFERROR(LARGE(U$3:U$18,ROWS(U$20:U31)), "")</f>
        <v/>
      </c>
      <c r="V31" s="224" t="str">
        <f>IFERROR(LARGE(V$3:V$18,ROWS(V$20:V31)), "")</f>
        <v/>
      </c>
      <c r="W31" s="224" t="str">
        <f>IFERROR(LARGE(W$3:W$18,ROWS(W$20:W31)), "")</f>
        <v/>
      </c>
      <c r="X31" s="224" t="str">
        <f>IFERROR(LARGE(X$3:X$18,ROWS(X$20:X31)), "")</f>
        <v/>
      </c>
      <c r="Y31" s="224" t="str">
        <f>IFERROR(LARGE(Y$3:Y$18,ROWS(Y$20:Y31)), "")</f>
        <v/>
      </c>
      <c r="Z31" s="224" t="str">
        <f>IFERROR(LARGE(Z$3:Z$18,ROWS(Z$20:Z31)), "")</f>
        <v/>
      </c>
      <c r="AA31" s="224" t="str">
        <f>IFERROR(LARGE(AA$3:AA$18,ROWS(AA$20:AA31)), "")</f>
        <v/>
      </c>
      <c r="AB31" s="224" t="str">
        <f>IFERROR(LARGE(AB$3:AB$18,ROWS(AB$20:AB31)), "")</f>
        <v/>
      </c>
      <c r="AC31" s="224" t="str">
        <f>IFERROR(LARGE(AC$3:AC$18,ROWS(AC$20:AC31)), "")</f>
        <v/>
      </c>
      <c r="AD31" s="224" t="str">
        <f>IFERROR(LARGE(AD$3:AD$18,ROWS(AD$20:AD31)), "")</f>
        <v/>
      </c>
      <c r="AE31" s="224" t="str">
        <f>IFERROR(LARGE(AE$3:AE$18,ROWS(AE$20:AE31)), "")</f>
        <v/>
      </c>
      <c r="AF31" s="224" t="str">
        <f>IFERROR(LARGE(AF$3:AF$18,ROWS(AF$20:AF31)), "")</f>
        <v/>
      </c>
      <c r="AG31" s="224" t="str">
        <f>IFERROR(LARGE(AG$3:AG$18,ROWS(AG$20:AG31)), "")</f>
        <v/>
      </c>
      <c r="AH31" s="224" t="str">
        <f>IFERROR(LARGE(AH$3:AH$18,ROWS(AH$20:AH31)), "")</f>
        <v/>
      </c>
      <c r="AI31" s="224" t="str">
        <f>IFERROR(LARGE(AI$3:AI$18,ROWS(AI$20:AI31)), "")</f>
        <v/>
      </c>
      <c r="AJ31" s="224" t="str">
        <f>IFERROR(LARGE(AJ$3:AJ$18,ROWS(AJ$20:AJ31)), "")</f>
        <v/>
      </c>
      <c r="AK31" s="224" t="str">
        <f>IFERROR(LARGE(AK$3:AK$18,ROWS(AK$20:AK31)), "")</f>
        <v/>
      </c>
      <c r="AL31" s="224" t="str">
        <f>IFERROR(LARGE(AL$3:AL$18,ROWS(AL$20:AL31)), "")</f>
        <v/>
      </c>
      <c r="AM31" s="224" t="str">
        <f>IFERROR(LARGE(AM$3:AM$18,ROWS(AM$20:AM31)), "")</f>
        <v/>
      </c>
      <c r="AN31" s="224" t="str">
        <f>IFERROR(LARGE(AN$3:AN$18,ROWS(AN$20:AN31)), "")</f>
        <v/>
      </c>
      <c r="AO31" s="224" t="str">
        <f>IFERROR(LARGE(AO$3:AO$18,ROWS(AO$20:AO31)), "")</f>
        <v/>
      </c>
      <c r="AP31" s="224" t="str">
        <f>IFERROR(LARGE(AP$3:AP$18,ROWS(AP$20:AP31)), "")</f>
        <v/>
      </c>
      <c r="AQ31" s="224">
        <f>IFERROR(LARGE(AQ$3:AQ$18,ROWS(AQ$20:AQ31)), "")</f>
        <v>183</v>
      </c>
      <c r="AR31" s="224">
        <f>IFERROR(LARGE(AR$3:AR$18,ROWS(AR$20:AR31)), "")</f>
        <v>183</v>
      </c>
    </row>
    <row r="32" spans="1:44">
      <c r="A32" s="45" t="s">
        <v>597</v>
      </c>
      <c r="B32" s="45" t="s">
        <v>176</v>
      </c>
      <c r="C32" s="230">
        <f>VLOOKUP(B32, 'S08 ABC Output'!$A$3:$C$18, 3, 0)</f>
        <v>250356</v>
      </c>
      <c r="D32" s="230">
        <f>VLOOKUP(B32, 'S12 Operations'!$C$2:$H$534, 6, 0)</f>
        <v>200</v>
      </c>
      <c r="E32" s="230">
        <f t="shared" si="2"/>
        <v>1252</v>
      </c>
      <c r="F32" s="230">
        <f>VLOOKUP(A32, 'S11 Work Stations'!$A$2:$C$45, 3, 0)</f>
        <v>25</v>
      </c>
      <c r="G32" s="230">
        <f>VLOOKUP(B32&amp;"-"&amp;A32, 'S12 Operations'!$A$2:$G$534, 7, 0)</f>
        <v>360</v>
      </c>
      <c r="H32" s="229">
        <f t="shared" si="3"/>
        <v>6</v>
      </c>
      <c r="I32" s="229">
        <f t="shared" si="4"/>
        <v>1505361</v>
      </c>
      <c r="J32" s="230">
        <f t="shared" si="5"/>
        <v>25089</v>
      </c>
      <c r="L32">
        <f t="shared" si="6"/>
        <v>1</v>
      </c>
      <c r="M32">
        <f t="shared" si="0"/>
        <v>129</v>
      </c>
      <c r="N32">
        <f t="shared" si="1"/>
        <v>1252</v>
      </c>
      <c r="O32">
        <f t="shared" si="7"/>
        <v>3</v>
      </c>
      <c r="Q32" s="44"/>
      <c r="S32" s="224" t="str">
        <f>IFERROR(LARGE(S$3:S$18,ROWS(S$20:S32)), "")</f>
        <v/>
      </c>
      <c r="T32" s="224" t="str">
        <f>IFERROR(LARGE(T$3:T$18,ROWS(T$20:T32)), "")</f>
        <v/>
      </c>
      <c r="U32" s="224" t="str">
        <f>IFERROR(LARGE(U$3:U$18,ROWS(U$20:U32)), "")</f>
        <v/>
      </c>
      <c r="V32" s="224" t="str">
        <f>IFERROR(LARGE(V$3:V$18,ROWS(V$20:V32)), "")</f>
        <v/>
      </c>
      <c r="W32" s="224" t="str">
        <f>IFERROR(LARGE(W$3:W$18,ROWS(W$20:W32)), "")</f>
        <v/>
      </c>
      <c r="X32" s="224" t="str">
        <f>IFERROR(LARGE(X$3:X$18,ROWS(X$20:X32)), "")</f>
        <v/>
      </c>
      <c r="Y32" s="224" t="str">
        <f>IFERROR(LARGE(Y$3:Y$18,ROWS(Y$20:Y32)), "")</f>
        <v/>
      </c>
      <c r="Z32" s="224" t="str">
        <f>IFERROR(LARGE(Z$3:Z$18,ROWS(Z$20:Z32)), "")</f>
        <v/>
      </c>
      <c r="AA32" s="224" t="str">
        <f>IFERROR(LARGE(AA$3:AA$18,ROWS(AA$20:AA32)), "")</f>
        <v/>
      </c>
      <c r="AB32" s="224" t="str">
        <f>IFERROR(LARGE(AB$3:AB$18,ROWS(AB$20:AB32)), "")</f>
        <v/>
      </c>
      <c r="AC32" s="224" t="str">
        <f>IFERROR(LARGE(AC$3:AC$18,ROWS(AC$20:AC32)), "")</f>
        <v/>
      </c>
      <c r="AD32" s="224" t="str">
        <f>IFERROR(LARGE(AD$3:AD$18,ROWS(AD$20:AD32)), "")</f>
        <v/>
      </c>
      <c r="AE32" s="224" t="str">
        <f>IFERROR(LARGE(AE$3:AE$18,ROWS(AE$20:AE32)), "")</f>
        <v/>
      </c>
      <c r="AF32" s="224" t="str">
        <f>IFERROR(LARGE(AF$3:AF$18,ROWS(AF$20:AF32)), "")</f>
        <v/>
      </c>
      <c r="AG32" s="224" t="str">
        <f>IFERROR(LARGE(AG$3:AG$18,ROWS(AG$20:AG32)), "")</f>
        <v/>
      </c>
      <c r="AH32" s="224" t="str">
        <f>IFERROR(LARGE(AH$3:AH$18,ROWS(AH$20:AH32)), "")</f>
        <v/>
      </c>
      <c r="AI32" s="224" t="str">
        <f>IFERROR(LARGE(AI$3:AI$18,ROWS(AI$20:AI32)), "")</f>
        <v/>
      </c>
      <c r="AJ32" s="224" t="str">
        <f>IFERROR(LARGE(AJ$3:AJ$18,ROWS(AJ$20:AJ32)), "")</f>
        <v/>
      </c>
      <c r="AK32" s="224" t="str">
        <f>IFERROR(LARGE(AK$3:AK$18,ROWS(AK$20:AK32)), "")</f>
        <v/>
      </c>
      <c r="AL32" s="224" t="str">
        <f>IFERROR(LARGE(AL$3:AL$18,ROWS(AL$20:AL32)), "")</f>
        <v/>
      </c>
      <c r="AM32" s="224" t="str">
        <f>IFERROR(LARGE(AM$3:AM$18,ROWS(AM$20:AM32)), "")</f>
        <v/>
      </c>
      <c r="AN32" s="224" t="str">
        <f>IFERROR(LARGE(AN$3:AN$18,ROWS(AN$20:AN32)), "")</f>
        <v/>
      </c>
      <c r="AO32" s="224" t="str">
        <f>IFERROR(LARGE(AO$3:AO$18,ROWS(AO$20:AO32)), "")</f>
        <v/>
      </c>
      <c r="AP32" s="224" t="str">
        <f>IFERROR(LARGE(AP$3:AP$18,ROWS(AP$20:AP32)), "")</f>
        <v/>
      </c>
      <c r="AQ32" s="224">
        <f>IFERROR(LARGE(AQ$3:AQ$18,ROWS(AQ$20:AQ32)), "")</f>
        <v>129</v>
      </c>
      <c r="AR32" s="224">
        <f>IFERROR(LARGE(AR$3:AR$18,ROWS(AR$20:AR32)), "")</f>
        <v>129</v>
      </c>
    </row>
    <row r="33" spans="1:44">
      <c r="A33" s="45" t="s">
        <v>597</v>
      </c>
      <c r="B33" s="45" t="s">
        <v>198</v>
      </c>
      <c r="C33" s="230">
        <f>VLOOKUP(B33, 'S08 ABC Output'!$A$3:$C$18, 3, 0)</f>
        <v>25689</v>
      </c>
      <c r="D33" s="230">
        <f>VLOOKUP(B33, 'S12 Operations'!$C$2:$H$534, 6, 0)</f>
        <v>200</v>
      </c>
      <c r="E33" s="230">
        <f t="shared" si="2"/>
        <v>129</v>
      </c>
      <c r="F33" s="230">
        <f>VLOOKUP(A33, 'S11 Work Stations'!$A$2:$C$45, 3, 0)</f>
        <v>25</v>
      </c>
      <c r="G33" s="230">
        <f>VLOOKUP(B33&amp;"-"&amp;A33, 'S12 Operations'!$A$2:$G$534, 7, 0)</f>
        <v>180</v>
      </c>
      <c r="H33" s="229">
        <f t="shared" si="3"/>
        <v>3</v>
      </c>
      <c r="I33" s="229">
        <f t="shared" si="4"/>
        <v>80292</v>
      </c>
      <c r="J33" s="230">
        <f t="shared" si="5"/>
        <v>1338</v>
      </c>
      <c r="L33">
        <f t="shared" si="6"/>
        <v>2</v>
      </c>
      <c r="M33">
        <f t="shared" si="0"/>
        <v>129</v>
      </c>
      <c r="N33">
        <f t="shared" si="1"/>
        <v>1252</v>
      </c>
      <c r="O33">
        <f t="shared" si="7"/>
        <v>3</v>
      </c>
      <c r="Q33" s="44"/>
      <c r="S33" s="224" t="str">
        <f>IFERROR(LARGE(S$3:S$18,ROWS(S$20:S33)), "")</f>
        <v/>
      </c>
      <c r="T33" s="224" t="str">
        <f>IFERROR(LARGE(T$3:T$18,ROWS(T$20:T33)), "")</f>
        <v/>
      </c>
      <c r="U33" s="224" t="str">
        <f>IFERROR(LARGE(U$3:U$18,ROWS(U$20:U33)), "")</f>
        <v/>
      </c>
      <c r="V33" s="224" t="str">
        <f>IFERROR(LARGE(V$3:V$18,ROWS(V$20:V33)), "")</f>
        <v/>
      </c>
      <c r="W33" s="224" t="str">
        <f>IFERROR(LARGE(W$3:W$18,ROWS(W$20:W33)), "")</f>
        <v/>
      </c>
      <c r="X33" s="224" t="str">
        <f>IFERROR(LARGE(X$3:X$18,ROWS(X$20:X33)), "")</f>
        <v/>
      </c>
      <c r="Y33" s="224" t="str">
        <f>IFERROR(LARGE(Y$3:Y$18,ROWS(Y$20:Y33)), "")</f>
        <v/>
      </c>
      <c r="Z33" s="224" t="str">
        <f>IFERROR(LARGE(Z$3:Z$18,ROWS(Z$20:Z33)), "")</f>
        <v/>
      </c>
      <c r="AA33" s="224" t="str">
        <f>IFERROR(LARGE(AA$3:AA$18,ROWS(AA$20:AA33)), "")</f>
        <v/>
      </c>
      <c r="AB33" s="224" t="str">
        <f>IFERROR(LARGE(AB$3:AB$18,ROWS(AB$20:AB33)), "")</f>
        <v/>
      </c>
      <c r="AC33" s="224" t="str">
        <f>IFERROR(LARGE(AC$3:AC$18,ROWS(AC$20:AC33)), "")</f>
        <v/>
      </c>
      <c r="AD33" s="224" t="str">
        <f>IFERROR(LARGE(AD$3:AD$18,ROWS(AD$20:AD33)), "")</f>
        <v/>
      </c>
      <c r="AE33" s="224" t="str">
        <f>IFERROR(LARGE(AE$3:AE$18,ROWS(AE$20:AE33)), "")</f>
        <v/>
      </c>
      <c r="AF33" s="224" t="str">
        <f>IFERROR(LARGE(AF$3:AF$18,ROWS(AF$20:AF33)), "")</f>
        <v/>
      </c>
      <c r="AG33" s="224" t="str">
        <f>IFERROR(LARGE(AG$3:AG$18,ROWS(AG$20:AG33)), "")</f>
        <v/>
      </c>
      <c r="AH33" s="224" t="str">
        <f>IFERROR(LARGE(AH$3:AH$18,ROWS(AH$20:AH33)), "")</f>
        <v/>
      </c>
      <c r="AI33" s="224" t="str">
        <f>IFERROR(LARGE(AI$3:AI$18,ROWS(AI$20:AI33)), "")</f>
        <v/>
      </c>
      <c r="AJ33" s="224" t="str">
        <f>IFERROR(LARGE(AJ$3:AJ$18,ROWS(AJ$20:AJ33)), "")</f>
        <v/>
      </c>
      <c r="AK33" s="224" t="str">
        <f>IFERROR(LARGE(AK$3:AK$18,ROWS(AK$20:AK33)), "")</f>
        <v/>
      </c>
      <c r="AL33" s="224" t="str">
        <f>IFERROR(LARGE(AL$3:AL$18,ROWS(AL$20:AL33)), "")</f>
        <v/>
      </c>
      <c r="AM33" s="224" t="str">
        <f>IFERROR(LARGE(AM$3:AM$18,ROWS(AM$20:AM33)), "")</f>
        <v/>
      </c>
      <c r="AN33" s="224" t="str">
        <f>IFERROR(LARGE(AN$3:AN$18,ROWS(AN$20:AN33)), "")</f>
        <v/>
      </c>
      <c r="AO33" s="224" t="str">
        <f>IFERROR(LARGE(AO$3:AO$18,ROWS(AO$20:AO33)), "")</f>
        <v/>
      </c>
      <c r="AP33" s="224" t="str">
        <f>IFERROR(LARGE(AP$3:AP$18,ROWS(AP$20:AP33)), "")</f>
        <v/>
      </c>
      <c r="AQ33" s="224">
        <f>IFERROR(LARGE(AQ$3:AQ$18,ROWS(AQ$20:AQ33)), "")</f>
        <v>129</v>
      </c>
      <c r="AR33" s="224">
        <f>IFERROR(LARGE(AR$3:AR$18,ROWS(AR$20:AR33)), "")</f>
        <v>129</v>
      </c>
    </row>
    <row r="34" spans="1:44">
      <c r="A34" s="45" t="s">
        <v>597</v>
      </c>
      <c r="B34" s="45" t="s">
        <v>203</v>
      </c>
      <c r="C34" s="230">
        <f>VLOOKUP(B34, 'S08 ABC Output'!$A$3:$C$18, 3, 0)</f>
        <v>25639</v>
      </c>
      <c r="D34" s="230">
        <f>VLOOKUP(B34, 'S12 Operations'!$C$2:$H$534, 6, 0)</f>
        <v>200</v>
      </c>
      <c r="E34" s="230">
        <f t="shared" si="2"/>
        <v>129</v>
      </c>
      <c r="F34" s="230">
        <f>VLOOKUP(A34, 'S11 Work Stations'!$A$2:$C$45, 3, 0)</f>
        <v>25</v>
      </c>
      <c r="G34" s="230">
        <f>VLOOKUP(B34&amp;"-"&amp;A34, 'S12 Operations'!$A$2:$G$534, 7, 0)</f>
        <v>120</v>
      </c>
      <c r="H34" s="229">
        <f t="shared" si="3"/>
        <v>2</v>
      </c>
      <c r="I34" s="229">
        <f t="shared" si="4"/>
        <v>54503</v>
      </c>
      <c r="J34" s="230">
        <f t="shared" si="5"/>
        <v>908</v>
      </c>
      <c r="L34">
        <f t="shared" si="6"/>
        <v>2</v>
      </c>
      <c r="M34">
        <f t="shared" ref="M34:M65" si="9">MIN(_xlfn.IFS($A34=$S$2,$S$3:$S$18,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129</v>
      </c>
      <c r="N34">
        <f t="shared" ref="N34:N65" si="10">MAX(_xlfn.IFS($A34=$S$2,$S$3:$S$18,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1252</v>
      </c>
      <c r="O34">
        <f t="shared" si="7"/>
        <v>3</v>
      </c>
      <c r="Q34" s="44"/>
      <c r="S34" s="224" t="str">
        <f>IFERROR(LARGE(S$3:S$18,ROWS(S$20:S34)), "")</f>
        <v/>
      </c>
      <c r="T34" s="224" t="str">
        <f>IFERROR(LARGE(T$3:T$18,ROWS(T$20:T34)), "")</f>
        <v/>
      </c>
      <c r="U34" s="224" t="str">
        <f>IFERROR(LARGE(U$3:U$18,ROWS(U$20:U34)), "")</f>
        <v/>
      </c>
      <c r="V34" s="224" t="str">
        <f>IFERROR(LARGE(V$3:V$18,ROWS(V$20:V34)), "")</f>
        <v/>
      </c>
      <c r="W34" s="224" t="str">
        <f>IFERROR(LARGE(W$3:W$18,ROWS(W$20:W34)), "")</f>
        <v/>
      </c>
      <c r="X34" s="224" t="str">
        <f>IFERROR(LARGE(X$3:X$18,ROWS(X$20:X34)), "")</f>
        <v/>
      </c>
      <c r="Y34" s="224" t="str">
        <f>IFERROR(LARGE(Y$3:Y$18,ROWS(Y$20:Y34)), "")</f>
        <v/>
      </c>
      <c r="Z34" s="224" t="str">
        <f>IFERROR(LARGE(Z$3:Z$18,ROWS(Z$20:Z34)), "")</f>
        <v/>
      </c>
      <c r="AA34" s="224" t="str">
        <f>IFERROR(LARGE(AA$3:AA$18,ROWS(AA$20:AA34)), "")</f>
        <v/>
      </c>
      <c r="AB34" s="224" t="str">
        <f>IFERROR(LARGE(AB$3:AB$18,ROWS(AB$20:AB34)), "")</f>
        <v/>
      </c>
      <c r="AC34" s="224" t="str">
        <f>IFERROR(LARGE(AC$3:AC$18,ROWS(AC$20:AC34)), "")</f>
        <v/>
      </c>
      <c r="AD34" s="224" t="str">
        <f>IFERROR(LARGE(AD$3:AD$18,ROWS(AD$20:AD34)), "")</f>
        <v/>
      </c>
      <c r="AE34" s="224" t="str">
        <f>IFERROR(LARGE(AE$3:AE$18,ROWS(AE$20:AE34)), "")</f>
        <v/>
      </c>
      <c r="AF34" s="224" t="str">
        <f>IFERROR(LARGE(AF$3:AF$18,ROWS(AF$20:AF34)), "")</f>
        <v/>
      </c>
      <c r="AG34" s="224" t="str">
        <f>IFERROR(LARGE(AG$3:AG$18,ROWS(AG$20:AG34)), "")</f>
        <v/>
      </c>
      <c r="AH34" s="224" t="str">
        <f>IFERROR(LARGE(AH$3:AH$18,ROWS(AH$20:AH34)), "")</f>
        <v/>
      </c>
      <c r="AI34" s="224" t="str">
        <f>IFERROR(LARGE(AI$3:AI$18,ROWS(AI$20:AI34)), "")</f>
        <v/>
      </c>
      <c r="AJ34" s="224" t="str">
        <f>IFERROR(LARGE(AJ$3:AJ$18,ROWS(AJ$20:AJ34)), "")</f>
        <v/>
      </c>
      <c r="AK34" s="224" t="str">
        <f>IFERROR(LARGE(AK$3:AK$18,ROWS(AK$20:AK34)), "")</f>
        <v/>
      </c>
      <c r="AL34" s="224" t="str">
        <f>IFERROR(LARGE(AL$3:AL$18,ROWS(AL$20:AL34)), "")</f>
        <v/>
      </c>
      <c r="AM34" s="224" t="str">
        <f>IFERROR(LARGE(AM$3:AM$18,ROWS(AM$20:AM34)), "")</f>
        <v/>
      </c>
      <c r="AN34" s="224" t="str">
        <f>IFERROR(LARGE(AN$3:AN$18,ROWS(AN$20:AN34)), "")</f>
        <v/>
      </c>
      <c r="AO34" s="224" t="str">
        <f>IFERROR(LARGE(AO$3:AO$18,ROWS(AO$20:AO34)), "")</f>
        <v/>
      </c>
      <c r="AP34" s="224" t="str">
        <f>IFERROR(LARGE(AP$3:AP$18,ROWS(AP$20:AP34)), "")</f>
        <v/>
      </c>
      <c r="AQ34" s="224">
        <f>IFERROR(LARGE(AQ$3:AQ$18,ROWS(AQ$20:AQ34)), "")</f>
        <v>129</v>
      </c>
      <c r="AR34" s="224">
        <f>IFERROR(LARGE(AR$3:AR$18,ROWS(AR$20:AR34)), "")</f>
        <v>129</v>
      </c>
    </row>
    <row r="35" spans="1:44">
      <c r="A35" s="45" t="s">
        <v>598</v>
      </c>
      <c r="B35" s="45" t="s">
        <v>178</v>
      </c>
      <c r="C35" s="230">
        <f>VLOOKUP(B35, 'S08 ABC Output'!$A$3:$C$18, 3, 0)</f>
        <v>215425</v>
      </c>
      <c r="D35" s="230">
        <f>VLOOKUP(B35, 'S12 Operations'!$C$2:$H$534, 6, 0)</f>
        <v>200</v>
      </c>
      <c r="E35" s="230">
        <f t="shared" si="2"/>
        <v>1078</v>
      </c>
      <c r="F35" s="230">
        <f>VLOOKUP(A35, 'S11 Work Stations'!$A$2:$C$45, 3, 0)</f>
        <v>30</v>
      </c>
      <c r="G35" s="230">
        <f>VLOOKUP(B35&amp;"-"&amp;A35, 'S12 Operations'!$A$2:$G$534, 7, 0)</f>
        <v>480</v>
      </c>
      <c r="H35" s="229">
        <f t="shared" si="3"/>
        <v>8</v>
      </c>
      <c r="I35" s="229">
        <f t="shared" si="4"/>
        <v>1733210</v>
      </c>
      <c r="J35" s="230">
        <f t="shared" si="5"/>
        <v>28887</v>
      </c>
      <c r="L35">
        <f t="shared" si="6"/>
        <v>1</v>
      </c>
      <c r="M35">
        <f t="shared" si="9"/>
        <v>129</v>
      </c>
      <c r="N35">
        <f t="shared" si="10"/>
        <v>1078</v>
      </c>
      <c r="O35">
        <f t="shared" si="7"/>
        <v>6</v>
      </c>
      <c r="Q35" s="44"/>
      <c r="S35" s="224" t="str">
        <f>IFERROR(LARGE(S$3:S$18,ROWS(S$20:S35)), "")</f>
        <v/>
      </c>
      <c r="T35" s="224" t="str">
        <f>IFERROR(LARGE(T$3:T$18,ROWS(T$20:T35)), "")</f>
        <v/>
      </c>
      <c r="U35" s="224" t="str">
        <f>IFERROR(LARGE(U$3:U$18,ROWS(U$20:U35)), "")</f>
        <v/>
      </c>
      <c r="V35" s="224" t="str">
        <f>IFERROR(LARGE(V$3:V$18,ROWS(V$20:V35)), "")</f>
        <v/>
      </c>
      <c r="W35" s="224" t="str">
        <f>IFERROR(LARGE(W$3:W$18,ROWS(W$20:W35)), "")</f>
        <v/>
      </c>
      <c r="X35" s="224" t="str">
        <f>IFERROR(LARGE(X$3:X$18,ROWS(X$20:X35)), "")</f>
        <v/>
      </c>
      <c r="Y35" s="224" t="str">
        <f>IFERROR(LARGE(Y$3:Y$18,ROWS(Y$20:Y35)), "")</f>
        <v/>
      </c>
      <c r="Z35" s="224" t="str">
        <f>IFERROR(LARGE(Z$3:Z$18,ROWS(Z$20:Z35)), "")</f>
        <v/>
      </c>
      <c r="AA35" s="224" t="str">
        <f>IFERROR(LARGE(AA$3:AA$18,ROWS(AA$20:AA35)), "")</f>
        <v/>
      </c>
      <c r="AB35" s="224" t="str">
        <f>IFERROR(LARGE(AB$3:AB$18,ROWS(AB$20:AB35)), "")</f>
        <v/>
      </c>
      <c r="AC35" s="224" t="str">
        <f>IFERROR(LARGE(AC$3:AC$18,ROWS(AC$20:AC35)), "")</f>
        <v/>
      </c>
      <c r="AD35" s="224" t="str">
        <f>IFERROR(LARGE(AD$3:AD$18,ROWS(AD$20:AD35)), "")</f>
        <v/>
      </c>
      <c r="AE35" s="224" t="str">
        <f>IFERROR(LARGE(AE$3:AE$18,ROWS(AE$20:AE35)), "")</f>
        <v/>
      </c>
      <c r="AF35" s="224" t="str">
        <f>IFERROR(LARGE(AF$3:AF$18,ROWS(AF$20:AF35)), "")</f>
        <v/>
      </c>
      <c r="AG35" s="224" t="str">
        <f>IFERROR(LARGE(AG$3:AG$18,ROWS(AG$20:AG35)), "")</f>
        <v/>
      </c>
      <c r="AH35" s="224" t="str">
        <f>IFERROR(LARGE(AH$3:AH$18,ROWS(AH$20:AH35)), "")</f>
        <v/>
      </c>
      <c r="AI35" s="224" t="str">
        <f>IFERROR(LARGE(AI$3:AI$18,ROWS(AI$20:AI35)), "")</f>
        <v/>
      </c>
      <c r="AJ35" s="224" t="str">
        <f>IFERROR(LARGE(AJ$3:AJ$18,ROWS(AJ$20:AJ35)), "")</f>
        <v/>
      </c>
      <c r="AK35" s="224" t="str">
        <f>IFERROR(LARGE(AK$3:AK$18,ROWS(AK$20:AK35)), "")</f>
        <v/>
      </c>
      <c r="AL35" s="224" t="str">
        <f>IFERROR(LARGE(AL$3:AL$18,ROWS(AL$20:AL35)), "")</f>
        <v/>
      </c>
      <c r="AM35" s="224" t="str">
        <f>IFERROR(LARGE(AM$3:AM$18,ROWS(AM$20:AM35)), "")</f>
        <v/>
      </c>
      <c r="AN35" s="224" t="str">
        <f>IFERROR(LARGE(AN$3:AN$18,ROWS(AN$20:AN35)), "")</f>
        <v/>
      </c>
      <c r="AO35" s="224" t="str">
        <f>IFERROR(LARGE(AO$3:AO$18,ROWS(AO$20:AO35)), "")</f>
        <v/>
      </c>
      <c r="AP35" s="224" t="str">
        <f>IFERROR(LARGE(AP$3:AP$18,ROWS(AP$20:AP35)), "")</f>
        <v/>
      </c>
      <c r="AQ35" s="224">
        <f>IFERROR(LARGE(AQ$3:AQ$18,ROWS(AQ$20:AQ35)), "")</f>
        <v>129</v>
      </c>
      <c r="AR35" s="224">
        <f>IFERROR(LARGE(AR$3:AR$18,ROWS(AR$20:AR35)), "")</f>
        <v>129</v>
      </c>
    </row>
    <row r="36" spans="1:44">
      <c r="A36" s="45" t="s">
        <v>598</v>
      </c>
      <c r="B36" s="45" t="s">
        <v>186</v>
      </c>
      <c r="C36" s="230">
        <f>VLOOKUP(B36, 'S08 ABC Output'!$A$3:$C$18, 3, 0)</f>
        <v>65248</v>
      </c>
      <c r="D36" s="230">
        <f>VLOOKUP(B36, 'S12 Operations'!$C$2:$H$534, 6, 0)</f>
        <v>200</v>
      </c>
      <c r="E36" s="230">
        <f t="shared" si="2"/>
        <v>327</v>
      </c>
      <c r="F36" s="230">
        <f>VLOOKUP(A36, 'S11 Work Stations'!$A$2:$C$45, 3, 0)</f>
        <v>30</v>
      </c>
      <c r="G36" s="230">
        <f>VLOOKUP(B36&amp;"-"&amp;A36, 'S12 Operations'!$A$2:$G$534, 7, 0)</f>
        <v>120</v>
      </c>
      <c r="H36" s="229">
        <f t="shared" si="3"/>
        <v>2</v>
      </c>
      <c r="I36" s="229">
        <f t="shared" si="4"/>
        <v>140306</v>
      </c>
      <c r="J36" s="230">
        <f t="shared" si="5"/>
        <v>2338</v>
      </c>
      <c r="L36">
        <f t="shared" si="6"/>
        <v>2</v>
      </c>
      <c r="M36">
        <f t="shared" si="9"/>
        <v>129</v>
      </c>
      <c r="N36">
        <f t="shared" si="10"/>
        <v>1078</v>
      </c>
      <c r="O36">
        <f t="shared" si="7"/>
        <v>6</v>
      </c>
      <c r="Q36" s="44"/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>
      <c r="A37" s="45" t="s">
        <v>598</v>
      </c>
      <c r="B37" s="45" t="s">
        <v>192</v>
      </c>
      <c r="C37" s="230">
        <f>VLOOKUP(B37, 'S08 ABC Output'!$A$3:$C$18, 3, 0)</f>
        <v>45896</v>
      </c>
      <c r="D37" s="230">
        <f>VLOOKUP(B37, 'S12 Operations'!$C$2:$H$534, 6, 0)</f>
        <v>200</v>
      </c>
      <c r="E37" s="230">
        <f t="shared" si="2"/>
        <v>230</v>
      </c>
      <c r="F37" s="230">
        <f>VLOOKUP(A37, 'S11 Work Stations'!$A$2:$C$45, 3, 0)</f>
        <v>30</v>
      </c>
      <c r="G37" s="230">
        <f>VLOOKUP(B37&amp;"-"&amp;A37, 'S12 Operations'!$A$2:$G$534, 7, 0)</f>
        <v>120</v>
      </c>
      <c r="H37" s="229">
        <f t="shared" si="3"/>
        <v>2</v>
      </c>
      <c r="I37" s="229">
        <f t="shared" si="4"/>
        <v>98692</v>
      </c>
      <c r="J37" s="230">
        <f t="shared" si="5"/>
        <v>1645</v>
      </c>
      <c r="L37">
        <f t="shared" si="6"/>
        <v>3</v>
      </c>
      <c r="M37">
        <f t="shared" si="9"/>
        <v>129</v>
      </c>
      <c r="N37">
        <f t="shared" si="10"/>
        <v>1078</v>
      </c>
      <c r="O37">
        <f t="shared" si="7"/>
        <v>6</v>
      </c>
      <c r="Q37" s="44"/>
      <c r="S37" s="225" t="str">
        <f>S2</f>
        <v>WS-02</v>
      </c>
      <c r="T37" s="225" t="str">
        <f>T2</f>
        <v>WS-03</v>
      </c>
      <c r="U37" s="225" t="str">
        <f t="shared" ref="U37:AR37" si="11">U2</f>
        <v>WS-04</v>
      </c>
      <c r="V37" s="225" t="str">
        <f t="shared" si="11"/>
        <v>WS-05</v>
      </c>
      <c r="W37" s="225" t="str">
        <f t="shared" si="11"/>
        <v>WS-07</v>
      </c>
      <c r="X37" s="225" t="str">
        <f t="shared" si="11"/>
        <v>WS-08</v>
      </c>
      <c r="Y37" s="225" t="str">
        <f t="shared" si="11"/>
        <v>WS-18</v>
      </c>
      <c r="Z37" s="225" t="str">
        <f t="shared" si="11"/>
        <v>WS-20</v>
      </c>
      <c r="AA37" s="225" t="str">
        <f t="shared" si="11"/>
        <v>WS-21</v>
      </c>
      <c r="AB37" s="225" t="str">
        <f t="shared" si="11"/>
        <v>WS-23</v>
      </c>
      <c r="AC37" s="225" t="str">
        <f t="shared" si="11"/>
        <v>WS-24</v>
      </c>
      <c r="AD37" s="225" t="str">
        <f t="shared" si="11"/>
        <v>WS-25</v>
      </c>
      <c r="AE37" s="225" t="str">
        <f t="shared" si="11"/>
        <v>WS-26</v>
      </c>
      <c r="AF37" s="225" t="str">
        <f t="shared" si="11"/>
        <v>WS-27</v>
      </c>
      <c r="AG37" s="225" t="str">
        <f t="shared" si="11"/>
        <v>WS-28</v>
      </c>
      <c r="AH37" s="225" t="str">
        <f t="shared" si="11"/>
        <v>WS-29</v>
      </c>
      <c r="AI37" s="225" t="str">
        <f t="shared" si="11"/>
        <v>WS-31</v>
      </c>
      <c r="AJ37" s="225" t="str">
        <f t="shared" si="11"/>
        <v>WS-32</v>
      </c>
      <c r="AK37" s="225" t="str">
        <f t="shared" si="11"/>
        <v>WS-33</v>
      </c>
      <c r="AL37" s="225" t="str">
        <f t="shared" si="11"/>
        <v>WS-34</v>
      </c>
      <c r="AM37" s="225" t="str">
        <f t="shared" si="11"/>
        <v>WS-36</v>
      </c>
      <c r="AN37" s="225" t="str">
        <f t="shared" si="11"/>
        <v>WS-38</v>
      </c>
      <c r="AO37" s="225" t="str">
        <f t="shared" si="11"/>
        <v>WS-40</v>
      </c>
      <c r="AP37" s="225" t="str">
        <f t="shared" si="11"/>
        <v>WS-42</v>
      </c>
      <c r="AQ37" s="225" t="str">
        <f t="shared" si="11"/>
        <v>WS-43</v>
      </c>
      <c r="AR37" s="225" t="str">
        <f t="shared" si="11"/>
        <v>WS-44</v>
      </c>
    </row>
    <row r="38" spans="1:44">
      <c r="A38" s="45" t="s">
        <v>598</v>
      </c>
      <c r="B38" s="45" t="s">
        <v>194</v>
      </c>
      <c r="C38" s="230">
        <f>VLOOKUP(B38, 'S08 ABC Output'!$A$3:$C$18, 3, 0)</f>
        <v>36524</v>
      </c>
      <c r="D38" s="230">
        <f>VLOOKUP(B38, 'S12 Operations'!$C$2:$H$534, 6, 0)</f>
        <v>200</v>
      </c>
      <c r="E38" s="230">
        <f t="shared" si="2"/>
        <v>183</v>
      </c>
      <c r="F38" s="230">
        <f>VLOOKUP(A38, 'S11 Work Stations'!$A$2:$C$45, 3, 0)</f>
        <v>30</v>
      </c>
      <c r="G38" s="230">
        <f>VLOOKUP(B38&amp;"-"&amp;A38, 'S12 Operations'!$A$2:$G$534, 7, 0)</f>
        <v>180</v>
      </c>
      <c r="H38" s="229">
        <f t="shared" si="3"/>
        <v>3</v>
      </c>
      <c r="I38" s="229">
        <f t="shared" si="4"/>
        <v>115062</v>
      </c>
      <c r="J38" s="230">
        <f t="shared" si="5"/>
        <v>1918</v>
      </c>
      <c r="L38">
        <f t="shared" si="6"/>
        <v>4</v>
      </c>
      <c r="M38">
        <f t="shared" si="9"/>
        <v>129</v>
      </c>
      <c r="N38">
        <f t="shared" si="10"/>
        <v>1078</v>
      </c>
      <c r="O38">
        <f t="shared" si="7"/>
        <v>6</v>
      </c>
      <c r="Q38" s="44"/>
      <c r="S38" s="224">
        <f>SUM(S3:S18)-MAX(S3:S18)</f>
        <v>258</v>
      </c>
      <c r="T38" s="224">
        <f>SUM(T3:T18)-MAX(T3:T18)</f>
        <v>274</v>
      </c>
      <c r="U38" s="224">
        <f t="shared" ref="U38:AR38" si="12">SUM(U3:U18)-MAX(U3:U18)</f>
        <v>274</v>
      </c>
      <c r="V38" s="224">
        <f t="shared" si="12"/>
        <v>1052</v>
      </c>
      <c r="W38" s="224">
        <f t="shared" si="12"/>
        <v>1322</v>
      </c>
      <c r="X38" s="224">
        <f t="shared" si="12"/>
        <v>254</v>
      </c>
      <c r="Y38" s="224">
        <f t="shared" si="12"/>
        <v>258</v>
      </c>
      <c r="Z38" s="224">
        <f t="shared" si="12"/>
        <v>254</v>
      </c>
      <c r="AA38" s="224">
        <f t="shared" si="12"/>
        <v>639</v>
      </c>
      <c r="AB38" s="224">
        <f t="shared" si="12"/>
        <v>274</v>
      </c>
      <c r="AC38" s="224">
        <f t="shared" si="12"/>
        <v>258</v>
      </c>
      <c r="AD38" s="224">
        <f t="shared" si="12"/>
        <v>1052</v>
      </c>
      <c r="AE38" s="224">
        <f t="shared" si="12"/>
        <v>254</v>
      </c>
      <c r="AF38" s="224">
        <f t="shared" si="12"/>
        <v>639</v>
      </c>
      <c r="AG38" s="224">
        <f t="shared" si="12"/>
        <v>639</v>
      </c>
      <c r="AH38" s="224">
        <f t="shared" si="12"/>
        <v>258</v>
      </c>
      <c r="AI38" s="224">
        <f t="shared" si="12"/>
        <v>274</v>
      </c>
      <c r="AJ38" s="224">
        <f t="shared" si="12"/>
        <v>2029</v>
      </c>
      <c r="AK38" s="224">
        <f t="shared" si="12"/>
        <v>258</v>
      </c>
      <c r="AL38" s="224">
        <f t="shared" si="12"/>
        <v>1052</v>
      </c>
      <c r="AM38" s="224">
        <f t="shared" si="12"/>
        <v>1052</v>
      </c>
      <c r="AN38" s="224">
        <f t="shared" si="12"/>
        <v>639</v>
      </c>
      <c r="AO38" s="224">
        <f t="shared" si="12"/>
        <v>1648</v>
      </c>
      <c r="AP38" s="224">
        <f t="shared" si="12"/>
        <v>0</v>
      </c>
      <c r="AQ38" s="224">
        <f t="shared" si="12"/>
        <v>5043</v>
      </c>
      <c r="AR38" s="224">
        <f t="shared" si="12"/>
        <v>5043</v>
      </c>
    </row>
    <row r="39" spans="1:44">
      <c r="A39" s="45" t="s">
        <v>598</v>
      </c>
      <c r="B39" s="45" t="s">
        <v>196</v>
      </c>
      <c r="C39" s="230">
        <f>VLOOKUP(B39, 'S08 ABC Output'!$A$3:$C$18, 3, 0)</f>
        <v>36502</v>
      </c>
      <c r="D39" s="230">
        <f>VLOOKUP(B39, 'S12 Operations'!$C$2:$H$534, 6, 0)</f>
        <v>200</v>
      </c>
      <c r="E39" s="230">
        <f t="shared" si="2"/>
        <v>183</v>
      </c>
      <c r="F39" s="230">
        <f>VLOOKUP(A39, 'S11 Work Stations'!$A$2:$C$45, 3, 0)</f>
        <v>30</v>
      </c>
      <c r="G39" s="230">
        <f>VLOOKUP(B39&amp;"-"&amp;A39, 'S12 Operations'!$A$2:$G$534, 7, 0)</f>
        <v>180</v>
      </c>
      <c r="H39" s="229">
        <f t="shared" si="3"/>
        <v>3</v>
      </c>
      <c r="I39" s="229">
        <f t="shared" si="4"/>
        <v>114996</v>
      </c>
      <c r="J39" s="230">
        <f t="shared" si="5"/>
        <v>1917</v>
      </c>
      <c r="L39">
        <f t="shared" si="6"/>
        <v>4</v>
      </c>
      <c r="M39">
        <f t="shared" si="9"/>
        <v>129</v>
      </c>
      <c r="N39">
        <f t="shared" si="10"/>
        <v>1078</v>
      </c>
      <c r="O39">
        <f t="shared" si="7"/>
        <v>6</v>
      </c>
      <c r="Q39" s="44"/>
    </row>
    <row r="40" spans="1:44">
      <c r="A40" s="45" t="s">
        <v>598</v>
      </c>
      <c r="B40" s="45" t="s">
        <v>202</v>
      </c>
      <c r="C40" s="230">
        <f>VLOOKUP(B40, 'S08 ABC Output'!$A$3:$C$18, 3, 0)</f>
        <v>25649</v>
      </c>
      <c r="D40" s="230">
        <f>VLOOKUP(B40, 'S12 Operations'!$C$2:$H$534, 6, 0)</f>
        <v>200</v>
      </c>
      <c r="E40" s="230">
        <f t="shared" si="2"/>
        <v>129</v>
      </c>
      <c r="F40" s="230">
        <f>VLOOKUP(A40, 'S11 Work Stations'!$A$2:$C$45, 3, 0)</f>
        <v>30</v>
      </c>
      <c r="G40" s="230">
        <f>VLOOKUP(B40&amp;"-"&amp;A40, 'S12 Operations'!$A$2:$G$534, 7, 0)</f>
        <v>840</v>
      </c>
      <c r="H40" s="229">
        <f t="shared" si="3"/>
        <v>14</v>
      </c>
      <c r="I40" s="229">
        <f t="shared" si="4"/>
        <v>362956</v>
      </c>
      <c r="J40" s="230">
        <f t="shared" si="5"/>
        <v>6049</v>
      </c>
      <c r="L40">
        <f t="shared" si="6"/>
        <v>6</v>
      </c>
      <c r="M40">
        <f t="shared" si="9"/>
        <v>129</v>
      </c>
      <c r="N40">
        <f t="shared" si="10"/>
        <v>1078</v>
      </c>
      <c r="O40">
        <f t="shared" si="7"/>
        <v>6</v>
      </c>
      <c r="Q40" s="44"/>
    </row>
    <row r="41" spans="1:44">
      <c r="A41" s="45" t="s">
        <v>599</v>
      </c>
      <c r="B41" s="45" t="s">
        <v>184</v>
      </c>
      <c r="C41" s="230">
        <f>VLOOKUP(B41, 'S08 ABC Output'!$A$3:$C$18, 3, 0)</f>
        <v>85612</v>
      </c>
      <c r="D41" s="230">
        <f>VLOOKUP(B41, 'S12 Operations'!$C$2:$H$534, 6, 0)</f>
        <v>200</v>
      </c>
      <c r="E41" s="230">
        <f t="shared" si="2"/>
        <v>429</v>
      </c>
      <c r="F41" s="230">
        <f>VLOOKUP(A41, 'S11 Work Stations'!$A$2:$C$45, 3, 0)</f>
        <v>30</v>
      </c>
      <c r="G41" s="230">
        <f>VLOOKUP(B41&amp;"-"&amp;A41, 'S12 Operations'!$A$2:$G$534, 7, 0)</f>
        <v>180</v>
      </c>
      <c r="H41" s="229">
        <f t="shared" si="3"/>
        <v>3</v>
      </c>
      <c r="I41" s="229">
        <f t="shared" si="4"/>
        <v>264456</v>
      </c>
      <c r="J41" s="230">
        <f t="shared" si="5"/>
        <v>4408</v>
      </c>
      <c r="L41">
        <f t="shared" si="6"/>
        <v>1</v>
      </c>
      <c r="M41">
        <f t="shared" si="9"/>
        <v>254</v>
      </c>
      <c r="N41">
        <f t="shared" si="10"/>
        <v>429</v>
      </c>
      <c r="O41">
        <f t="shared" si="7"/>
        <v>2</v>
      </c>
      <c r="Q41" s="44"/>
    </row>
    <row r="42" spans="1:44">
      <c r="A42" s="45" t="s">
        <v>599</v>
      </c>
      <c r="B42" s="45" t="s">
        <v>190</v>
      </c>
      <c r="C42" s="230">
        <f>VLOOKUP(B42, 'S08 ABC Output'!$A$3:$C$18, 3, 0)</f>
        <v>50689</v>
      </c>
      <c r="D42" s="230">
        <f>VLOOKUP(B42, 'S12 Operations'!$C$2:$H$534, 6, 0)</f>
        <v>200</v>
      </c>
      <c r="E42" s="230">
        <f t="shared" si="2"/>
        <v>254</v>
      </c>
      <c r="F42" s="230">
        <f>VLOOKUP(A42, 'S11 Work Stations'!$A$2:$C$45, 3, 0)</f>
        <v>30</v>
      </c>
      <c r="G42" s="230">
        <f>VLOOKUP(B42&amp;"-"&amp;A42, 'S12 Operations'!$A$2:$G$534, 7, 0)</f>
        <v>120</v>
      </c>
      <c r="H42" s="229">
        <f t="shared" si="3"/>
        <v>2</v>
      </c>
      <c r="I42" s="229">
        <f t="shared" si="4"/>
        <v>108998</v>
      </c>
      <c r="J42" s="230">
        <f t="shared" si="5"/>
        <v>1817</v>
      </c>
      <c r="L42">
        <f t="shared" si="6"/>
        <v>2</v>
      </c>
      <c r="M42">
        <f t="shared" si="9"/>
        <v>254</v>
      </c>
      <c r="N42">
        <f t="shared" si="10"/>
        <v>429</v>
      </c>
      <c r="O42">
        <f t="shared" si="7"/>
        <v>2</v>
      </c>
      <c r="Q42" s="44"/>
    </row>
    <row r="43" spans="1:44">
      <c r="A43" s="45" t="s">
        <v>600</v>
      </c>
      <c r="B43" s="45" t="s">
        <v>180</v>
      </c>
      <c r="C43" s="230">
        <f>VLOOKUP(B43, 'S08 ABC Output'!$A$3:$C$18, 3, 0)</f>
        <v>125036</v>
      </c>
      <c r="D43" s="230">
        <f>VLOOKUP(B43, 'S12 Operations'!$C$2:$H$534, 6, 0)</f>
        <v>200</v>
      </c>
      <c r="E43" s="230">
        <f t="shared" si="2"/>
        <v>626</v>
      </c>
      <c r="F43" s="230">
        <f>VLOOKUP(A43, 'S11 Work Stations'!$A$2:$C$45, 3, 0)</f>
        <v>30</v>
      </c>
      <c r="G43" s="230">
        <f>VLOOKUP(B43&amp;"-"&amp;A43, 'S12 Operations'!$A$2:$G$534, 7, 0)</f>
        <v>300</v>
      </c>
      <c r="H43" s="229">
        <f t="shared" si="3"/>
        <v>5</v>
      </c>
      <c r="I43" s="229">
        <f t="shared" si="4"/>
        <v>640480</v>
      </c>
      <c r="J43" s="230">
        <f t="shared" si="5"/>
        <v>10675</v>
      </c>
      <c r="L43">
        <f t="shared" si="6"/>
        <v>1</v>
      </c>
      <c r="M43">
        <f t="shared" si="9"/>
        <v>129</v>
      </c>
      <c r="N43">
        <f t="shared" si="10"/>
        <v>626</v>
      </c>
      <c r="O43">
        <f t="shared" si="7"/>
        <v>3</v>
      </c>
      <c r="Q43" s="44"/>
    </row>
    <row r="44" spans="1:44">
      <c r="A44" s="45" t="s">
        <v>600</v>
      </c>
      <c r="B44" s="45" t="s">
        <v>200</v>
      </c>
      <c r="C44" s="230">
        <f>VLOOKUP(B44, 'S08 ABC Output'!$A$3:$C$18, 3, 0)</f>
        <v>25689</v>
      </c>
      <c r="D44" s="230">
        <f>VLOOKUP(B44, 'S12 Operations'!$C$2:$H$534, 6, 0)</f>
        <v>200</v>
      </c>
      <c r="E44" s="230">
        <f t="shared" si="2"/>
        <v>129</v>
      </c>
      <c r="F44" s="230">
        <f>VLOOKUP(A44, 'S11 Work Stations'!$A$2:$C$45, 3, 0)</f>
        <v>30</v>
      </c>
      <c r="G44" s="230">
        <f>VLOOKUP(B44&amp;"-"&amp;A44, 'S12 Operations'!$A$2:$G$534, 7, 0)</f>
        <v>540</v>
      </c>
      <c r="H44" s="229">
        <f t="shared" si="3"/>
        <v>9</v>
      </c>
      <c r="I44" s="229">
        <f t="shared" si="4"/>
        <v>235071</v>
      </c>
      <c r="J44" s="230">
        <f t="shared" si="5"/>
        <v>3918</v>
      </c>
      <c r="L44">
        <f t="shared" si="6"/>
        <v>3</v>
      </c>
      <c r="M44">
        <f t="shared" si="9"/>
        <v>129</v>
      </c>
      <c r="N44">
        <f t="shared" si="10"/>
        <v>626</v>
      </c>
      <c r="O44">
        <f t="shared" si="7"/>
        <v>3</v>
      </c>
      <c r="Q44" s="44"/>
    </row>
    <row r="45" spans="1:44">
      <c r="A45" s="45" t="s">
        <v>600</v>
      </c>
      <c r="B45" s="45" t="s">
        <v>205</v>
      </c>
      <c r="C45" s="230">
        <f>VLOOKUP(B45, 'S08 ABC Output'!$A$3:$C$18, 3, 0)</f>
        <v>25468</v>
      </c>
      <c r="D45" s="230">
        <f>VLOOKUP(B45, 'S12 Operations'!$C$2:$H$534, 6, 0)</f>
        <v>50</v>
      </c>
      <c r="E45" s="230">
        <f t="shared" si="2"/>
        <v>510</v>
      </c>
      <c r="F45" s="230">
        <f>VLOOKUP(A45, 'S11 Work Stations'!$A$2:$C$45, 3, 0)</f>
        <v>30</v>
      </c>
      <c r="G45" s="230">
        <f>VLOOKUP(B45&amp;"-"&amp;A45, 'S12 Operations'!$A$2:$G$534, 7, 0)</f>
        <v>480</v>
      </c>
      <c r="H45" s="229">
        <f t="shared" si="3"/>
        <v>8</v>
      </c>
      <c r="I45" s="229">
        <f t="shared" si="4"/>
        <v>219044</v>
      </c>
      <c r="J45" s="230">
        <f t="shared" si="5"/>
        <v>3651</v>
      </c>
      <c r="L45">
        <f t="shared" si="6"/>
        <v>2</v>
      </c>
      <c r="M45">
        <f t="shared" si="9"/>
        <v>129</v>
      </c>
      <c r="N45">
        <f t="shared" si="10"/>
        <v>626</v>
      </c>
      <c r="O45">
        <f t="shared" si="7"/>
        <v>3</v>
      </c>
      <c r="Q45" s="44"/>
    </row>
    <row r="46" spans="1:44">
      <c r="A46" s="45" t="s">
        <v>601</v>
      </c>
      <c r="B46" s="45" t="s">
        <v>180</v>
      </c>
      <c r="C46" s="230">
        <f>VLOOKUP(B46, 'S08 ABC Output'!$A$3:$C$18, 3, 0)</f>
        <v>125036</v>
      </c>
      <c r="D46" s="230">
        <f>VLOOKUP(B46, 'S12 Operations'!$C$2:$H$534, 6, 0)</f>
        <v>200</v>
      </c>
      <c r="E46" s="230">
        <f t="shared" si="2"/>
        <v>626</v>
      </c>
      <c r="F46" s="230">
        <f>VLOOKUP(A46, 'S11 Work Stations'!$A$2:$C$45, 3, 0)</f>
        <v>30</v>
      </c>
      <c r="G46" s="230">
        <f>VLOOKUP(B46&amp;"-"&amp;A46, 'S12 Operations'!$A$2:$G$534, 7, 0)</f>
        <v>480</v>
      </c>
      <c r="H46" s="229">
        <f t="shared" si="3"/>
        <v>8</v>
      </c>
      <c r="I46" s="229">
        <f t="shared" si="4"/>
        <v>1015588</v>
      </c>
      <c r="J46" s="230">
        <f t="shared" si="5"/>
        <v>16926</v>
      </c>
      <c r="L46">
        <f t="shared" si="6"/>
        <v>1</v>
      </c>
      <c r="M46">
        <f t="shared" si="9"/>
        <v>129</v>
      </c>
      <c r="N46">
        <f t="shared" si="10"/>
        <v>626</v>
      </c>
      <c r="O46">
        <f t="shared" si="7"/>
        <v>3</v>
      </c>
      <c r="Q46" s="44"/>
    </row>
    <row r="47" spans="1:44">
      <c r="A47" s="45" t="s">
        <v>601</v>
      </c>
      <c r="B47" s="45" t="s">
        <v>200</v>
      </c>
      <c r="C47" s="230">
        <f>VLOOKUP(B47, 'S08 ABC Output'!$A$3:$C$18, 3, 0)</f>
        <v>25689</v>
      </c>
      <c r="D47" s="230">
        <f>VLOOKUP(B47, 'S12 Operations'!$C$2:$H$534, 6, 0)</f>
        <v>200</v>
      </c>
      <c r="E47" s="230">
        <f t="shared" si="2"/>
        <v>129</v>
      </c>
      <c r="F47" s="230">
        <f>VLOOKUP(A47, 'S11 Work Stations'!$A$2:$C$45, 3, 0)</f>
        <v>30</v>
      </c>
      <c r="G47" s="230">
        <f>VLOOKUP(B47&amp;"-"&amp;A47, 'S12 Operations'!$A$2:$G$534, 7, 0)</f>
        <v>300</v>
      </c>
      <c r="H47" s="229">
        <f t="shared" si="3"/>
        <v>5</v>
      </c>
      <c r="I47" s="229">
        <f t="shared" si="4"/>
        <v>132315</v>
      </c>
      <c r="J47" s="230">
        <f t="shared" si="5"/>
        <v>2205</v>
      </c>
      <c r="L47">
        <f t="shared" si="6"/>
        <v>3</v>
      </c>
      <c r="M47">
        <f t="shared" si="9"/>
        <v>129</v>
      </c>
      <c r="N47">
        <f t="shared" si="10"/>
        <v>626</v>
      </c>
      <c r="O47">
        <f t="shared" si="7"/>
        <v>3</v>
      </c>
      <c r="Q47" s="44"/>
    </row>
    <row r="48" spans="1:44">
      <c r="A48" s="45" t="s">
        <v>601</v>
      </c>
      <c r="B48" s="45" t="s">
        <v>205</v>
      </c>
      <c r="C48" s="230">
        <f>VLOOKUP(B48, 'S08 ABC Output'!$A$3:$C$18, 3, 0)</f>
        <v>25468</v>
      </c>
      <c r="D48" s="230">
        <f>VLOOKUP(B48, 'S12 Operations'!$C$2:$H$534, 6, 0)</f>
        <v>50</v>
      </c>
      <c r="E48" s="230">
        <f t="shared" si="2"/>
        <v>510</v>
      </c>
      <c r="F48" s="230">
        <f>VLOOKUP(A48, 'S11 Work Stations'!$A$2:$C$45, 3, 0)</f>
        <v>30</v>
      </c>
      <c r="G48" s="230">
        <f>VLOOKUP(B48&amp;"-"&amp;A48, 'S12 Operations'!$A$2:$G$534, 7, 0)</f>
        <v>300</v>
      </c>
      <c r="H48" s="229">
        <f t="shared" si="3"/>
        <v>5</v>
      </c>
      <c r="I48" s="229">
        <f t="shared" si="4"/>
        <v>142640</v>
      </c>
      <c r="J48" s="230">
        <f t="shared" si="5"/>
        <v>2377</v>
      </c>
      <c r="L48">
        <f t="shared" si="6"/>
        <v>2</v>
      </c>
      <c r="M48">
        <f t="shared" si="9"/>
        <v>129</v>
      </c>
      <c r="N48">
        <f t="shared" si="10"/>
        <v>626</v>
      </c>
      <c r="O48">
        <f t="shared" si="7"/>
        <v>3</v>
      </c>
      <c r="Q48" s="44"/>
    </row>
    <row r="49" spans="1:17">
      <c r="A49" s="45" t="s">
        <v>602</v>
      </c>
      <c r="B49" s="45" t="s">
        <v>176</v>
      </c>
      <c r="C49" s="230">
        <f>VLOOKUP(B49, 'S08 ABC Output'!$A$3:$C$18, 3, 0)</f>
        <v>250356</v>
      </c>
      <c r="D49" s="230">
        <f>VLOOKUP(B49, 'S12 Operations'!$C$2:$H$534, 6, 0)</f>
        <v>200</v>
      </c>
      <c r="E49" s="230">
        <f t="shared" si="2"/>
        <v>1252</v>
      </c>
      <c r="F49" s="230">
        <f>VLOOKUP(A49, 'S11 Work Stations'!$A$2:$C$45, 3, 0)</f>
        <v>20</v>
      </c>
      <c r="G49" s="230">
        <f>VLOOKUP(B49&amp;"-"&amp;A49, 'S12 Operations'!$A$2:$G$534, 7, 0)</f>
        <v>420</v>
      </c>
      <c r="H49" s="229">
        <f t="shared" si="3"/>
        <v>7</v>
      </c>
      <c r="I49" s="229">
        <f t="shared" si="4"/>
        <v>1755072</v>
      </c>
      <c r="J49" s="230">
        <f t="shared" si="5"/>
        <v>29251</v>
      </c>
      <c r="L49">
        <f t="shared" si="6"/>
        <v>1</v>
      </c>
      <c r="M49">
        <f t="shared" si="9"/>
        <v>129</v>
      </c>
      <c r="N49">
        <f t="shared" si="10"/>
        <v>1252</v>
      </c>
      <c r="O49">
        <f t="shared" si="7"/>
        <v>3</v>
      </c>
      <c r="Q49" s="44"/>
    </row>
    <row r="50" spans="1:17">
      <c r="A50" s="45" t="s">
        <v>602</v>
      </c>
      <c r="B50" s="45" t="s">
        <v>198</v>
      </c>
      <c r="C50" s="230">
        <f>VLOOKUP(B50, 'S08 ABC Output'!$A$3:$C$18, 3, 0)</f>
        <v>25689</v>
      </c>
      <c r="D50" s="230">
        <f>VLOOKUP(B50, 'S12 Operations'!$C$2:$H$534, 6, 0)</f>
        <v>200</v>
      </c>
      <c r="E50" s="230">
        <f t="shared" si="2"/>
        <v>129</v>
      </c>
      <c r="F50" s="230">
        <f>VLOOKUP(A50, 'S11 Work Stations'!$A$2:$C$45, 3, 0)</f>
        <v>20</v>
      </c>
      <c r="G50" s="230">
        <f>VLOOKUP(B50&amp;"-"&amp;A50, 'S12 Operations'!$A$2:$G$534, 7, 0)</f>
        <v>480</v>
      </c>
      <c r="H50" s="229">
        <f t="shared" si="3"/>
        <v>8</v>
      </c>
      <c r="I50" s="229">
        <f t="shared" si="4"/>
        <v>208092</v>
      </c>
      <c r="J50" s="230">
        <f t="shared" si="5"/>
        <v>3468</v>
      </c>
      <c r="L50">
        <f t="shared" si="6"/>
        <v>2</v>
      </c>
      <c r="M50">
        <f t="shared" si="9"/>
        <v>129</v>
      </c>
      <c r="N50">
        <f t="shared" si="10"/>
        <v>1252</v>
      </c>
      <c r="O50">
        <f t="shared" si="7"/>
        <v>3</v>
      </c>
      <c r="Q50" s="44"/>
    </row>
    <row r="51" spans="1:17">
      <c r="A51" s="45" t="s">
        <v>602</v>
      </c>
      <c r="B51" s="45" t="s">
        <v>203</v>
      </c>
      <c r="C51" s="230">
        <f>VLOOKUP(B51, 'S08 ABC Output'!$A$3:$C$18, 3, 0)</f>
        <v>25639</v>
      </c>
      <c r="D51" s="230">
        <f>VLOOKUP(B51, 'S12 Operations'!$C$2:$H$534, 6, 0)</f>
        <v>200</v>
      </c>
      <c r="E51" s="230">
        <f t="shared" si="2"/>
        <v>129</v>
      </c>
      <c r="F51" s="230">
        <f>VLOOKUP(A51, 'S11 Work Stations'!$A$2:$C$45, 3, 0)</f>
        <v>20</v>
      </c>
      <c r="G51" s="230">
        <f>VLOOKUP(B51&amp;"-"&amp;A51, 'S12 Operations'!$A$2:$G$534, 7, 0)</f>
        <v>120</v>
      </c>
      <c r="H51" s="229">
        <f t="shared" si="3"/>
        <v>2</v>
      </c>
      <c r="I51" s="229">
        <f t="shared" si="4"/>
        <v>53858</v>
      </c>
      <c r="J51" s="230">
        <f t="shared" si="5"/>
        <v>898</v>
      </c>
      <c r="L51">
        <f t="shared" si="6"/>
        <v>2</v>
      </c>
      <c r="M51">
        <f t="shared" si="9"/>
        <v>129</v>
      </c>
      <c r="N51">
        <f t="shared" si="10"/>
        <v>1252</v>
      </c>
      <c r="O51">
        <f t="shared" si="7"/>
        <v>3</v>
      </c>
      <c r="Q51" s="44"/>
    </row>
    <row r="52" spans="1:17">
      <c r="A52" s="45" t="s">
        <v>604</v>
      </c>
      <c r="B52" s="45" t="s">
        <v>182</v>
      </c>
      <c r="C52" s="230">
        <f>VLOOKUP(B52, 'S08 ABC Output'!$A$3:$C$18, 3, 0)</f>
        <v>86542</v>
      </c>
      <c r="D52" s="230">
        <f>VLOOKUP(B52, 'S12 Operations'!$C$2:$H$534, 6, 0)</f>
        <v>200</v>
      </c>
      <c r="E52" s="230">
        <f t="shared" si="2"/>
        <v>433</v>
      </c>
      <c r="F52" s="230">
        <f>VLOOKUP(A52, 'S11 Work Stations'!$A$2:$C$45, 3, 0)</f>
        <v>30</v>
      </c>
      <c r="G52" s="230">
        <f>VLOOKUP(B52&amp;"-"&amp;A52, 'S12 Operations'!$A$2:$G$534, 7, 0)</f>
        <v>180</v>
      </c>
      <c r="H52" s="229">
        <f t="shared" si="3"/>
        <v>3</v>
      </c>
      <c r="I52" s="229">
        <f t="shared" si="4"/>
        <v>267846</v>
      </c>
      <c r="J52" s="230">
        <f t="shared" si="5"/>
        <v>4464</v>
      </c>
      <c r="L52">
        <f t="shared" si="6"/>
        <v>1</v>
      </c>
      <c r="M52">
        <f t="shared" si="9"/>
        <v>274</v>
      </c>
      <c r="N52">
        <f t="shared" si="10"/>
        <v>433</v>
      </c>
      <c r="O52">
        <f t="shared" si="7"/>
        <v>2</v>
      </c>
      <c r="Q52" s="44"/>
    </row>
    <row r="53" spans="1:17">
      <c r="A53" s="45" t="s">
        <v>604</v>
      </c>
      <c r="B53" s="45" t="s">
        <v>188</v>
      </c>
      <c r="C53" s="230">
        <f>VLOOKUP(B53, 'S08 ABC Output'!$A$3:$C$18, 3, 0)</f>
        <v>54682</v>
      </c>
      <c r="D53" s="230">
        <f>VLOOKUP(B53, 'S12 Operations'!$C$2:$H$534, 6, 0)</f>
        <v>200</v>
      </c>
      <c r="E53" s="230">
        <f t="shared" si="2"/>
        <v>274</v>
      </c>
      <c r="F53" s="230">
        <f>VLOOKUP(A53, 'S11 Work Stations'!$A$2:$C$45, 3, 0)</f>
        <v>30</v>
      </c>
      <c r="G53" s="230">
        <f>VLOOKUP(B53&amp;"-"&amp;A53, 'S12 Operations'!$A$2:$G$534, 7, 0)</f>
        <v>180</v>
      </c>
      <c r="H53" s="229">
        <f t="shared" si="3"/>
        <v>3</v>
      </c>
      <c r="I53" s="229">
        <f t="shared" si="4"/>
        <v>172266</v>
      </c>
      <c r="J53" s="230">
        <f t="shared" si="5"/>
        <v>2871</v>
      </c>
      <c r="L53">
        <f t="shared" si="6"/>
        <v>2</v>
      </c>
      <c r="M53">
        <f t="shared" si="9"/>
        <v>274</v>
      </c>
      <c r="N53">
        <f t="shared" si="10"/>
        <v>433</v>
      </c>
      <c r="O53">
        <f t="shared" si="7"/>
        <v>2</v>
      </c>
    </row>
    <row r="54" spans="1:17">
      <c r="A54" s="45" t="s">
        <v>605</v>
      </c>
      <c r="B54" s="45" t="s">
        <v>180</v>
      </c>
      <c r="C54" s="230">
        <f>VLOOKUP(B54, 'S08 ABC Output'!$A$3:$C$18, 3, 0)</f>
        <v>125036</v>
      </c>
      <c r="D54" s="230">
        <f>VLOOKUP(B54, 'S12 Operations'!$C$2:$H$534, 6, 0)</f>
        <v>200</v>
      </c>
      <c r="E54" s="230">
        <f t="shared" si="2"/>
        <v>626</v>
      </c>
      <c r="F54" s="230">
        <f>VLOOKUP(A54, 'S11 Work Stations'!$A$2:$C$45, 3, 0)</f>
        <v>40</v>
      </c>
      <c r="G54" s="230">
        <f>VLOOKUP(B54&amp;"-"&amp;A54, 'S12 Operations'!$A$2:$G$534, 7, 0)</f>
        <v>480</v>
      </c>
      <c r="H54" s="229">
        <f t="shared" si="3"/>
        <v>8</v>
      </c>
      <c r="I54" s="229">
        <f t="shared" si="4"/>
        <v>1020688</v>
      </c>
      <c r="J54" s="230">
        <f t="shared" si="5"/>
        <v>17011</v>
      </c>
      <c r="L54">
        <f t="shared" si="6"/>
        <v>1</v>
      </c>
      <c r="M54">
        <f t="shared" si="9"/>
        <v>129</v>
      </c>
      <c r="N54">
        <f t="shared" si="10"/>
        <v>626</v>
      </c>
      <c r="O54">
        <f t="shared" si="7"/>
        <v>7</v>
      </c>
    </row>
    <row r="55" spans="1:17">
      <c r="A55" s="45" t="s">
        <v>605</v>
      </c>
      <c r="B55" s="45" t="s">
        <v>182</v>
      </c>
      <c r="C55" s="230">
        <f>VLOOKUP(B55, 'S08 ABC Output'!$A$3:$C$18, 3, 0)</f>
        <v>86542</v>
      </c>
      <c r="D55" s="230">
        <f>VLOOKUP(B55, 'S12 Operations'!$C$2:$H$534, 6, 0)</f>
        <v>200</v>
      </c>
      <c r="E55" s="230">
        <f t="shared" si="2"/>
        <v>433</v>
      </c>
      <c r="F55" s="230">
        <f>VLOOKUP(A55, 'S11 Work Stations'!$A$2:$C$45, 3, 0)</f>
        <v>40</v>
      </c>
      <c r="G55" s="230">
        <f>VLOOKUP(B55&amp;"-"&amp;A55, 'S12 Operations'!$A$2:$G$534, 7, 0)</f>
        <v>780</v>
      </c>
      <c r="H55" s="229">
        <f t="shared" si="3"/>
        <v>13</v>
      </c>
      <c r="I55" s="229">
        <f t="shared" si="4"/>
        <v>1142366</v>
      </c>
      <c r="J55" s="230">
        <f t="shared" si="5"/>
        <v>19039</v>
      </c>
      <c r="L55">
        <f t="shared" si="6"/>
        <v>3</v>
      </c>
      <c r="M55">
        <f t="shared" si="9"/>
        <v>129</v>
      </c>
      <c r="N55">
        <f t="shared" si="10"/>
        <v>626</v>
      </c>
      <c r="O55">
        <f t="shared" si="7"/>
        <v>7</v>
      </c>
    </row>
    <row r="56" spans="1:17">
      <c r="A56" s="45" t="s">
        <v>605</v>
      </c>
      <c r="B56" s="45" t="s">
        <v>184</v>
      </c>
      <c r="C56" s="230">
        <f>VLOOKUP(B56, 'S08 ABC Output'!$A$3:$C$18, 3, 0)</f>
        <v>85612</v>
      </c>
      <c r="D56" s="230">
        <f>VLOOKUP(B56, 'S12 Operations'!$C$2:$H$534, 6, 0)</f>
        <v>200</v>
      </c>
      <c r="E56" s="230">
        <f t="shared" si="2"/>
        <v>429</v>
      </c>
      <c r="F56" s="230">
        <f>VLOOKUP(A56, 'S11 Work Stations'!$A$2:$C$45, 3, 0)</f>
        <v>40</v>
      </c>
      <c r="G56" s="230">
        <f>VLOOKUP(B56&amp;"-"&amp;A56, 'S12 Operations'!$A$2:$G$534, 7, 0)</f>
        <v>180</v>
      </c>
      <c r="H56" s="229">
        <f t="shared" si="3"/>
        <v>3</v>
      </c>
      <c r="I56" s="229">
        <f t="shared" si="4"/>
        <v>273996</v>
      </c>
      <c r="J56" s="230">
        <f t="shared" si="5"/>
        <v>4567</v>
      </c>
      <c r="L56">
        <f t="shared" si="6"/>
        <v>4</v>
      </c>
      <c r="M56">
        <f t="shared" si="9"/>
        <v>129</v>
      </c>
      <c r="N56">
        <f t="shared" si="10"/>
        <v>626</v>
      </c>
      <c r="O56">
        <f t="shared" si="7"/>
        <v>7</v>
      </c>
    </row>
    <row r="57" spans="1:17">
      <c r="A57" s="45" t="s">
        <v>605</v>
      </c>
      <c r="B57" s="45" t="s">
        <v>188</v>
      </c>
      <c r="C57" s="230">
        <f>VLOOKUP(B57, 'S08 ABC Output'!$A$3:$C$18, 3, 0)</f>
        <v>54682</v>
      </c>
      <c r="D57" s="230">
        <f>VLOOKUP(B57, 'S12 Operations'!$C$2:$H$534, 6, 0)</f>
        <v>200</v>
      </c>
      <c r="E57" s="230">
        <f t="shared" si="2"/>
        <v>274</v>
      </c>
      <c r="F57" s="230">
        <f>VLOOKUP(A57, 'S11 Work Stations'!$A$2:$C$45, 3, 0)</f>
        <v>40</v>
      </c>
      <c r="G57" s="230">
        <f>VLOOKUP(B57&amp;"-"&amp;A57, 'S12 Operations'!$A$2:$G$534, 7, 0)</f>
        <v>180</v>
      </c>
      <c r="H57" s="229">
        <f t="shared" si="3"/>
        <v>3</v>
      </c>
      <c r="I57" s="229">
        <f t="shared" si="4"/>
        <v>175006</v>
      </c>
      <c r="J57" s="230">
        <f t="shared" si="5"/>
        <v>2917</v>
      </c>
      <c r="L57">
        <f t="shared" si="6"/>
        <v>5</v>
      </c>
      <c r="M57">
        <f t="shared" si="9"/>
        <v>129</v>
      </c>
      <c r="N57">
        <f t="shared" si="10"/>
        <v>626</v>
      </c>
      <c r="O57">
        <f t="shared" si="7"/>
        <v>7</v>
      </c>
    </row>
    <row r="58" spans="1:17">
      <c r="A58" s="45" t="s">
        <v>605</v>
      </c>
      <c r="B58" s="45" t="s">
        <v>190</v>
      </c>
      <c r="C58" s="230">
        <f>VLOOKUP(B58, 'S08 ABC Output'!$A$3:$C$18, 3, 0)</f>
        <v>50689</v>
      </c>
      <c r="D58" s="230">
        <f>VLOOKUP(B58, 'S12 Operations'!$C$2:$H$534, 6, 0)</f>
        <v>200</v>
      </c>
      <c r="E58" s="230">
        <f t="shared" si="2"/>
        <v>254</v>
      </c>
      <c r="F58" s="230">
        <f>VLOOKUP(A58, 'S11 Work Stations'!$A$2:$C$45, 3, 0)</f>
        <v>40</v>
      </c>
      <c r="G58" s="230">
        <f>VLOOKUP(B58&amp;"-"&amp;A58, 'S12 Operations'!$A$2:$G$534, 7, 0)</f>
        <v>360</v>
      </c>
      <c r="H58" s="229">
        <f t="shared" si="3"/>
        <v>6</v>
      </c>
      <c r="I58" s="229">
        <f t="shared" si="4"/>
        <v>314294</v>
      </c>
      <c r="J58" s="230">
        <f t="shared" si="5"/>
        <v>5238</v>
      </c>
      <c r="L58">
        <f t="shared" si="6"/>
        <v>6</v>
      </c>
      <c r="M58">
        <f t="shared" si="9"/>
        <v>129</v>
      </c>
      <c r="N58">
        <f t="shared" si="10"/>
        <v>626</v>
      </c>
      <c r="O58">
        <f t="shared" si="7"/>
        <v>7</v>
      </c>
    </row>
    <row r="59" spans="1:17">
      <c r="A59" s="45" t="s">
        <v>605</v>
      </c>
      <c r="B59" s="45" t="s">
        <v>200</v>
      </c>
      <c r="C59" s="230">
        <f>VLOOKUP(B59, 'S08 ABC Output'!$A$3:$C$18, 3, 0)</f>
        <v>25689</v>
      </c>
      <c r="D59" s="230">
        <f>VLOOKUP(B59, 'S12 Operations'!$C$2:$H$534, 6, 0)</f>
        <v>200</v>
      </c>
      <c r="E59" s="230">
        <f t="shared" si="2"/>
        <v>129</v>
      </c>
      <c r="F59" s="230">
        <f>VLOOKUP(A59, 'S11 Work Stations'!$A$2:$C$45, 3, 0)</f>
        <v>40</v>
      </c>
      <c r="G59" s="230">
        <f>VLOOKUP(B59&amp;"-"&amp;A59, 'S12 Operations'!$A$2:$G$534, 7, 0)</f>
        <v>180</v>
      </c>
      <c r="H59" s="229">
        <f t="shared" si="3"/>
        <v>3</v>
      </c>
      <c r="I59" s="229">
        <f t="shared" si="4"/>
        <v>82227</v>
      </c>
      <c r="J59" s="230">
        <f t="shared" si="5"/>
        <v>1370</v>
      </c>
      <c r="L59">
        <f t="shared" si="6"/>
        <v>7</v>
      </c>
      <c r="M59">
        <f t="shared" si="9"/>
        <v>129</v>
      </c>
      <c r="N59">
        <f t="shared" si="10"/>
        <v>626</v>
      </c>
      <c r="O59">
        <f t="shared" si="7"/>
        <v>7</v>
      </c>
    </row>
    <row r="60" spans="1:17">
      <c r="A60" s="45" t="s">
        <v>605</v>
      </c>
      <c r="B60" s="45" t="s">
        <v>205</v>
      </c>
      <c r="C60" s="230">
        <f>VLOOKUP(B60, 'S08 ABC Output'!$A$3:$C$18, 3, 0)</f>
        <v>25468</v>
      </c>
      <c r="D60" s="230">
        <f>VLOOKUP(B60, 'S12 Operations'!$C$2:$H$534, 6, 0)</f>
        <v>50</v>
      </c>
      <c r="E60" s="230">
        <f t="shared" si="2"/>
        <v>510</v>
      </c>
      <c r="F60" s="230">
        <f>VLOOKUP(A60, 'S11 Work Stations'!$A$2:$C$45, 3, 0)</f>
        <v>40</v>
      </c>
      <c r="G60" s="230">
        <f>VLOOKUP(B60&amp;"-"&amp;A60, 'S12 Operations'!$A$2:$G$534, 7, 0)</f>
        <v>300</v>
      </c>
      <c r="H60" s="229">
        <f t="shared" si="3"/>
        <v>5</v>
      </c>
      <c r="I60" s="229">
        <f t="shared" si="4"/>
        <v>147740</v>
      </c>
      <c r="J60" s="230">
        <f t="shared" si="5"/>
        <v>2462</v>
      </c>
      <c r="L60">
        <f t="shared" si="6"/>
        <v>2</v>
      </c>
      <c r="M60">
        <f t="shared" si="9"/>
        <v>129</v>
      </c>
      <c r="N60">
        <f t="shared" si="10"/>
        <v>626</v>
      </c>
      <c r="O60">
        <f t="shared" si="7"/>
        <v>7</v>
      </c>
    </row>
    <row r="61" spans="1:17">
      <c r="A61" s="45" t="s">
        <v>606</v>
      </c>
      <c r="B61" s="45" t="s">
        <v>176</v>
      </c>
      <c r="C61" s="230">
        <f>VLOOKUP(B61, 'S08 ABC Output'!$A$3:$C$18, 3, 0)</f>
        <v>250356</v>
      </c>
      <c r="D61" s="230">
        <f>VLOOKUP(B61, 'S12 Operations'!$C$2:$H$534, 6, 0)</f>
        <v>200</v>
      </c>
      <c r="E61" s="230">
        <f t="shared" si="2"/>
        <v>1252</v>
      </c>
      <c r="F61" s="230">
        <f>VLOOKUP(A61, 'S11 Work Stations'!$A$2:$C$45, 3, 0)</f>
        <v>30</v>
      </c>
      <c r="G61" s="230">
        <f>VLOOKUP(B61&amp;"-"&amp;A61, 'S12 Operations'!$A$2:$G$534, 7, 0)</f>
        <v>180</v>
      </c>
      <c r="H61" s="229">
        <f t="shared" si="3"/>
        <v>3</v>
      </c>
      <c r="I61" s="229">
        <f t="shared" si="4"/>
        <v>754938</v>
      </c>
      <c r="J61" s="230">
        <f t="shared" si="5"/>
        <v>12582</v>
      </c>
      <c r="L61">
        <f t="shared" si="6"/>
        <v>1</v>
      </c>
      <c r="M61">
        <f t="shared" si="9"/>
        <v>129</v>
      </c>
      <c r="N61">
        <f t="shared" si="10"/>
        <v>1252</v>
      </c>
      <c r="O61">
        <f t="shared" si="7"/>
        <v>3</v>
      </c>
    </row>
    <row r="62" spans="1:17">
      <c r="A62" s="45" t="s">
        <v>606</v>
      </c>
      <c r="B62" s="45" t="s">
        <v>198</v>
      </c>
      <c r="C62" s="230">
        <f>VLOOKUP(B62, 'S08 ABC Output'!$A$3:$C$18, 3, 0)</f>
        <v>25689</v>
      </c>
      <c r="D62" s="230">
        <f>VLOOKUP(B62, 'S12 Operations'!$C$2:$H$534, 6, 0)</f>
        <v>200</v>
      </c>
      <c r="E62" s="230">
        <f t="shared" si="2"/>
        <v>129</v>
      </c>
      <c r="F62" s="230">
        <f>VLOOKUP(A62, 'S11 Work Stations'!$A$2:$C$45, 3, 0)</f>
        <v>30</v>
      </c>
      <c r="G62" s="230">
        <f>VLOOKUP(B62&amp;"-"&amp;A62, 'S12 Operations'!$A$2:$G$534, 7, 0)</f>
        <v>600</v>
      </c>
      <c r="H62" s="229">
        <f t="shared" si="3"/>
        <v>10</v>
      </c>
      <c r="I62" s="229">
        <f t="shared" si="4"/>
        <v>260760</v>
      </c>
      <c r="J62" s="230">
        <f t="shared" si="5"/>
        <v>4346</v>
      </c>
      <c r="L62">
        <f t="shared" si="6"/>
        <v>2</v>
      </c>
      <c r="M62">
        <f t="shared" si="9"/>
        <v>129</v>
      </c>
      <c r="N62">
        <f t="shared" si="10"/>
        <v>1252</v>
      </c>
      <c r="O62">
        <f t="shared" si="7"/>
        <v>3</v>
      </c>
    </row>
    <row r="63" spans="1:17">
      <c r="A63" s="45" t="s">
        <v>606</v>
      </c>
      <c r="B63" s="45" t="s">
        <v>203</v>
      </c>
      <c r="C63" s="230">
        <f>VLOOKUP(B63, 'S08 ABC Output'!$A$3:$C$18, 3, 0)</f>
        <v>25639</v>
      </c>
      <c r="D63" s="230">
        <f>VLOOKUP(B63, 'S12 Operations'!$C$2:$H$534, 6, 0)</f>
        <v>200</v>
      </c>
      <c r="E63" s="230">
        <f t="shared" si="2"/>
        <v>129</v>
      </c>
      <c r="F63" s="230">
        <f>VLOOKUP(A63, 'S11 Work Stations'!$A$2:$C$45, 3, 0)</f>
        <v>30</v>
      </c>
      <c r="G63" s="230">
        <f>VLOOKUP(B63&amp;"-"&amp;A63, 'S12 Operations'!$A$2:$G$534, 7, 0)</f>
        <v>180</v>
      </c>
      <c r="H63" s="229">
        <f t="shared" si="3"/>
        <v>3</v>
      </c>
      <c r="I63" s="229">
        <f t="shared" si="4"/>
        <v>80787</v>
      </c>
      <c r="J63" s="230">
        <f t="shared" si="5"/>
        <v>1346</v>
      </c>
      <c r="L63">
        <f t="shared" si="6"/>
        <v>2</v>
      </c>
      <c r="M63">
        <f t="shared" si="9"/>
        <v>129</v>
      </c>
      <c r="N63">
        <f t="shared" si="10"/>
        <v>1252</v>
      </c>
      <c r="O63">
        <f t="shared" si="7"/>
        <v>3</v>
      </c>
    </row>
    <row r="64" spans="1:17">
      <c r="A64" s="45" t="s">
        <v>607</v>
      </c>
      <c r="B64" s="45" t="s">
        <v>178</v>
      </c>
      <c r="C64" s="230">
        <f>VLOOKUP(B64, 'S08 ABC Output'!$A$3:$C$18, 3, 0)</f>
        <v>215425</v>
      </c>
      <c r="D64" s="230">
        <f>VLOOKUP(B64, 'S12 Operations'!$C$2:$H$534, 6, 0)</f>
        <v>200</v>
      </c>
      <c r="E64" s="230">
        <f t="shared" si="2"/>
        <v>1078</v>
      </c>
      <c r="F64" s="230">
        <f>VLOOKUP(A64, 'S11 Work Stations'!$A$2:$C$45, 3, 0)</f>
        <v>35</v>
      </c>
      <c r="G64" s="230">
        <f>VLOOKUP(B64&amp;"-"&amp;A64, 'S12 Operations'!$A$2:$G$534, 7, 0)</f>
        <v>600</v>
      </c>
      <c r="H64" s="229">
        <f t="shared" si="3"/>
        <v>10</v>
      </c>
      <c r="I64" s="229">
        <f t="shared" si="4"/>
        <v>2165695</v>
      </c>
      <c r="J64" s="230">
        <f t="shared" si="5"/>
        <v>36095</v>
      </c>
      <c r="L64">
        <f t="shared" si="6"/>
        <v>1</v>
      </c>
      <c r="M64">
        <f t="shared" si="9"/>
        <v>129</v>
      </c>
      <c r="N64">
        <f t="shared" si="10"/>
        <v>1078</v>
      </c>
      <c r="O64">
        <f t="shared" si="7"/>
        <v>6</v>
      </c>
    </row>
    <row r="65" spans="1:15">
      <c r="A65" s="45" t="s">
        <v>607</v>
      </c>
      <c r="B65" s="45" t="s">
        <v>186</v>
      </c>
      <c r="C65" s="230">
        <f>VLOOKUP(B65, 'S08 ABC Output'!$A$3:$C$18, 3, 0)</f>
        <v>65248</v>
      </c>
      <c r="D65" s="230">
        <f>VLOOKUP(B65, 'S12 Operations'!$C$2:$H$534, 6, 0)</f>
        <v>200</v>
      </c>
      <c r="E65" s="230">
        <f t="shared" si="2"/>
        <v>327</v>
      </c>
      <c r="F65" s="230">
        <f>VLOOKUP(A65, 'S11 Work Stations'!$A$2:$C$45, 3, 0)</f>
        <v>35</v>
      </c>
      <c r="G65" s="230">
        <f>VLOOKUP(B65&amp;"-"&amp;A65, 'S12 Operations'!$A$2:$G$534, 7, 0)</f>
        <v>480</v>
      </c>
      <c r="H65" s="229">
        <f t="shared" si="3"/>
        <v>8</v>
      </c>
      <c r="I65" s="229">
        <f t="shared" si="4"/>
        <v>533429</v>
      </c>
      <c r="J65" s="230">
        <f t="shared" si="5"/>
        <v>8890</v>
      </c>
      <c r="L65">
        <f t="shared" si="6"/>
        <v>2</v>
      </c>
      <c r="M65">
        <f t="shared" si="9"/>
        <v>129</v>
      </c>
      <c r="N65">
        <f t="shared" si="10"/>
        <v>1078</v>
      </c>
      <c r="O65">
        <f t="shared" si="7"/>
        <v>6</v>
      </c>
    </row>
    <row r="66" spans="1:15">
      <c r="A66" s="45" t="s">
        <v>607</v>
      </c>
      <c r="B66" s="45" t="s">
        <v>192</v>
      </c>
      <c r="C66" s="230">
        <f>VLOOKUP(B66, 'S08 ABC Output'!$A$3:$C$18, 3, 0)</f>
        <v>45896</v>
      </c>
      <c r="D66" s="230">
        <f>VLOOKUP(B66, 'S12 Operations'!$C$2:$H$534, 6, 0)</f>
        <v>200</v>
      </c>
      <c r="E66" s="230">
        <f t="shared" si="2"/>
        <v>230</v>
      </c>
      <c r="F66" s="230">
        <f>VLOOKUP(A66, 'S11 Work Stations'!$A$2:$C$45, 3, 0)</f>
        <v>35</v>
      </c>
      <c r="G66" s="230">
        <f>VLOOKUP(B66&amp;"-"&amp;A66, 'S12 Operations'!$A$2:$G$534, 7, 0)</f>
        <v>3600</v>
      </c>
      <c r="H66" s="229">
        <f t="shared" si="3"/>
        <v>60</v>
      </c>
      <c r="I66" s="229">
        <f t="shared" si="4"/>
        <v>2761810</v>
      </c>
      <c r="J66" s="230">
        <f t="shared" si="5"/>
        <v>46030</v>
      </c>
      <c r="L66">
        <f t="shared" si="6"/>
        <v>3</v>
      </c>
      <c r="M66">
        <f t="shared" ref="M66:M97" si="13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129</v>
      </c>
      <c r="N66">
        <f t="shared" ref="N66:N97" si="14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1078</v>
      </c>
      <c r="O66">
        <f t="shared" si="7"/>
        <v>6</v>
      </c>
    </row>
    <row r="67" spans="1:15">
      <c r="A67" s="45" t="s">
        <v>607</v>
      </c>
      <c r="B67" s="45" t="s">
        <v>194</v>
      </c>
      <c r="C67" s="230">
        <f>VLOOKUP(B67, 'S08 ABC Output'!$A$3:$C$18, 3, 0)</f>
        <v>36524</v>
      </c>
      <c r="D67" s="230">
        <f>VLOOKUP(B67, 'S12 Operations'!$C$2:$H$534, 6, 0)</f>
        <v>200</v>
      </c>
      <c r="E67" s="230">
        <f t="shared" ref="E67:E118" si="15">ROUNDUP(C67/D67, 0)</f>
        <v>183</v>
      </c>
      <c r="F67" s="230">
        <f>VLOOKUP(A67, 'S11 Work Stations'!$A$2:$C$45, 3, 0)</f>
        <v>35</v>
      </c>
      <c r="G67" s="230">
        <f>VLOOKUP(B67&amp;"-"&amp;A67, 'S12 Operations'!$A$2:$G$534, 7, 0)</f>
        <v>900</v>
      </c>
      <c r="H67" s="229">
        <f t="shared" ref="H67:H118" si="16">G67/60</f>
        <v>15</v>
      </c>
      <c r="I67" s="229">
        <f t="shared" ref="I67:I118" si="17">(C67*H67)+ (IF(O67=1,0,HLOOKUP(A67,$S$19:$AR$35,L67+IF(E67=N67,2,1),0)))*F67</f>
        <v>554265</v>
      </c>
      <c r="J67" s="230">
        <f t="shared" ref="J67:J118" si="18">ROUND(I67/60, 0)</f>
        <v>9238</v>
      </c>
      <c r="L67">
        <f t="shared" ref="L67:L118" si="19">RANK(E67,INDEX($S$19:$AR$35, ,HLOOKUP(A67,$S$19:$AR$36,18,0)),0)</f>
        <v>4</v>
      </c>
      <c r="M67">
        <f t="shared" si="13"/>
        <v>129</v>
      </c>
      <c r="N67">
        <f t="shared" si="14"/>
        <v>1078</v>
      </c>
      <c r="O67">
        <f t="shared" ref="O67:O117" si="20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6</v>
      </c>
    </row>
    <row r="68" spans="1:15">
      <c r="A68" s="45" t="s">
        <v>607</v>
      </c>
      <c r="B68" s="45" t="s">
        <v>196</v>
      </c>
      <c r="C68" s="230">
        <f>VLOOKUP(B68, 'S08 ABC Output'!$A$3:$C$18, 3, 0)</f>
        <v>36502</v>
      </c>
      <c r="D68" s="230">
        <f>VLOOKUP(B68, 'S12 Operations'!$C$2:$H$534, 6, 0)</f>
        <v>200</v>
      </c>
      <c r="E68" s="230">
        <f t="shared" si="15"/>
        <v>183</v>
      </c>
      <c r="F68" s="230">
        <f>VLOOKUP(A68, 'S11 Work Stations'!$A$2:$C$45, 3, 0)</f>
        <v>35</v>
      </c>
      <c r="G68" s="230">
        <f>VLOOKUP(B68&amp;"-"&amp;A68, 'S12 Operations'!$A$2:$G$534, 7, 0)</f>
        <v>240</v>
      </c>
      <c r="H68" s="229">
        <f t="shared" si="16"/>
        <v>4</v>
      </c>
      <c r="I68" s="229">
        <f t="shared" si="17"/>
        <v>152413</v>
      </c>
      <c r="J68" s="230">
        <f t="shared" si="18"/>
        <v>2540</v>
      </c>
      <c r="L68">
        <f t="shared" si="19"/>
        <v>4</v>
      </c>
      <c r="M68">
        <f t="shared" si="13"/>
        <v>129</v>
      </c>
      <c r="N68">
        <f t="shared" si="14"/>
        <v>1078</v>
      </c>
      <c r="O68">
        <f t="shared" si="20"/>
        <v>6</v>
      </c>
    </row>
    <row r="69" spans="1:15">
      <c r="A69" s="45" t="s">
        <v>607</v>
      </c>
      <c r="B69" s="45" t="s">
        <v>202</v>
      </c>
      <c r="C69" s="230">
        <f>VLOOKUP(B69, 'S08 ABC Output'!$A$3:$C$18, 3, 0)</f>
        <v>25649</v>
      </c>
      <c r="D69" s="230">
        <f>VLOOKUP(B69, 'S12 Operations'!$C$2:$H$534, 6, 0)</f>
        <v>200</v>
      </c>
      <c r="E69" s="230">
        <f t="shared" si="15"/>
        <v>129</v>
      </c>
      <c r="F69" s="230">
        <f>VLOOKUP(A69, 'S11 Work Stations'!$A$2:$C$45, 3, 0)</f>
        <v>35</v>
      </c>
      <c r="G69" s="230">
        <f>VLOOKUP(B69&amp;"-"&amp;A69, 'S12 Operations'!$A$2:$G$534, 7, 0)</f>
        <v>480</v>
      </c>
      <c r="H69" s="229">
        <f t="shared" si="16"/>
        <v>8</v>
      </c>
      <c r="I69" s="229">
        <f t="shared" si="17"/>
        <v>209707</v>
      </c>
      <c r="J69" s="230">
        <f t="shared" si="18"/>
        <v>3495</v>
      </c>
      <c r="L69">
        <f t="shared" si="19"/>
        <v>6</v>
      </c>
      <c r="M69">
        <f t="shared" si="13"/>
        <v>129</v>
      </c>
      <c r="N69">
        <f t="shared" si="14"/>
        <v>1078</v>
      </c>
      <c r="O69">
        <f t="shared" si="20"/>
        <v>6</v>
      </c>
    </row>
    <row r="70" spans="1:15">
      <c r="A70" s="45" t="s">
        <v>609</v>
      </c>
      <c r="B70" s="45" t="s">
        <v>178</v>
      </c>
      <c r="C70" s="230">
        <f>VLOOKUP(B70, 'S08 ABC Output'!$A$3:$C$18, 3, 0)</f>
        <v>215425</v>
      </c>
      <c r="D70" s="230">
        <f>VLOOKUP(B70, 'S12 Operations'!$C$2:$H$534, 6, 0)</f>
        <v>200</v>
      </c>
      <c r="E70" s="230">
        <f t="shared" si="15"/>
        <v>1078</v>
      </c>
      <c r="F70" s="230">
        <f>VLOOKUP(A70, 'S11 Work Stations'!$A$2:$C$45, 3, 0)</f>
        <v>40</v>
      </c>
      <c r="G70" s="230">
        <f>VLOOKUP(B70&amp;"-"&amp;A70, 'S12 Operations'!$A$2:$G$534, 7, 0)</f>
        <v>120</v>
      </c>
      <c r="H70" s="229">
        <f t="shared" si="16"/>
        <v>2</v>
      </c>
      <c r="I70" s="229">
        <f t="shared" si="17"/>
        <v>443930</v>
      </c>
      <c r="J70" s="230">
        <f t="shared" si="18"/>
        <v>7399</v>
      </c>
      <c r="L70">
        <f t="shared" si="19"/>
        <v>1</v>
      </c>
      <c r="M70">
        <f t="shared" si="13"/>
        <v>129</v>
      </c>
      <c r="N70">
        <f t="shared" si="14"/>
        <v>1078</v>
      </c>
      <c r="O70">
        <f t="shared" si="20"/>
        <v>6</v>
      </c>
    </row>
    <row r="71" spans="1:15">
      <c r="A71" s="45" t="s">
        <v>609</v>
      </c>
      <c r="B71" s="45" t="s">
        <v>186</v>
      </c>
      <c r="C71" s="230">
        <f>VLOOKUP(B71, 'S08 ABC Output'!$A$3:$C$18, 3, 0)</f>
        <v>65248</v>
      </c>
      <c r="D71" s="230">
        <f>VLOOKUP(B71, 'S12 Operations'!$C$2:$H$534, 6, 0)</f>
        <v>200</v>
      </c>
      <c r="E71" s="230">
        <f t="shared" si="15"/>
        <v>327</v>
      </c>
      <c r="F71" s="230">
        <f>VLOOKUP(A71, 'S11 Work Stations'!$A$2:$C$45, 3, 0)</f>
        <v>40</v>
      </c>
      <c r="G71" s="230">
        <f>VLOOKUP(B71&amp;"-"&amp;A71, 'S12 Operations'!$A$2:$G$534, 7, 0)</f>
        <v>120</v>
      </c>
      <c r="H71" s="229">
        <f t="shared" si="16"/>
        <v>2</v>
      </c>
      <c r="I71" s="229">
        <f t="shared" si="17"/>
        <v>143576</v>
      </c>
      <c r="J71" s="230">
        <f t="shared" si="18"/>
        <v>2393</v>
      </c>
      <c r="L71">
        <f t="shared" si="19"/>
        <v>2</v>
      </c>
      <c r="M71">
        <f t="shared" si="13"/>
        <v>129</v>
      </c>
      <c r="N71">
        <f t="shared" si="14"/>
        <v>1078</v>
      </c>
      <c r="O71">
        <f t="shared" si="20"/>
        <v>6</v>
      </c>
    </row>
    <row r="72" spans="1:15">
      <c r="A72" s="45" t="s">
        <v>609</v>
      </c>
      <c r="B72" s="45" t="s">
        <v>192</v>
      </c>
      <c r="C72" s="230">
        <f>VLOOKUP(B72, 'S08 ABC Output'!$A$3:$C$18, 3, 0)</f>
        <v>45896</v>
      </c>
      <c r="D72" s="230">
        <f>VLOOKUP(B72, 'S12 Operations'!$C$2:$H$534, 6, 0)</f>
        <v>200</v>
      </c>
      <c r="E72" s="230">
        <f t="shared" si="15"/>
        <v>230</v>
      </c>
      <c r="F72" s="230">
        <f>VLOOKUP(A72, 'S11 Work Stations'!$A$2:$C$45, 3, 0)</f>
        <v>40</v>
      </c>
      <c r="G72" s="230">
        <f>VLOOKUP(B72&amp;"-"&amp;A72, 'S12 Operations'!$A$2:$G$534, 7, 0)</f>
        <v>120</v>
      </c>
      <c r="H72" s="229">
        <f t="shared" si="16"/>
        <v>2</v>
      </c>
      <c r="I72" s="229">
        <f t="shared" si="17"/>
        <v>100992</v>
      </c>
      <c r="J72" s="230">
        <f t="shared" si="18"/>
        <v>1683</v>
      </c>
      <c r="L72">
        <f t="shared" si="19"/>
        <v>3</v>
      </c>
      <c r="M72">
        <f t="shared" si="13"/>
        <v>129</v>
      </c>
      <c r="N72">
        <f t="shared" si="14"/>
        <v>1078</v>
      </c>
      <c r="O72">
        <f t="shared" si="20"/>
        <v>6</v>
      </c>
    </row>
    <row r="73" spans="1:15">
      <c r="A73" s="45" t="s">
        <v>609</v>
      </c>
      <c r="B73" s="45" t="s">
        <v>194</v>
      </c>
      <c r="C73" s="230">
        <f>VLOOKUP(B73, 'S08 ABC Output'!$A$3:$C$18, 3, 0)</f>
        <v>36524</v>
      </c>
      <c r="D73" s="230">
        <f>VLOOKUP(B73, 'S12 Operations'!$C$2:$H$534, 6, 0)</f>
        <v>200</v>
      </c>
      <c r="E73" s="230">
        <f t="shared" si="15"/>
        <v>183</v>
      </c>
      <c r="F73" s="230">
        <f>VLOOKUP(A73, 'S11 Work Stations'!$A$2:$C$45, 3, 0)</f>
        <v>40</v>
      </c>
      <c r="G73" s="230">
        <f>VLOOKUP(B73&amp;"-"&amp;A73, 'S12 Operations'!$A$2:$G$534, 7, 0)</f>
        <v>60</v>
      </c>
      <c r="H73" s="229">
        <f t="shared" si="16"/>
        <v>1</v>
      </c>
      <c r="I73" s="229">
        <f t="shared" si="17"/>
        <v>43844</v>
      </c>
      <c r="J73" s="230">
        <f t="shared" si="18"/>
        <v>731</v>
      </c>
      <c r="L73">
        <f t="shared" si="19"/>
        <v>4</v>
      </c>
      <c r="M73">
        <f t="shared" si="13"/>
        <v>129</v>
      </c>
      <c r="N73">
        <f t="shared" si="14"/>
        <v>1078</v>
      </c>
      <c r="O73">
        <f t="shared" si="20"/>
        <v>6</v>
      </c>
    </row>
    <row r="74" spans="1:15">
      <c r="A74" s="45" t="s">
        <v>609</v>
      </c>
      <c r="B74" s="45" t="s">
        <v>196</v>
      </c>
      <c r="C74" s="230">
        <f>VLOOKUP(B74, 'S08 ABC Output'!$A$3:$C$18, 3, 0)</f>
        <v>36502</v>
      </c>
      <c r="D74" s="230">
        <f>VLOOKUP(B74, 'S12 Operations'!$C$2:$H$534, 6, 0)</f>
        <v>200</v>
      </c>
      <c r="E74" s="230">
        <f t="shared" si="15"/>
        <v>183</v>
      </c>
      <c r="F74" s="230">
        <f>VLOOKUP(A74, 'S11 Work Stations'!$A$2:$C$45, 3, 0)</f>
        <v>40</v>
      </c>
      <c r="G74" s="230">
        <f>VLOOKUP(B74&amp;"-"&amp;A74, 'S12 Operations'!$A$2:$G$534, 7, 0)</f>
        <v>120</v>
      </c>
      <c r="H74" s="229">
        <f t="shared" si="16"/>
        <v>2</v>
      </c>
      <c r="I74" s="229">
        <f t="shared" si="17"/>
        <v>80324</v>
      </c>
      <c r="J74" s="230">
        <f t="shared" si="18"/>
        <v>1339</v>
      </c>
      <c r="L74">
        <f t="shared" si="19"/>
        <v>4</v>
      </c>
      <c r="M74">
        <f t="shared" si="13"/>
        <v>129</v>
      </c>
      <c r="N74">
        <f t="shared" si="14"/>
        <v>1078</v>
      </c>
      <c r="O74">
        <f t="shared" si="20"/>
        <v>6</v>
      </c>
    </row>
    <row r="75" spans="1:15">
      <c r="A75" s="45" t="s">
        <v>609</v>
      </c>
      <c r="B75" s="45" t="s">
        <v>202</v>
      </c>
      <c r="C75" s="230">
        <f>VLOOKUP(B75, 'S08 ABC Output'!$A$3:$C$18, 3, 0)</f>
        <v>25649</v>
      </c>
      <c r="D75" s="230">
        <f>VLOOKUP(B75, 'S12 Operations'!$C$2:$H$534, 6, 0)</f>
        <v>200</v>
      </c>
      <c r="E75" s="230">
        <f t="shared" si="15"/>
        <v>129</v>
      </c>
      <c r="F75" s="230">
        <f>VLOOKUP(A75, 'S11 Work Stations'!$A$2:$C$45, 3, 0)</f>
        <v>40</v>
      </c>
      <c r="G75" s="230">
        <f>VLOOKUP(B75&amp;"-"&amp;A75, 'S12 Operations'!$A$2:$G$534, 7, 0)</f>
        <v>60</v>
      </c>
      <c r="H75" s="229">
        <f t="shared" si="16"/>
        <v>1</v>
      </c>
      <c r="I75" s="229">
        <f t="shared" si="17"/>
        <v>30809</v>
      </c>
      <c r="J75" s="230">
        <f t="shared" si="18"/>
        <v>513</v>
      </c>
      <c r="L75">
        <f t="shared" si="19"/>
        <v>6</v>
      </c>
      <c r="M75">
        <f t="shared" si="13"/>
        <v>129</v>
      </c>
      <c r="N75">
        <f t="shared" si="14"/>
        <v>1078</v>
      </c>
      <c r="O75">
        <f t="shared" si="20"/>
        <v>6</v>
      </c>
    </row>
    <row r="76" spans="1:15">
      <c r="A76" s="45" t="s">
        <v>611</v>
      </c>
      <c r="B76" s="45" t="s">
        <v>180</v>
      </c>
      <c r="C76" s="230">
        <f>VLOOKUP(B76, 'S08 ABC Output'!$A$3:$C$18, 3, 0)</f>
        <v>125036</v>
      </c>
      <c r="D76" s="230">
        <f>VLOOKUP(B76, 'S12 Operations'!$C$2:$H$534, 6, 0)</f>
        <v>200</v>
      </c>
      <c r="E76" s="230">
        <f t="shared" si="15"/>
        <v>626</v>
      </c>
      <c r="F76" s="230">
        <f>VLOOKUP(A76, 'S11 Work Stations'!$A$2:$C$45, 3, 0)</f>
        <v>35</v>
      </c>
      <c r="G76" s="230">
        <f>VLOOKUP(B76&amp;"-"&amp;A76, 'S12 Operations'!$A$2:$G$534, 7, 0)</f>
        <v>120</v>
      </c>
      <c r="H76" s="229">
        <f t="shared" si="16"/>
        <v>2</v>
      </c>
      <c r="I76" s="229">
        <f t="shared" si="17"/>
        <v>267922</v>
      </c>
      <c r="J76" s="230">
        <f t="shared" si="18"/>
        <v>4465</v>
      </c>
      <c r="L76">
        <f t="shared" si="19"/>
        <v>1</v>
      </c>
      <c r="M76">
        <f t="shared" si="13"/>
        <v>129</v>
      </c>
      <c r="N76">
        <f t="shared" si="14"/>
        <v>626</v>
      </c>
      <c r="O76">
        <f t="shared" si="20"/>
        <v>3</v>
      </c>
    </row>
    <row r="77" spans="1:15">
      <c r="A77" s="45" t="s">
        <v>611</v>
      </c>
      <c r="B77" s="45" t="s">
        <v>200</v>
      </c>
      <c r="C77" s="230">
        <f>VLOOKUP(B77, 'S08 ABC Output'!$A$3:$C$18, 3, 0)</f>
        <v>25689</v>
      </c>
      <c r="D77" s="230">
        <f>VLOOKUP(B77, 'S12 Operations'!$C$2:$H$534, 6, 0)</f>
        <v>200</v>
      </c>
      <c r="E77" s="230">
        <f t="shared" si="15"/>
        <v>129</v>
      </c>
      <c r="F77" s="230">
        <f>VLOOKUP(A77, 'S11 Work Stations'!$A$2:$C$45, 3, 0)</f>
        <v>35</v>
      </c>
      <c r="G77" s="230">
        <f>VLOOKUP(B77&amp;"-"&amp;A77, 'S12 Operations'!$A$2:$G$534, 7, 0)</f>
        <v>120</v>
      </c>
      <c r="H77" s="229">
        <f t="shared" si="16"/>
        <v>2</v>
      </c>
      <c r="I77" s="229">
        <f t="shared" si="17"/>
        <v>55893</v>
      </c>
      <c r="J77" s="230">
        <f t="shared" si="18"/>
        <v>932</v>
      </c>
      <c r="L77">
        <f t="shared" si="19"/>
        <v>3</v>
      </c>
      <c r="M77">
        <f t="shared" si="13"/>
        <v>129</v>
      </c>
      <c r="N77">
        <f t="shared" si="14"/>
        <v>626</v>
      </c>
      <c r="O77">
        <f t="shared" si="20"/>
        <v>3</v>
      </c>
    </row>
    <row r="78" spans="1:15">
      <c r="A78" s="45" t="s">
        <v>611</v>
      </c>
      <c r="B78" s="45" t="s">
        <v>205</v>
      </c>
      <c r="C78" s="230">
        <f>VLOOKUP(B78, 'S08 ABC Output'!$A$3:$C$18, 3, 0)</f>
        <v>25468</v>
      </c>
      <c r="D78" s="230">
        <f>VLOOKUP(B78, 'S12 Operations'!$C$2:$H$534, 6, 0)</f>
        <v>50</v>
      </c>
      <c r="E78" s="230">
        <f t="shared" si="15"/>
        <v>510</v>
      </c>
      <c r="F78" s="230">
        <f>VLOOKUP(A78, 'S11 Work Stations'!$A$2:$C$45, 3, 0)</f>
        <v>35</v>
      </c>
      <c r="G78" s="230">
        <f>VLOOKUP(B78&amp;"-"&amp;A78, 'S12 Operations'!$A$2:$G$534, 7, 0)</f>
        <v>120</v>
      </c>
      <c r="H78" s="229">
        <f t="shared" si="16"/>
        <v>2</v>
      </c>
      <c r="I78" s="229">
        <f t="shared" si="17"/>
        <v>68786</v>
      </c>
      <c r="J78" s="230">
        <f t="shared" si="18"/>
        <v>1146</v>
      </c>
      <c r="L78">
        <f t="shared" si="19"/>
        <v>2</v>
      </c>
      <c r="M78">
        <f t="shared" si="13"/>
        <v>129</v>
      </c>
      <c r="N78">
        <f t="shared" si="14"/>
        <v>626</v>
      </c>
      <c r="O78">
        <f t="shared" si="20"/>
        <v>3</v>
      </c>
    </row>
    <row r="79" spans="1:15">
      <c r="A79" s="45" t="s">
        <v>613</v>
      </c>
      <c r="B79" s="45" t="s">
        <v>176</v>
      </c>
      <c r="C79" s="230">
        <f>VLOOKUP(B79, 'S08 ABC Output'!$A$3:$C$18, 3, 0)</f>
        <v>250356</v>
      </c>
      <c r="D79" s="230">
        <f>VLOOKUP(B79, 'S12 Operations'!$C$2:$H$534, 6, 0)</f>
        <v>200</v>
      </c>
      <c r="E79" s="230">
        <f t="shared" si="15"/>
        <v>1252</v>
      </c>
      <c r="F79" s="230">
        <f>VLOOKUP(A79, 'S11 Work Stations'!$A$2:$C$45, 3, 0)</f>
        <v>40</v>
      </c>
      <c r="G79" s="230">
        <f>VLOOKUP(B79&amp;"-"&amp;A79, 'S12 Operations'!$A$2:$G$534, 7, 0)</f>
        <v>120</v>
      </c>
      <c r="H79" s="229">
        <f t="shared" si="16"/>
        <v>2</v>
      </c>
      <c r="I79" s="229">
        <f t="shared" si="17"/>
        <v>518032</v>
      </c>
      <c r="J79" s="230">
        <f t="shared" si="18"/>
        <v>8634</v>
      </c>
      <c r="L79">
        <f t="shared" si="19"/>
        <v>1</v>
      </c>
      <c r="M79">
        <f t="shared" si="13"/>
        <v>129</v>
      </c>
      <c r="N79">
        <f t="shared" si="14"/>
        <v>1252</v>
      </c>
      <c r="O79">
        <f t="shared" si="20"/>
        <v>7</v>
      </c>
    </row>
    <row r="80" spans="1:15">
      <c r="A80" s="45" t="s">
        <v>613</v>
      </c>
      <c r="B80" s="45" t="s">
        <v>182</v>
      </c>
      <c r="C80" s="230">
        <f>VLOOKUP(B80, 'S08 ABC Output'!$A$3:$C$18, 3, 0)</f>
        <v>86542</v>
      </c>
      <c r="D80" s="230">
        <f>VLOOKUP(B80, 'S12 Operations'!$C$2:$H$534, 6, 0)</f>
        <v>200</v>
      </c>
      <c r="E80" s="230">
        <f t="shared" si="15"/>
        <v>433</v>
      </c>
      <c r="F80" s="230">
        <f>VLOOKUP(A80, 'S11 Work Stations'!$A$2:$C$45, 3, 0)</f>
        <v>40</v>
      </c>
      <c r="G80" s="230">
        <f>VLOOKUP(B80&amp;"-"&amp;A80, 'S12 Operations'!$A$2:$G$534, 7, 0)</f>
        <v>180</v>
      </c>
      <c r="H80" s="229">
        <f t="shared" si="16"/>
        <v>3</v>
      </c>
      <c r="I80" s="229">
        <f t="shared" si="17"/>
        <v>276946</v>
      </c>
      <c r="J80" s="230">
        <f t="shared" si="18"/>
        <v>4616</v>
      </c>
      <c r="L80">
        <f t="shared" si="19"/>
        <v>2</v>
      </c>
      <c r="M80">
        <f t="shared" si="13"/>
        <v>129</v>
      </c>
      <c r="N80">
        <f t="shared" si="14"/>
        <v>1252</v>
      </c>
      <c r="O80">
        <f t="shared" si="20"/>
        <v>7</v>
      </c>
    </row>
    <row r="81" spans="1:15">
      <c r="A81" s="45" t="s">
        <v>613</v>
      </c>
      <c r="B81" s="45" t="s">
        <v>184</v>
      </c>
      <c r="C81" s="230">
        <f>VLOOKUP(B81, 'S08 ABC Output'!$A$3:$C$18, 3, 0)</f>
        <v>85612</v>
      </c>
      <c r="D81" s="230">
        <f>VLOOKUP(B81, 'S12 Operations'!$C$2:$H$534, 6, 0)</f>
        <v>200</v>
      </c>
      <c r="E81" s="230">
        <f t="shared" si="15"/>
        <v>429</v>
      </c>
      <c r="F81" s="230">
        <f>VLOOKUP(A81, 'S11 Work Stations'!$A$2:$C$45, 3, 0)</f>
        <v>40</v>
      </c>
      <c r="G81" s="230">
        <f>VLOOKUP(B81&amp;"-"&amp;A81, 'S12 Operations'!$A$2:$G$534, 7, 0)</f>
        <v>120</v>
      </c>
      <c r="H81" s="229">
        <f t="shared" si="16"/>
        <v>2</v>
      </c>
      <c r="I81" s="229">
        <f t="shared" si="17"/>
        <v>188384</v>
      </c>
      <c r="J81" s="230">
        <f t="shared" si="18"/>
        <v>3140</v>
      </c>
      <c r="L81">
        <f t="shared" si="19"/>
        <v>3</v>
      </c>
      <c r="M81">
        <f t="shared" si="13"/>
        <v>129</v>
      </c>
      <c r="N81">
        <f t="shared" si="14"/>
        <v>1252</v>
      </c>
      <c r="O81">
        <f t="shared" si="20"/>
        <v>7</v>
      </c>
    </row>
    <row r="82" spans="1:15">
      <c r="A82" s="45" t="s">
        <v>613</v>
      </c>
      <c r="B82" s="45" t="s">
        <v>188</v>
      </c>
      <c r="C82" s="230">
        <f>VLOOKUP(B82, 'S08 ABC Output'!$A$3:$C$18, 3, 0)</f>
        <v>54682</v>
      </c>
      <c r="D82" s="230">
        <f>VLOOKUP(B82, 'S12 Operations'!$C$2:$H$534, 6, 0)</f>
        <v>200</v>
      </c>
      <c r="E82" s="230">
        <f t="shared" si="15"/>
        <v>274</v>
      </c>
      <c r="F82" s="230">
        <f>VLOOKUP(A82, 'S11 Work Stations'!$A$2:$C$45, 3, 0)</f>
        <v>40</v>
      </c>
      <c r="G82" s="230">
        <f>VLOOKUP(B82&amp;"-"&amp;A82, 'S12 Operations'!$A$2:$G$534, 7, 0)</f>
        <v>180</v>
      </c>
      <c r="H82" s="229">
        <f t="shared" si="16"/>
        <v>3</v>
      </c>
      <c r="I82" s="229">
        <f t="shared" si="17"/>
        <v>175006</v>
      </c>
      <c r="J82" s="230">
        <f t="shared" si="18"/>
        <v>2917</v>
      </c>
      <c r="L82">
        <f t="shared" si="19"/>
        <v>4</v>
      </c>
      <c r="M82">
        <f t="shared" si="13"/>
        <v>129</v>
      </c>
      <c r="N82">
        <f t="shared" si="14"/>
        <v>1252</v>
      </c>
      <c r="O82">
        <f t="shared" si="20"/>
        <v>7</v>
      </c>
    </row>
    <row r="83" spans="1:15">
      <c r="A83" s="45" t="s">
        <v>613</v>
      </c>
      <c r="B83" s="45" t="s">
        <v>190</v>
      </c>
      <c r="C83" s="230">
        <f>VLOOKUP(B83, 'S08 ABC Output'!$A$3:$C$18, 3, 0)</f>
        <v>50689</v>
      </c>
      <c r="D83" s="230">
        <f>VLOOKUP(B83, 'S12 Operations'!$C$2:$H$534, 6, 0)</f>
        <v>200</v>
      </c>
      <c r="E83" s="230">
        <f t="shared" si="15"/>
        <v>254</v>
      </c>
      <c r="F83" s="230">
        <f>VLOOKUP(A83, 'S11 Work Stations'!$A$2:$C$45, 3, 0)</f>
        <v>40</v>
      </c>
      <c r="G83" s="230">
        <f>VLOOKUP(B83&amp;"-"&amp;A83, 'S12 Operations'!$A$2:$G$534, 7, 0)</f>
        <v>120</v>
      </c>
      <c r="H83" s="229">
        <f t="shared" si="16"/>
        <v>2</v>
      </c>
      <c r="I83" s="229">
        <f t="shared" si="17"/>
        <v>111538</v>
      </c>
      <c r="J83" s="230">
        <f t="shared" si="18"/>
        <v>1859</v>
      </c>
      <c r="L83">
        <f t="shared" si="19"/>
        <v>5</v>
      </c>
      <c r="M83">
        <f t="shared" si="13"/>
        <v>129</v>
      </c>
      <c r="N83">
        <f t="shared" si="14"/>
        <v>1252</v>
      </c>
      <c r="O83">
        <f t="shared" si="20"/>
        <v>7</v>
      </c>
    </row>
    <row r="84" spans="1:15">
      <c r="A84" s="45" t="s">
        <v>613</v>
      </c>
      <c r="B84" s="45" t="s">
        <v>198</v>
      </c>
      <c r="C84" s="230">
        <f>VLOOKUP(B84, 'S08 ABC Output'!$A$3:$C$18, 3, 0)</f>
        <v>25689</v>
      </c>
      <c r="D84" s="230">
        <f>VLOOKUP(B84, 'S12 Operations'!$C$2:$H$534, 6, 0)</f>
        <v>200</v>
      </c>
      <c r="E84" s="230">
        <f t="shared" si="15"/>
        <v>129</v>
      </c>
      <c r="F84" s="230">
        <f>VLOOKUP(A84, 'S11 Work Stations'!$A$2:$C$45, 3, 0)</f>
        <v>40</v>
      </c>
      <c r="G84" s="230">
        <f>VLOOKUP(B84&amp;"-"&amp;A84, 'S12 Operations'!$A$2:$G$534, 7, 0)</f>
        <v>120</v>
      </c>
      <c r="H84" s="229">
        <f t="shared" si="16"/>
        <v>2</v>
      </c>
      <c r="I84" s="229">
        <f t="shared" si="17"/>
        <v>56538</v>
      </c>
      <c r="J84" s="230">
        <f t="shared" si="18"/>
        <v>942</v>
      </c>
      <c r="L84">
        <f t="shared" si="19"/>
        <v>6</v>
      </c>
      <c r="M84">
        <f t="shared" si="13"/>
        <v>129</v>
      </c>
      <c r="N84">
        <f t="shared" si="14"/>
        <v>1252</v>
      </c>
      <c r="O84">
        <f t="shared" si="20"/>
        <v>7</v>
      </c>
    </row>
    <row r="85" spans="1:15">
      <c r="A85" s="45" t="s">
        <v>613</v>
      </c>
      <c r="B85" s="45" t="s">
        <v>203</v>
      </c>
      <c r="C85" s="230">
        <f>VLOOKUP(B85, 'S08 ABC Output'!$A$3:$C$18, 3, 0)</f>
        <v>25639</v>
      </c>
      <c r="D85" s="230">
        <f>VLOOKUP(B85, 'S12 Operations'!$C$2:$H$534, 6, 0)</f>
        <v>200</v>
      </c>
      <c r="E85" s="230">
        <f t="shared" si="15"/>
        <v>129</v>
      </c>
      <c r="F85" s="230">
        <f>VLOOKUP(A85, 'S11 Work Stations'!$A$2:$C$45, 3, 0)</f>
        <v>40</v>
      </c>
      <c r="G85" s="230">
        <f>VLOOKUP(B85&amp;"-"&amp;A85, 'S12 Operations'!$A$2:$G$534, 7, 0)</f>
        <v>120</v>
      </c>
      <c r="H85" s="229">
        <f t="shared" si="16"/>
        <v>2</v>
      </c>
      <c r="I85" s="229">
        <f t="shared" si="17"/>
        <v>56438</v>
      </c>
      <c r="J85" s="230">
        <f t="shared" si="18"/>
        <v>941</v>
      </c>
      <c r="L85">
        <f t="shared" si="19"/>
        <v>6</v>
      </c>
      <c r="M85">
        <f t="shared" si="13"/>
        <v>129</v>
      </c>
      <c r="N85">
        <f t="shared" si="14"/>
        <v>1252</v>
      </c>
      <c r="O85">
        <f t="shared" si="20"/>
        <v>7</v>
      </c>
    </row>
    <row r="86" spans="1:15">
      <c r="A86" s="45" t="s">
        <v>615</v>
      </c>
      <c r="B86" s="45" t="s">
        <v>182</v>
      </c>
      <c r="C86" s="230">
        <f>VLOOKUP(B86, 'S08 ABC Output'!$A$3:$C$18, 3, 0)</f>
        <v>86542</v>
      </c>
      <c r="D86" s="230">
        <f>VLOOKUP(B86, 'S12 Operations'!$C$2:$H$534, 6, 0)</f>
        <v>200</v>
      </c>
      <c r="E86" s="230">
        <f t="shared" si="15"/>
        <v>433</v>
      </c>
      <c r="F86" s="230">
        <f>VLOOKUP(A86, 'S11 Work Stations'!$A$2:$C$45, 3, 0)</f>
        <v>60</v>
      </c>
      <c r="G86" s="230">
        <f>VLOOKUP(B86&amp;"-"&amp;A86, 'S12 Operations'!$A$2:$G$534, 7, 0)</f>
        <v>300</v>
      </c>
      <c r="H86" s="229">
        <f t="shared" si="16"/>
        <v>5</v>
      </c>
      <c r="I86" s="229">
        <f t="shared" si="17"/>
        <v>432710</v>
      </c>
      <c r="J86" s="230">
        <f t="shared" si="18"/>
        <v>7212</v>
      </c>
      <c r="L86">
        <f t="shared" si="19"/>
        <v>1</v>
      </c>
      <c r="M86">
        <f t="shared" si="13"/>
        <v>433</v>
      </c>
      <c r="N86">
        <f t="shared" si="14"/>
        <v>433</v>
      </c>
      <c r="O86">
        <f t="shared" si="20"/>
        <v>1</v>
      </c>
    </row>
    <row r="87" spans="1:15">
      <c r="A87" s="45" t="s">
        <v>616</v>
      </c>
      <c r="B87" s="45" t="s">
        <v>176</v>
      </c>
      <c r="C87" s="230">
        <f>VLOOKUP(B87, 'S08 ABC Output'!$A$3:$C$18, 3, 0)</f>
        <v>250356</v>
      </c>
      <c r="D87" s="230">
        <f>VLOOKUP(B87, 'S12 Operations'!$C$2:$H$534, 6, 0)</f>
        <v>200</v>
      </c>
      <c r="E87" s="230">
        <f t="shared" si="15"/>
        <v>1252</v>
      </c>
      <c r="F87" s="230">
        <f>VLOOKUP(A87, 'S11 Work Stations'!$A$2:$C$45, 3, 0)</f>
        <v>1</v>
      </c>
      <c r="G87" s="230">
        <f>VLOOKUP(B87&amp;"-"&amp;A87, 'S12 Operations'!$A$2:$G$534, 7, 0)</f>
        <v>0</v>
      </c>
      <c r="H87" s="229">
        <f t="shared" si="16"/>
        <v>0</v>
      </c>
      <c r="I87" s="229">
        <f t="shared" si="17"/>
        <v>1078</v>
      </c>
      <c r="J87" s="230">
        <f t="shared" si="18"/>
        <v>18</v>
      </c>
      <c r="L87">
        <f t="shared" si="19"/>
        <v>1</v>
      </c>
      <c r="M87">
        <f t="shared" si="13"/>
        <v>129</v>
      </c>
      <c r="N87">
        <f t="shared" si="14"/>
        <v>1252</v>
      </c>
      <c r="O87">
        <f t="shared" si="20"/>
        <v>16</v>
      </c>
    </row>
    <row r="88" spans="1:15">
      <c r="A88" s="45" t="s">
        <v>616</v>
      </c>
      <c r="B88" s="45" t="s">
        <v>178</v>
      </c>
      <c r="C88" s="230">
        <f>VLOOKUP(B88, 'S08 ABC Output'!$A$3:$C$18, 3, 0)</f>
        <v>215425</v>
      </c>
      <c r="D88" s="230">
        <f>VLOOKUP(B88, 'S12 Operations'!$C$2:$H$534, 6, 0)</f>
        <v>200</v>
      </c>
      <c r="E88" s="230">
        <f t="shared" si="15"/>
        <v>1078</v>
      </c>
      <c r="F88" s="230">
        <f>VLOOKUP(A88, 'S11 Work Stations'!$A$2:$C$45, 3, 0)</f>
        <v>1</v>
      </c>
      <c r="G88" s="230">
        <f>VLOOKUP(B88&amp;"-"&amp;A88, 'S12 Operations'!$A$2:$G$534, 7, 0)</f>
        <v>0</v>
      </c>
      <c r="H88" s="229">
        <f t="shared" si="16"/>
        <v>0</v>
      </c>
      <c r="I88" s="229">
        <f t="shared" si="17"/>
        <v>1078</v>
      </c>
      <c r="J88" s="230">
        <f t="shared" si="18"/>
        <v>18</v>
      </c>
      <c r="L88">
        <f t="shared" si="19"/>
        <v>2</v>
      </c>
      <c r="M88">
        <f t="shared" si="13"/>
        <v>129</v>
      </c>
      <c r="N88">
        <f t="shared" si="14"/>
        <v>1252</v>
      </c>
      <c r="O88">
        <f t="shared" si="20"/>
        <v>16</v>
      </c>
    </row>
    <row r="89" spans="1:15">
      <c r="A89" s="45" t="s">
        <v>616</v>
      </c>
      <c r="B89" s="45" t="s">
        <v>180</v>
      </c>
      <c r="C89" s="230">
        <f>VLOOKUP(B89, 'S08 ABC Output'!$A$3:$C$18, 3, 0)</f>
        <v>125036</v>
      </c>
      <c r="D89" s="230">
        <f>VLOOKUP(B89, 'S12 Operations'!$C$2:$H$534, 6, 0)</f>
        <v>200</v>
      </c>
      <c r="E89" s="230">
        <f t="shared" si="15"/>
        <v>626</v>
      </c>
      <c r="F89" s="230">
        <f>VLOOKUP(A89, 'S11 Work Stations'!$A$2:$C$45, 3, 0)</f>
        <v>1</v>
      </c>
      <c r="G89" s="230">
        <f>VLOOKUP(B89&amp;"-"&amp;A89, 'S12 Operations'!$A$2:$G$534, 7, 0)</f>
        <v>0</v>
      </c>
      <c r="H89" s="229">
        <f t="shared" si="16"/>
        <v>0</v>
      </c>
      <c r="I89" s="229">
        <f t="shared" si="17"/>
        <v>626</v>
      </c>
      <c r="J89" s="230">
        <f t="shared" si="18"/>
        <v>10</v>
      </c>
      <c r="L89">
        <f t="shared" si="19"/>
        <v>3</v>
      </c>
      <c r="M89">
        <f t="shared" si="13"/>
        <v>129</v>
      </c>
      <c r="N89">
        <f t="shared" si="14"/>
        <v>1252</v>
      </c>
      <c r="O89">
        <f t="shared" si="20"/>
        <v>16</v>
      </c>
    </row>
    <row r="90" spans="1:15">
      <c r="A90" s="45" t="s">
        <v>616</v>
      </c>
      <c r="B90" s="45" t="s">
        <v>182</v>
      </c>
      <c r="C90" s="230">
        <f>VLOOKUP(B90, 'S08 ABC Output'!$A$3:$C$18, 3, 0)</f>
        <v>86542</v>
      </c>
      <c r="D90" s="230">
        <f>VLOOKUP(B90, 'S12 Operations'!$C$2:$H$534, 6, 0)</f>
        <v>200</v>
      </c>
      <c r="E90" s="230">
        <f t="shared" si="15"/>
        <v>433</v>
      </c>
      <c r="F90" s="230">
        <f>VLOOKUP(A90, 'S11 Work Stations'!$A$2:$C$45, 3, 0)</f>
        <v>1</v>
      </c>
      <c r="G90" s="230">
        <f>VLOOKUP(B90&amp;"-"&amp;A90, 'S12 Operations'!$A$2:$G$534, 7, 0)</f>
        <v>0</v>
      </c>
      <c r="H90" s="229">
        <f t="shared" si="16"/>
        <v>0</v>
      </c>
      <c r="I90" s="229">
        <f t="shared" si="17"/>
        <v>433</v>
      </c>
      <c r="J90" s="230">
        <f t="shared" si="18"/>
        <v>7</v>
      </c>
      <c r="L90">
        <f t="shared" si="19"/>
        <v>5</v>
      </c>
      <c r="M90">
        <f t="shared" si="13"/>
        <v>129</v>
      </c>
      <c r="N90">
        <f t="shared" si="14"/>
        <v>1252</v>
      </c>
      <c r="O90">
        <f t="shared" si="20"/>
        <v>16</v>
      </c>
    </row>
    <row r="91" spans="1:15">
      <c r="A91" s="45" t="s">
        <v>616</v>
      </c>
      <c r="B91" s="45" t="s">
        <v>184</v>
      </c>
      <c r="C91" s="230">
        <f>VLOOKUP(B91, 'S08 ABC Output'!$A$3:$C$18, 3, 0)</f>
        <v>85612</v>
      </c>
      <c r="D91" s="230">
        <f>VLOOKUP(B91, 'S12 Operations'!$C$2:$H$534, 6, 0)</f>
        <v>200</v>
      </c>
      <c r="E91" s="230">
        <f t="shared" si="15"/>
        <v>429</v>
      </c>
      <c r="F91" s="230">
        <f>VLOOKUP(A91, 'S11 Work Stations'!$A$2:$C$45, 3, 0)</f>
        <v>1</v>
      </c>
      <c r="G91" s="230">
        <f>VLOOKUP(B91&amp;"-"&amp;A91, 'S12 Operations'!$A$2:$G$534, 7, 0)</f>
        <v>0</v>
      </c>
      <c r="H91" s="229">
        <f t="shared" si="16"/>
        <v>0</v>
      </c>
      <c r="I91" s="229">
        <f t="shared" si="17"/>
        <v>429</v>
      </c>
      <c r="J91" s="230">
        <f t="shared" si="18"/>
        <v>7</v>
      </c>
      <c r="L91">
        <f t="shared" si="19"/>
        <v>6</v>
      </c>
      <c r="M91">
        <f t="shared" si="13"/>
        <v>129</v>
      </c>
      <c r="N91">
        <f t="shared" si="14"/>
        <v>1252</v>
      </c>
      <c r="O91">
        <f t="shared" si="20"/>
        <v>16</v>
      </c>
    </row>
    <row r="92" spans="1:15">
      <c r="A92" s="45" t="s">
        <v>616</v>
      </c>
      <c r="B92" s="45" t="s">
        <v>186</v>
      </c>
      <c r="C92" s="230">
        <f>VLOOKUP(B92, 'S08 ABC Output'!$A$3:$C$18, 3, 0)</f>
        <v>65248</v>
      </c>
      <c r="D92" s="230">
        <f>VLOOKUP(B92, 'S12 Operations'!$C$2:$H$534, 6, 0)</f>
        <v>200</v>
      </c>
      <c r="E92" s="230">
        <f t="shared" si="15"/>
        <v>327</v>
      </c>
      <c r="F92" s="230">
        <f>VLOOKUP(A92, 'S11 Work Stations'!$A$2:$C$45, 3, 0)</f>
        <v>1</v>
      </c>
      <c r="G92" s="230">
        <f>VLOOKUP(B92&amp;"-"&amp;A92, 'S12 Operations'!$A$2:$G$534, 7, 0)</f>
        <v>0</v>
      </c>
      <c r="H92" s="229">
        <f t="shared" si="16"/>
        <v>0</v>
      </c>
      <c r="I92" s="229">
        <f t="shared" si="17"/>
        <v>327</v>
      </c>
      <c r="J92" s="230">
        <f t="shared" si="18"/>
        <v>5</v>
      </c>
      <c r="L92">
        <f t="shared" si="19"/>
        <v>7</v>
      </c>
      <c r="M92">
        <f t="shared" si="13"/>
        <v>129</v>
      </c>
      <c r="N92">
        <f t="shared" si="14"/>
        <v>1252</v>
      </c>
      <c r="O92">
        <f t="shared" si="20"/>
        <v>16</v>
      </c>
    </row>
    <row r="93" spans="1:15">
      <c r="A93" s="45" t="s">
        <v>616</v>
      </c>
      <c r="B93" s="45" t="s">
        <v>188</v>
      </c>
      <c r="C93" s="230">
        <f>VLOOKUP(B93, 'S08 ABC Output'!$A$3:$C$18, 3, 0)</f>
        <v>54682</v>
      </c>
      <c r="D93" s="230">
        <f>VLOOKUP(B93, 'S12 Operations'!$C$2:$H$534, 6, 0)</f>
        <v>200</v>
      </c>
      <c r="E93" s="230">
        <f t="shared" si="15"/>
        <v>274</v>
      </c>
      <c r="F93" s="230">
        <f>VLOOKUP(A93, 'S11 Work Stations'!$A$2:$C$45, 3, 0)</f>
        <v>1</v>
      </c>
      <c r="G93" s="230">
        <f>VLOOKUP(B93&amp;"-"&amp;A93, 'S12 Operations'!$A$2:$G$534, 7, 0)</f>
        <v>0</v>
      </c>
      <c r="H93" s="229">
        <f t="shared" si="16"/>
        <v>0</v>
      </c>
      <c r="I93" s="229">
        <f t="shared" si="17"/>
        <v>274</v>
      </c>
      <c r="J93" s="230">
        <f t="shared" si="18"/>
        <v>5</v>
      </c>
      <c r="L93">
        <f t="shared" si="19"/>
        <v>8</v>
      </c>
      <c r="M93">
        <f t="shared" si="13"/>
        <v>129</v>
      </c>
      <c r="N93">
        <f t="shared" si="14"/>
        <v>1252</v>
      </c>
      <c r="O93">
        <f t="shared" si="20"/>
        <v>16</v>
      </c>
    </row>
    <row r="94" spans="1:15">
      <c r="A94" s="45" t="s">
        <v>616</v>
      </c>
      <c r="B94" s="45" t="s">
        <v>190</v>
      </c>
      <c r="C94" s="230">
        <f>VLOOKUP(B94, 'S08 ABC Output'!$A$3:$C$18, 3, 0)</f>
        <v>50689</v>
      </c>
      <c r="D94" s="230">
        <f>VLOOKUP(B94, 'S12 Operations'!$C$2:$H$534, 6, 0)</f>
        <v>200</v>
      </c>
      <c r="E94" s="230">
        <f t="shared" si="15"/>
        <v>254</v>
      </c>
      <c r="F94" s="230">
        <f>VLOOKUP(A94, 'S11 Work Stations'!$A$2:$C$45, 3, 0)</f>
        <v>1</v>
      </c>
      <c r="G94" s="230">
        <f>VLOOKUP(B94&amp;"-"&amp;A94, 'S12 Operations'!$A$2:$G$534, 7, 0)</f>
        <v>0</v>
      </c>
      <c r="H94" s="229">
        <f t="shared" si="16"/>
        <v>0</v>
      </c>
      <c r="I94" s="229">
        <f t="shared" si="17"/>
        <v>254</v>
      </c>
      <c r="J94" s="230">
        <f t="shared" si="18"/>
        <v>4</v>
      </c>
      <c r="L94">
        <f t="shared" si="19"/>
        <v>9</v>
      </c>
      <c r="M94">
        <f t="shared" si="13"/>
        <v>129</v>
      </c>
      <c r="N94">
        <f t="shared" si="14"/>
        <v>1252</v>
      </c>
      <c r="O94">
        <f t="shared" si="20"/>
        <v>16</v>
      </c>
    </row>
    <row r="95" spans="1:15">
      <c r="A95" s="45" t="s">
        <v>616</v>
      </c>
      <c r="B95" s="45" t="s">
        <v>192</v>
      </c>
      <c r="C95" s="230">
        <f>VLOOKUP(B95, 'S08 ABC Output'!$A$3:$C$18, 3, 0)</f>
        <v>45896</v>
      </c>
      <c r="D95" s="230">
        <f>VLOOKUP(B95, 'S12 Operations'!$C$2:$H$534, 6, 0)</f>
        <v>200</v>
      </c>
      <c r="E95" s="230">
        <f t="shared" si="15"/>
        <v>230</v>
      </c>
      <c r="F95" s="230">
        <f>VLOOKUP(A95, 'S11 Work Stations'!$A$2:$C$45, 3, 0)</f>
        <v>1</v>
      </c>
      <c r="G95" s="230">
        <f>VLOOKUP(B95&amp;"-"&amp;A95, 'S12 Operations'!$A$2:$G$534, 7, 0)</f>
        <v>0</v>
      </c>
      <c r="H95" s="229">
        <f t="shared" si="16"/>
        <v>0</v>
      </c>
      <c r="I95" s="229">
        <f t="shared" si="17"/>
        <v>230</v>
      </c>
      <c r="J95" s="230">
        <f t="shared" si="18"/>
        <v>4</v>
      </c>
      <c r="L95">
        <f t="shared" si="19"/>
        <v>10</v>
      </c>
      <c r="M95">
        <f t="shared" si="13"/>
        <v>129</v>
      </c>
      <c r="N95">
        <f t="shared" si="14"/>
        <v>1252</v>
      </c>
      <c r="O95">
        <f t="shared" si="20"/>
        <v>16</v>
      </c>
    </row>
    <row r="96" spans="1:15">
      <c r="A96" s="45" t="s">
        <v>616</v>
      </c>
      <c r="B96" s="45" t="s">
        <v>194</v>
      </c>
      <c r="C96" s="230">
        <f>VLOOKUP(B96, 'S08 ABC Output'!$A$3:$C$18, 3, 0)</f>
        <v>36524</v>
      </c>
      <c r="D96" s="230">
        <f>VLOOKUP(B96, 'S12 Operations'!$C$2:$H$534, 6, 0)</f>
        <v>200</v>
      </c>
      <c r="E96" s="230">
        <f t="shared" si="15"/>
        <v>183</v>
      </c>
      <c r="F96" s="230">
        <f>VLOOKUP(A96, 'S11 Work Stations'!$A$2:$C$45, 3, 0)</f>
        <v>1</v>
      </c>
      <c r="G96" s="230">
        <f>VLOOKUP(B96&amp;"-"&amp;A96, 'S12 Operations'!$A$2:$G$534, 7, 0)</f>
        <v>0</v>
      </c>
      <c r="H96" s="229">
        <f t="shared" si="16"/>
        <v>0</v>
      </c>
      <c r="I96" s="229">
        <f t="shared" si="17"/>
        <v>183</v>
      </c>
      <c r="J96" s="230">
        <f t="shared" si="18"/>
        <v>3</v>
      </c>
      <c r="L96">
        <f t="shared" si="19"/>
        <v>11</v>
      </c>
      <c r="M96">
        <f t="shared" si="13"/>
        <v>129</v>
      </c>
      <c r="N96">
        <f t="shared" si="14"/>
        <v>1252</v>
      </c>
      <c r="O96">
        <f t="shared" si="20"/>
        <v>16</v>
      </c>
    </row>
    <row r="97" spans="1:15">
      <c r="A97" s="45" t="s">
        <v>616</v>
      </c>
      <c r="B97" s="45" t="s">
        <v>196</v>
      </c>
      <c r="C97" s="230">
        <f>VLOOKUP(B97, 'S08 ABC Output'!$A$3:$C$18, 3, 0)</f>
        <v>36502</v>
      </c>
      <c r="D97" s="230">
        <f>VLOOKUP(B97, 'S12 Operations'!$C$2:$H$534, 6, 0)</f>
        <v>200</v>
      </c>
      <c r="E97" s="230">
        <f t="shared" si="15"/>
        <v>183</v>
      </c>
      <c r="F97" s="230">
        <f>VLOOKUP(A97, 'S11 Work Stations'!$A$2:$C$45, 3, 0)</f>
        <v>1</v>
      </c>
      <c r="G97" s="230">
        <f>VLOOKUP(B97&amp;"-"&amp;A97, 'S12 Operations'!$A$2:$G$534, 7, 0)</f>
        <v>0</v>
      </c>
      <c r="H97" s="229">
        <f t="shared" si="16"/>
        <v>0</v>
      </c>
      <c r="I97" s="229">
        <f t="shared" si="17"/>
        <v>183</v>
      </c>
      <c r="J97" s="230">
        <f t="shared" si="18"/>
        <v>3</v>
      </c>
      <c r="L97">
        <f t="shared" si="19"/>
        <v>11</v>
      </c>
      <c r="M97">
        <f t="shared" si="13"/>
        <v>129</v>
      </c>
      <c r="N97">
        <f t="shared" si="14"/>
        <v>1252</v>
      </c>
      <c r="O97">
        <f t="shared" si="20"/>
        <v>16</v>
      </c>
    </row>
    <row r="98" spans="1:15">
      <c r="A98" s="45" t="s">
        <v>616</v>
      </c>
      <c r="B98" s="45" t="s">
        <v>198</v>
      </c>
      <c r="C98" s="230">
        <f>VLOOKUP(B98, 'S08 ABC Output'!$A$3:$C$18, 3, 0)</f>
        <v>25689</v>
      </c>
      <c r="D98" s="230">
        <f>VLOOKUP(B98, 'S12 Operations'!$C$2:$H$534, 6, 0)</f>
        <v>200</v>
      </c>
      <c r="E98" s="230">
        <f t="shared" si="15"/>
        <v>129</v>
      </c>
      <c r="F98" s="230">
        <f>VLOOKUP(A98, 'S11 Work Stations'!$A$2:$C$45, 3, 0)</f>
        <v>1</v>
      </c>
      <c r="G98" s="230">
        <f>VLOOKUP(B98&amp;"-"&amp;A98, 'S12 Operations'!$A$2:$G$534, 7, 0)</f>
        <v>0</v>
      </c>
      <c r="H98" s="229">
        <f t="shared" si="16"/>
        <v>0</v>
      </c>
      <c r="I98" s="229">
        <f t="shared" si="17"/>
        <v>129</v>
      </c>
      <c r="J98" s="230">
        <f t="shared" si="18"/>
        <v>2</v>
      </c>
      <c r="L98">
        <f t="shared" si="19"/>
        <v>13</v>
      </c>
      <c r="M98">
        <f t="shared" ref="M98:M118" si="21">MIN(_xlfn.IFS($A98=$S$2,$S$3:$S$18,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129</v>
      </c>
      <c r="N98">
        <f t="shared" ref="N98:N118" si="22">MAX(_xlfn.IFS($A98=$S$2,$S$3:$S$18,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1252</v>
      </c>
      <c r="O98">
        <f t="shared" si="20"/>
        <v>16</v>
      </c>
    </row>
    <row r="99" spans="1:15">
      <c r="A99" s="45" t="s">
        <v>616</v>
      </c>
      <c r="B99" s="45" t="s">
        <v>200</v>
      </c>
      <c r="C99" s="230">
        <f>VLOOKUP(B99, 'S08 ABC Output'!$A$3:$C$18, 3, 0)</f>
        <v>25689</v>
      </c>
      <c r="D99" s="230">
        <f>VLOOKUP(B99, 'S12 Operations'!$C$2:$H$534, 6, 0)</f>
        <v>200</v>
      </c>
      <c r="E99" s="230">
        <f t="shared" si="15"/>
        <v>129</v>
      </c>
      <c r="F99" s="230">
        <f>VLOOKUP(A99, 'S11 Work Stations'!$A$2:$C$45, 3, 0)</f>
        <v>1</v>
      </c>
      <c r="G99" s="230">
        <f>VLOOKUP(B99&amp;"-"&amp;A99, 'S12 Operations'!$A$2:$G$534, 7, 0)</f>
        <v>0</v>
      </c>
      <c r="H99" s="229">
        <f t="shared" si="16"/>
        <v>0</v>
      </c>
      <c r="I99" s="229">
        <f t="shared" si="17"/>
        <v>129</v>
      </c>
      <c r="J99" s="230">
        <f t="shared" si="18"/>
        <v>2</v>
      </c>
      <c r="L99">
        <f t="shared" si="19"/>
        <v>13</v>
      </c>
      <c r="M99">
        <f t="shared" si="21"/>
        <v>129</v>
      </c>
      <c r="N99">
        <f t="shared" si="22"/>
        <v>1252</v>
      </c>
      <c r="O99">
        <f t="shared" si="20"/>
        <v>16</v>
      </c>
    </row>
    <row r="100" spans="1:15">
      <c r="A100" s="45" t="s">
        <v>616</v>
      </c>
      <c r="B100" s="45" t="s">
        <v>202</v>
      </c>
      <c r="C100" s="230">
        <f>VLOOKUP(B100, 'S08 ABC Output'!$A$3:$C$18, 3, 0)</f>
        <v>25649</v>
      </c>
      <c r="D100" s="230">
        <f>VLOOKUP(B100, 'S12 Operations'!$C$2:$H$534, 6, 0)</f>
        <v>200</v>
      </c>
      <c r="E100" s="230">
        <f t="shared" si="15"/>
        <v>129</v>
      </c>
      <c r="F100" s="230">
        <f>VLOOKUP(A100, 'S11 Work Stations'!$A$2:$C$45, 3, 0)</f>
        <v>1</v>
      </c>
      <c r="G100" s="230">
        <f>VLOOKUP(B100&amp;"-"&amp;A100, 'S12 Operations'!$A$2:$G$534, 7, 0)</f>
        <v>0</v>
      </c>
      <c r="H100" s="229">
        <f t="shared" si="16"/>
        <v>0</v>
      </c>
      <c r="I100" s="229">
        <f t="shared" si="17"/>
        <v>129</v>
      </c>
      <c r="J100" s="230">
        <f t="shared" si="18"/>
        <v>2</v>
      </c>
      <c r="L100">
        <f t="shared" si="19"/>
        <v>13</v>
      </c>
      <c r="M100">
        <f t="shared" si="21"/>
        <v>129</v>
      </c>
      <c r="N100">
        <f t="shared" si="22"/>
        <v>1252</v>
      </c>
      <c r="O100">
        <f t="shared" si="20"/>
        <v>16</v>
      </c>
    </row>
    <row r="101" spans="1:15">
      <c r="A101" s="45" t="s">
        <v>616</v>
      </c>
      <c r="B101" s="45" t="s">
        <v>203</v>
      </c>
      <c r="C101" s="230">
        <f>VLOOKUP(B101, 'S08 ABC Output'!$A$3:$C$18, 3, 0)</f>
        <v>25639</v>
      </c>
      <c r="D101" s="230">
        <f>VLOOKUP(B101, 'S12 Operations'!$C$2:$H$534, 6, 0)</f>
        <v>200</v>
      </c>
      <c r="E101" s="230">
        <f t="shared" si="15"/>
        <v>129</v>
      </c>
      <c r="F101" s="230">
        <f>VLOOKUP(A101, 'S11 Work Stations'!$A$2:$C$45, 3, 0)</f>
        <v>1</v>
      </c>
      <c r="G101" s="230">
        <f>VLOOKUP(B101&amp;"-"&amp;A101, 'S12 Operations'!$A$2:$G$534, 7, 0)</f>
        <v>0</v>
      </c>
      <c r="H101" s="229">
        <f t="shared" si="16"/>
        <v>0</v>
      </c>
      <c r="I101" s="229">
        <f t="shared" si="17"/>
        <v>129</v>
      </c>
      <c r="J101" s="230">
        <f t="shared" si="18"/>
        <v>2</v>
      </c>
      <c r="L101">
        <f t="shared" si="19"/>
        <v>13</v>
      </c>
      <c r="M101">
        <f t="shared" si="21"/>
        <v>129</v>
      </c>
      <c r="N101">
        <f t="shared" si="22"/>
        <v>1252</v>
      </c>
      <c r="O101">
        <f t="shared" si="20"/>
        <v>16</v>
      </c>
    </row>
    <row r="102" spans="1:15">
      <c r="A102" s="45" t="s">
        <v>616</v>
      </c>
      <c r="B102" s="45" t="s">
        <v>205</v>
      </c>
      <c r="C102" s="230">
        <f>VLOOKUP(B102, 'S08 ABC Output'!$A$3:$C$18, 3, 0)</f>
        <v>25468</v>
      </c>
      <c r="D102" s="230">
        <f>VLOOKUP(B102, 'S12 Operations'!$C$2:$H$534, 6, 0)</f>
        <v>50</v>
      </c>
      <c r="E102" s="230">
        <f t="shared" si="15"/>
        <v>510</v>
      </c>
      <c r="F102" s="230">
        <f>VLOOKUP(A102, 'S11 Work Stations'!$A$2:$C$45, 3, 0)</f>
        <v>1</v>
      </c>
      <c r="G102" s="230">
        <f>VLOOKUP(B102&amp;"-"&amp;A102, 'S12 Operations'!$A$2:$G$534, 7, 0)</f>
        <v>0</v>
      </c>
      <c r="H102" s="229">
        <f t="shared" si="16"/>
        <v>0</v>
      </c>
      <c r="I102" s="229">
        <f t="shared" si="17"/>
        <v>510</v>
      </c>
      <c r="J102" s="230">
        <f t="shared" si="18"/>
        <v>9</v>
      </c>
      <c r="L102">
        <f t="shared" si="19"/>
        <v>4</v>
      </c>
      <c r="M102">
        <f t="shared" si="21"/>
        <v>129</v>
      </c>
      <c r="N102">
        <f t="shared" si="22"/>
        <v>1252</v>
      </c>
      <c r="O102">
        <f t="shared" si="20"/>
        <v>16</v>
      </c>
    </row>
    <row r="103" spans="1:15">
      <c r="A103" s="45" t="s">
        <v>617</v>
      </c>
      <c r="B103" s="45" t="s">
        <v>176</v>
      </c>
      <c r="C103" s="230">
        <f>VLOOKUP(B103, 'S08 ABC Output'!$A$3:$C$18, 3, 0)</f>
        <v>250356</v>
      </c>
      <c r="D103" s="230">
        <f>VLOOKUP(B103, 'S12 Operations'!$C$2:$H$534, 6, 0)</f>
        <v>200</v>
      </c>
      <c r="E103" s="230">
        <f t="shared" si="15"/>
        <v>1252</v>
      </c>
      <c r="F103" s="230">
        <f>VLOOKUP(A103, 'S11 Work Stations'!$A$2:$C$45, 3, 0)</f>
        <v>1</v>
      </c>
      <c r="G103" s="230">
        <f>VLOOKUP(B103&amp;"-"&amp;A103, 'S12 Operations'!$A$2:$G$534, 7, 0)</f>
        <v>0</v>
      </c>
      <c r="H103" s="229">
        <f t="shared" si="16"/>
        <v>0</v>
      </c>
      <c r="I103" s="229">
        <f t="shared" si="17"/>
        <v>1078</v>
      </c>
      <c r="J103" s="230">
        <f t="shared" si="18"/>
        <v>18</v>
      </c>
      <c r="L103">
        <f t="shared" si="19"/>
        <v>1</v>
      </c>
      <c r="M103">
        <f t="shared" si="21"/>
        <v>129</v>
      </c>
      <c r="N103">
        <f t="shared" si="22"/>
        <v>1252</v>
      </c>
      <c r="O103">
        <f t="shared" si="20"/>
        <v>16</v>
      </c>
    </row>
    <row r="104" spans="1:15">
      <c r="A104" s="45" t="s">
        <v>617</v>
      </c>
      <c r="B104" s="45" t="s">
        <v>178</v>
      </c>
      <c r="C104" s="230">
        <f>VLOOKUP(B104, 'S08 ABC Output'!$A$3:$C$18, 3, 0)</f>
        <v>215425</v>
      </c>
      <c r="D104" s="230">
        <f>VLOOKUP(B104, 'S12 Operations'!$C$2:$H$534, 6, 0)</f>
        <v>200</v>
      </c>
      <c r="E104" s="230">
        <f t="shared" si="15"/>
        <v>1078</v>
      </c>
      <c r="F104" s="230">
        <f>VLOOKUP(A104, 'S11 Work Stations'!$A$2:$C$45, 3, 0)</f>
        <v>1</v>
      </c>
      <c r="G104" s="230">
        <f>VLOOKUP(B104&amp;"-"&amp;A104, 'S12 Operations'!$A$2:$G$534, 7, 0)</f>
        <v>0</v>
      </c>
      <c r="H104" s="229">
        <f t="shared" si="16"/>
        <v>0</v>
      </c>
      <c r="I104" s="229">
        <f t="shared" si="17"/>
        <v>1078</v>
      </c>
      <c r="J104" s="230">
        <f t="shared" si="18"/>
        <v>18</v>
      </c>
      <c r="L104">
        <f t="shared" si="19"/>
        <v>2</v>
      </c>
      <c r="M104">
        <f t="shared" si="21"/>
        <v>129</v>
      </c>
      <c r="N104">
        <f t="shared" si="22"/>
        <v>1252</v>
      </c>
      <c r="O104">
        <f t="shared" si="20"/>
        <v>16</v>
      </c>
    </row>
    <row r="105" spans="1:15">
      <c r="A105" s="45" t="s">
        <v>617</v>
      </c>
      <c r="B105" s="45" t="s">
        <v>180</v>
      </c>
      <c r="C105" s="230">
        <f>VLOOKUP(B105, 'S08 ABC Output'!$A$3:$C$18, 3, 0)</f>
        <v>125036</v>
      </c>
      <c r="D105" s="230">
        <f>VLOOKUP(B105, 'S12 Operations'!$C$2:$H$534, 6, 0)</f>
        <v>200</v>
      </c>
      <c r="E105" s="230">
        <f t="shared" si="15"/>
        <v>626</v>
      </c>
      <c r="F105" s="230">
        <f>VLOOKUP(A105, 'S11 Work Stations'!$A$2:$C$45, 3, 0)</f>
        <v>1</v>
      </c>
      <c r="G105" s="230">
        <f>VLOOKUP(B105&amp;"-"&amp;A105, 'S12 Operations'!$A$2:$G$534, 7, 0)</f>
        <v>0</v>
      </c>
      <c r="H105" s="229">
        <f t="shared" si="16"/>
        <v>0</v>
      </c>
      <c r="I105" s="229">
        <f t="shared" si="17"/>
        <v>626</v>
      </c>
      <c r="J105" s="230">
        <f t="shared" si="18"/>
        <v>10</v>
      </c>
      <c r="L105">
        <f t="shared" si="19"/>
        <v>3</v>
      </c>
      <c r="M105">
        <f t="shared" si="21"/>
        <v>129</v>
      </c>
      <c r="N105">
        <f t="shared" si="22"/>
        <v>1252</v>
      </c>
      <c r="O105">
        <f t="shared" si="20"/>
        <v>16</v>
      </c>
    </row>
    <row r="106" spans="1:15">
      <c r="A106" s="45" t="s">
        <v>617</v>
      </c>
      <c r="B106" s="45" t="s">
        <v>182</v>
      </c>
      <c r="C106" s="230">
        <f>VLOOKUP(B106, 'S08 ABC Output'!$A$3:$C$18, 3, 0)</f>
        <v>86542</v>
      </c>
      <c r="D106" s="230">
        <f>VLOOKUP(B106, 'S12 Operations'!$C$2:$H$534, 6, 0)</f>
        <v>200</v>
      </c>
      <c r="E106" s="230">
        <f t="shared" si="15"/>
        <v>433</v>
      </c>
      <c r="F106" s="230">
        <f>VLOOKUP(A106, 'S11 Work Stations'!$A$2:$C$45, 3, 0)</f>
        <v>1</v>
      </c>
      <c r="G106" s="230">
        <f>VLOOKUP(B106&amp;"-"&amp;A106, 'S12 Operations'!$A$2:$G$534, 7, 0)</f>
        <v>0</v>
      </c>
      <c r="H106" s="229">
        <f t="shared" si="16"/>
        <v>0</v>
      </c>
      <c r="I106" s="229">
        <f t="shared" si="17"/>
        <v>433</v>
      </c>
      <c r="J106" s="230">
        <f t="shared" si="18"/>
        <v>7</v>
      </c>
      <c r="L106">
        <f t="shared" si="19"/>
        <v>5</v>
      </c>
      <c r="M106">
        <f t="shared" si="21"/>
        <v>129</v>
      </c>
      <c r="N106">
        <f t="shared" si="22"/>
        <v>1252</v>
      </c>
      <c r="O106">
        <f t="shared" si="20"/>
        <v>16</v>
      </c>
    </row>
    <row r="107" spans="1:15">
      <c r="A107" s="45" t="s">
        <v>617</v>
      </c>
      <c r="B107" s="45" t="s">
        <v>184</v>
      </c>
      <c r="C107" s="230">
        <f>VLOOKUP(B107, 'S08 ABC Output'!$A$3:$C$18, 3, 0)</f>
        <v>85612</v>
      </c>
      <c r="D107" s="230">
        <f>VLOOKUP(B107, 'S12 Operations'!$C$2:$H$534, 6, 0)</f>
        <v>200</v>
      </c>
      <c r="E107" s="230">
        <f t="shared" si="15"/>
        <v>429</v>
      </c>
      <c r="F107" s="230">
        <f>VLOOKUP(A107, 'S11 Work Stations'!$A$2:$C$45, 3, 0)</f>
        <v>1</v>
      </c>
      <c r="G107" s="230">
        <f>VLOOKUP(B107&amp;"-"&amp;A107, 'S12 Operations'!$A$2:$G$534, 7, 0)</f>
        <v>0</v>
      </c>
      <c r="H107" s="229">
        <f t="shared" si="16"/>
        <v>0</v>
      </c>
      <c r="I107" s="229">
        <f t="shared" si="17"/>
        <v>429</v>
      </c>
      <c r="J107" s="230">
        <f t="shared" si="18"/>
        <v>7</v>
      </c>
      <c r="L107">
        <f t="shared" si="19"/>
        <v>6</v>
      </c>
      <c r="M107">
        <f t="shared" si="21"/>
        <v>129</v>
      </c>
      <c r="N107">
        <f t="shared" si="22"/>
        <v>1252</v>
      </c>
      <c r="O107">
        <f t="shared" si="20"/>
        <v>16</v>
      </c>
    </row>
    <row r="108" spans="1:15">
      <c r="A108" s="45" t="s">
        <v>617</v>
      </c>
      <c r="B108" s="45" t="s">
        <v>186</v>
      </c>
      <c r="C108" s="230">
        <f>VLOOKUP(B108, 'S08 ABC Output'!$A$3:$C$18, 3, 0)</f>
        <v>65248</v>
      </c>
      <c r="D108" s="230">
        <f>VLOOKUP(B108, 'S12 Operations'!$C$2:$H$534, 6, 0)</f>
        <v>200</v>
      </c>
      <c r="E108" s="230">
        <f t="shared" si="15"/>
        <v>327</v>
      </c>
      <c r="F108" s="230">
        <f>VLOOKUP(A108, 'S11 Work Stations'!$A$2:$C$45, 3, 0)</f>
        <v>1</v>
      </c>
      <c r="G108" s="230">
        <f>VLOOKUP(B108&amp;"-"&amp;A108, 'S12 Operations'!$A$2:$G$534, 7, 0)</f>
        <v>0</v>
      </c>
      <c r="H108" s="229">
        <f t="shared" si="16"/>
        <v>0</v>
      </c>
      <c r="I108" s="229">
        <f t="shared" si="17"/>
        <v>327</v>
      </c>
      <c r="J108" s="230">
        <f t="shared" si="18"/>
        <v>5</v>
      </c>
      <c r="L108">
        <f t="shared" si="19"/>
        <v>7</v>
      </c>
      <c r="M108">
        <f t="shared" si="21"/>
        <v>129</v>
      </c>
      <c r="N108">
        <f t="shared" si="22"/>
        <v>1252</v>
      </c>
      <c r="O108">
        <f t="shared" si="20"/>
        <v>16</v>
      </c>
    </row>
    <row r="109" spans="1:15">
      <c r="A109" s="45" t="s">
        <v>617</v>
      </c>
      <c r="B109" s="45" t="s">
        <v>188</v>
      </c>
      <c r="C109" s="230">
        <f>VLOOKUP(B109, 'S08 ABC Output'!$A$3:$C$18, 3, 0)</f>
        <v>54682</v>
      </c>
      <c r="D109" s="230">
        <f>VLOOKUP(B109, 'S12 Operations'!$C$2:$H$534, 6, 0)</f>
        <v>200</v>
      </c>
      <c r="E109" s="230">
        <f t="shared" si="15"/>
        <v>274</v>
      </c>
      <c r="F109" s="230">
        <f>VLOOKUP(A109, 'S11 Work Stations'!$A$2:$C$45, 3, 0)</f>
        <v>1</v>
      </c>
      <c r="G109" s="230">
        <f>VLOOKUP(B109&amp;"-"&amp;A109, 'S12 Operations'!$A$2:$G$534, 7, 0)</f>
        <v>0</v>
      </c>
      <c r="H109" s="229">
        <f t="shared" si="16"/>
        <v>0</v>
      </c>
      <c r="I109" s="229">
        <f t="shared" si="17"/>
        <v>274</v>
      </c>
      <c r="J109" s="230">
        <f t="shared" si="18"/>
        <v>5</v>
      </c>
      <c r="L109">
        <f t="shared" si="19"/>
        <v>8</v>
      </c>
      <c r="M109">
        <f t="shared" si="21"/>
        <v>129</v>
      </c>
      <c r="N109">
        <f t="shared" si="22"/>
        <v>1252</v>
      </c>
      <c r="O109">
        <f t="shared" si="20"/>
        <v>16</v>
      </c>
    </row>
    <row r="110" spans="1:15">
      <c r="A110" s="45" t="s">
        <v>617</v>
      </c>
      <c r="B110" s="45" t="s">
        <v>190</v>
      </c>
      <c r="C110" s="230">
        <f>VLOOKUP(B110, 'S08 ABC Output'!$A$3:$C$18, 3, 0)</f>
        <v>50689</v>
      </c>
      <c r="D110" s="230">
        <f>VLOOKUP(B110, 'S12 Operations'!$C$2:$H$534, 6, 0)</f>
        <v>200</v>
      </c>
      <c r="E110" s="230">
        <f t="shared" si="15"/>
        <v>254</v>
      </c>
      <c r="F110" s="230">
        <f>VLOOKUP(A110, 'S11 Work Stations'!$A$2:$C$45, 3, 0)</f>
        <v>1</v>
      </c>
      <c r="G110" s="230">
        <f>VLOOKUP(B110&amp;"-"&amp;A110, 'S12 Operations'!$A$2:$G$534, 7, 0)</f>
        <v>0</v>
      </c>
      <c r="H110" s="229">
        <f t="shared" si="16"/>
        <v>0</v>
      </c>
      <c r="I110" s="229">
        <f t="shared" si="17"/>
        <v>254</v>
      </c>
      <c r="J110" s="230">
        <f t="shared" si="18"/>
        <v>4</v>
      </c>
      <c r="L110">
        <f t="shared" si="19"/>
        <v>9</v>
      </c>
      <c r="M110">
        <f t="shared" si="21"/>
        <v>129</v>
      </c>
      <c r="N110">
        <f t="shared" si="22"/>
        <v>1252</v>
      </c>
      <c r="O110">
        <f t="shared" si="20"/>
        <v>16</v>
      </c>
    </row>
    <row r="111" spans="1:15">
      <c r="A111" s="45" t="s">
        <v>617</v>
      </c>
      <c r="B111" s="45" t="s">
        <v>192</v>
      </c>
      <c r="C111" s="230">
        <f>VLOOKUP(B111, 'S08 ABC Output'!$A$3:$C$18, 3, 0)</f>
        <v>45896</v>
      </c>
      <c r="D111" s="230">
        <f>VLOOKUP(B111, 'S12 Operations'!$C$2:$H$534, 6, 0)</f>
        <v>200</v>
      </c>
      <c r="E111" s="230">
        <f t="shared" si="15"/>
        <v>230</v>
      </c>
      <c r="F111" s="230">
        <f>VLOOKUP(A111, 'S11 Work Stations'!$A$2:$C$45, 3, 0)</f>
        <v>1</v>
      </c>
      <c r="G111" s="230">
        <f>VLOOKUP(B111&amp;"-"&amp;A111, 'S12 Operations'!$A$2:$G$534, 7, 0)</f>
        <v>0</v>
      </c>
      <c r="H111" s="229">
        <f t="shared" si="16"/>
        <v>0</v>
      </c>
      <c r="I111" s="229">
        <f t="shared" si="17"/>
        <v>230</v>
      </c>
      <c r="J111" s="230">
        <f t="shared" si="18"/>
        <v>4</v>
      </c>
      <c r="L111">
        <f t="shared" si="19"/>
        <v>10</v>
      </c>
      <c r="M111">
        <f t="shared" si="21"/>
        <v>129</v>
      </c>
      <c r="N111">
        <f t="shared" si="22"/>
        <v>1252</v>
      </c>
      <c r="O111">
        <f t="shared" si="20"/>
        <v>16</v>
      </c>
    </row>
    <row r="112" spans="1:15">
      <c r="A112" s="45" t="s">
        <v>617</v>
      </c>
      <c r="B112" s="45" t="s">
        <v>194</v>
      </c>
      <c r="C112" s="230">
        <f>VLOOKUP(B112, 'S08 ABC Output'!$A$3:$C$18, 3, 0)</f>
        <v>36524</v>
      </c>
      <c r="D112" s="230">
        <f>VLOOKUP(B112, 'S12 Operations'!$C$2:$H$534, 6, 0)</f>
        <v>200</v>
      </c>
      <c r="E112" s="230">
        <f t="shared" si="15"/>
        <v>183</v>
      </c>
      <c r="F112" s="230">
        <f>VLOOKUP(A112, 'S11 Work Stations'!$A$2:$C$45, 3, 0)</f>
        <v>1</v>
      </c>
      <c r="G112" s="230">
        <f>VLOOKUP(B112&amp;"-"&amp;A112, 'S12 Operations'!$A$2:$G$534, 7, 0)</f>
        <v>0</v>
      </c>
      <c r="H112" s="229">
        <f t="shared" si="16"/>
        <v>0</v>
      </c>
      <c r="I112" s="229">
        <f t="shared" si="17"/>
        <v>183</v>
      </c>
      <c r="J112" s="230">
        <f t="shared" si="18"/>
        <v>3</v>
      </c>
      <c r="L112">
        <f t="shared" si="19"/>
        <v>11</v>
      </c>
      <c r="M112">
        <f t="shared" si="21"/>
        <v>129</v>
      </c>
      <c r="N112">
        <f t="shared" si="22"/>
        <v>1252</v>
      </c>
      <c r="O112">
        <f t="shared" si="20"/>
        <v>16</v>
      </c>
    </row>
    <row r="113" spans="1:15">
      <c r="A113" s="45" t="s">
        <v>617</v>
      </c>
      <c r="B113" s="45" t="s">
        <v>196</v>
      </c>
      <c r="C113" s="230">
        <f>VLOOKUP(B113, 'S08 ABC Output'!$A$3:$C$18, 3, 0)</f>
        <v>36502</v>
      </c>
      <c r="D113" s="230">
        <f>VLOOKUP(B113, 'S12 Operations'!$C$2:$H$534, 6, 0)</f>
        <v>200</v>
      </c>
      <c r="E113" s="230">
        <f t="shared" si="15"/>
        <v>183</v>
      </c>
      <c r="F113" s="230">
        <f>VLOOKUP(A113, 'S11 Work Stations'!$A$2:$C$45, 3, 0)</f>
        <v>1</v>
      </c>
      <c r="G113" s="230">
        <f>VLOOKUP(B113&amp;"-"&amp;A113, 'S12 Operations'!$A$2:$G$534, 7, 0)</f>
        <v>0</v>
      </c>
      <c r="H113" s="229">
        <f t="shared" si="16"/>
        <v>0</v>
      </c>
      <c r="I113" s="229">
        <f t="shared" si="17"/>
        <v>183</v>
      </c>
      <c r="J113" s="230">
        <f t="shared" si="18"/>
        <v>3</v>
      </c>
      <c r="L113">
        <f t="shared" si="19"/>
        <v>11</v>
      </c>
      <c r="M113">
        <f t="shared" si="21"/>
        <v>129</v>
      </c>
      <c r="N113">
        <f t="shared" si="22"/>
        <v>1252</v>
      </c>
      <c r="O113">
        <f t="shared" si="20"/>
        <v>16</v>
      </c>
    </row>
    <row r="114" spans="1:15">
      <c r="A114" s="45" t="s">
        <v>617</v>
      </c>
      <c r="B114" s="45" t="s">
        <v>198</v>
      </c>
      <c r="C114" s="230">
        <f>VLOOKUP(B114, 'S08 ABC Output'!$A$3:$C$18, 3, 0)</f>
        <v>25689</v>
      </c>
      <c r="D114" s="230">
        <f>VLOOKUP(B114, 'S12 Operations'!$C$2:$H$534, 6, 0)</f>
        <v>200</v>
      </c>
      <c r="E114" s="230">
        <f t="shared" si="15"/>
        <v>129</v>
      </c>
      <c r="F114" s="230">
        <f>VLOOKUP(A114, 'S11 Work Stations'!$A$2:$C$45, 3, 0)</f>
        <v>1</v>
      </c>
      <c r="G114" s="230">
        <f>VLOOKUP(B114&amp;"-"&amp;A114, 'S12 Operations'!$A$2:$G$534, 7, 0)</f>
        <v>0</v>
      </c>
      <c r="H114" s="229">
        <f t="shared" si="16"/>
        <v>0</v>
      </c>
      <c r="I114" s="229">
        <f t="shared" si="17"/>
        <v>129</v>
      </c>
      <c r="J114" s="230">
        <f t="shared" si="18"/>
        <v>2</v>
      </c>
      <c r="L114">
        <f t="shared" si="19"/>
        <v>13</v>
      </c>
      <c r="M114">
        <f t="shared" si="21"/>
        <v>129</v>
      </c>
      <c r="N114">
        <f t="shared" si="22"/>
        <v>1252</v>
      </c>
      <c r="O114">
        <f t="shared" si="20"/>
        <v>16</v>
      </c>
    </row>
    <row r="115" spans="1:15">
      <c r="A115" s="45" t="s">
        <v>617</v>
      </c>
      <c r="B115" s="45" t="s">
        <v>200</v>
      </c>
      <c r="C115" s="230">
        <f>VLOOKUP(B115, 'S08 ABC Output'!$A$3:$C$18, 3, 0)</f>
        <v>25689</v>
      </c>
      <c r="D115" s="230">
        <f>VLOOKUP(B115, 'S12 Operations'!$C$2:$H$534, 6, 0)</f>
        <v>200</v>
      </c>
      <c r="E115" s="230">
        <f t="shared" si="15"/>
        <v>129</v>
      </c>
      <c r="F115" s="230">
        <f>VLOOKUP(A115, 'S11 Work Stations'!$A$2:$C$45, 3, 0)</f>
        <v>1</v>
      </c>
      <c r="G115" s="230">
        <f>VLOOKUP(B115&amp;"-"&amp;A115, 'S12 Operations'!$A$2:$G$534, 7, 0)</f>
        <v>0</v>
      </c>
      <c r="H115" s="229">
        <f t="shared" si="16"/>
        <v>0</v>
      </c>
      <c r="I115" s="229">
        <f t="shared" si="17"/>
        <v>129</v>
      </c>
      <c r="J115" s="230">
        <f t="shared" si="18"/>
        <v>2</v>
      </c>
      <c r="L115">
        <f t="shared" si="19"/>
        <v>13</v>
      </c>
      <c r="M115">
        <f t="shared" si="21"/>
        <v>129</v>
      </c>
      <c r="N115">
        <f t="shared" si="22"/>
        <v>1252</v>
      </c>
      <c r="O115">
        <f t="shared" si="20"/>
        <v>16</v>
      </c>
    </row>
    <row r="116" spans="1:15">
      <c r="A116" s="45" t="s">
        <v>617</v>
      </c>
      <c r="B116" s="45" t="s">
        <v>202</v>
      </c>
      <c r="C116" s="230">
        <f>VLOOKUP(B116, 'S08 ABC Output'!$A$3:$C$18, 3, 0)</f>
        <v>25649</v>
      </c>
      <c r="D116" s="230">
        <f>VLOOKUP(B116, 'S12 Operations'!$C$2:$H$534, 6, 0)</f>
        <v>200</v>
      </c>
      <c r="E116" s="230">
        <f t="shared" si="15"/>
        <v>129</v>
      </c>
      <c r="F116" s="230">
        <f>VLOOKUP(A116, 'S11 Work Stations'!$A$2:$C$45, 3, 0)</f>
        <v>1</v>
      </c>
      <c r="G116" s="230">
        <f>VLOOKUP(B116&amp;"-"&amp;A116, 'S12 Operations'!$A$2:$G$534, 7, 0)</f>
        <v>0</v>
      </c>
      <c r="H116" s="229">
        <f t="shared" si="16"/>
        <v>0</v>
      </c>
      <c r="I116" s="229">
        <f t="shared" si="17"/>
        <v>129</v>
      </c>
      <c r="J116" s="230">
        <f t="shared" si="18"/>
        <v>2</v>
      </c>
      <c r="L116">
        <f t="shared" si="19"/>
        <v>13</v>
      </c>
      <c r="M116">
        <f t="shared" si="21"/>
        <v>129</v>
      </c>
      <c r="N116">
        <f t="shared" si="22"/>
        <v>1252</v>
      </c>
      <c r="O116">
        <f t="shared" si="20"/>
        <v>16</v>
      </c>
    </row>
    <row r="117" spans="1:15">
      <c r="A117" s="45" t="s">
        <v>617</v>
      </c>
      <c r="B117" s="45" t="s">
        <v>203</v>
      </c>
      <c r="C117" s="230">
        <f>VLOOKUP(B117, 'S08 ABC Output'!$A$3:$C$18, 3, 0)</f>
        <v>25639</v>
      </c>
      <c r="D117" s="230">
        <f>VLOOKUP(B117, 'S12 Operations'!$C$2:$H$534, 6, 0)</f>
        <v>200</v>
      </c>
      <c r="E117" s="230">
        <f t="shared" si="15"/>
        <v>129</v>
      </c>
      <c r="F117" s="230">
        <f>VLOOKUP(A117, 'S11 Work Stations'!$A$2:$C$45, 3, 0)</f>
        <v>1</v>
      </c>
      <c r="G117" s="230">
        <f>VLOOKUP(B117&amp;"-"&amp;A117, 'S12 Operations'!$A$2:$G$534, 7, 0)</f>
        <v>0</v>
      </c>
      <c r="H117" s="229">
        <f t="shared" si="16"/>
        <v>0</v>
      </c>
      <c r="I117" s="229">
        <f t="shared" si="17"/>
        <v>129</v>
      </c>
      <c r="J117" s="230">
        <f t="shared" si="18"/>
        <v>2</v>
      </c>
      <c r="L117">
        <f t="shared" si="19"/>
        <v>13</v>
      </c>
      <c r="M117">
        <f t="shared" si="21"/>
        <v>129</v>
      </c>
      <c r="N117">
        <f t="shared" si="22"/>
        <v>1252</v>
      </c>
      <c r="O117">
        <f t="shared" si="20"/>
        <v>16</v>
      </c>
    </row>
    <row r="118" spans="1:15">
      <c r="A118" s="45" t="s">
        <v>617</v>
      </c>
      <c r="B118" s="45" t="s">
        <v>205</v>
      </c>
      <c r="C118" s="230">
        <f>VLOOKUP(B118, 'S08 ABC Output'!$A$3:$C$18, 3, 0)</f>
        <v>25468</v>
      </c>
      <c r="D118" s="230">
        <f>VLOOKUP(B118, 'S12 Operations'!$C$2:$H$534, 6, 0)</f>
        <v>50</v>
      </c>
      <c r="E118" s="230">
        <f t="shared" si="15"/>
        <v>510</v>
      </c>
      <c r="F118" s="230">
        <f>VLOOKUP(A118, 'S11 Work Stations'!$A$2:$C$45, 3, 0)</f>
        <v>1</v>
      </c>
      <c r="G118" s="230">
        <f>VLOOKUP(B118&amp;"-"&amp;A118, 'S12 Operations'!$A$2:$G$534, 7, 0)</f>
        <v>0</v>
      </c>
      <c r="H118" s="229">
        <f t="shared" si="16"/>
        <v>0</v>
      </c>
      <c r="I118" s="229">
        <f t="shared" si="17"/>
        <v>510</v>
      </c>
      <c r="J118" s="230">
        <f t="shared" si="18"/>
        <v>9</v>
      </c>
      <c r="L118">
        <f t="shared" si="19"/>
        <v>4</v>
      </c>
      <c r="M118">
        <f t="shared" si="21"/>
        <v>129</v>
      </c>
      <c r="N118">
        <f t="shared" si="22"/>
        <v>1252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>
      <c r="A119" s="226"/>
      <c r="B119" s="226"/>
      <c r="H119" s="227"/>
      <c r="I119" s="227"/>
    </row>
    <row r="120" spans="1:15">
      <c r="A120" s="226"/>
      <c r="B120" s="226"/>
      <c r="H120" s="227"/>
      <c r="I120" s="227"/>
    </row>
    <row r="121" spans="1:15">
      <c r="A121" s="226"/>
      <c r="B121" s="226"/>
      <c r="H121" s="227"/>
      <c r="I121" s="227"/>
    </row>
    <row r="122" spans="1:15">
      <c r="A122" s="226"/>
      <c r="B122" s="226"/>
      <c r="H122" s="227"/>
      <c r="I122" s="227"/>
    </row>
    <row r="123" spans="1:15">
      <c r="A123" s="226"/>
      <c r="B123" s="226"/>
      <c r="H123" s="227"/>
      <c r="I123" s="227"/>
    </row>
    <row r="124" spans="1:15">
      <c r="A124" s="226"/>
      <c r="B124" s="226"/>
      <c r="H124" s="227"/>
      <c r="I124" s="227"/>
    </row>
    <row r="125" spans="1:15">
      <c r="A125" s="226"/>
      <c r="B125" s="226"/>
      <c r="H125" s="227"/>
      <c r="I125" s="227"/>
    </row>
    <row r="126" spans="1:15">
      <c r="A126" s="226"/>
      <c r="B126" s="226"/>
      <c r="H126" s="227"/>
      <c r="I126" s="227"/>
    </row>
    <row r="127" spans="1:15">
      <c r="A127" s="226"/>
      <c r="B127" s="226"/>
      <c r="H127" s="227"/>
      <c r="I127" s="227"/>
    </row>
    <row r="128" spans="1:15">
      <c r="A128" s="226"/>
      <c r="B128" s="226"/>
      <c r="H128" s="227"/>
      <c r="I128" s="227"/>
    </row>
    <row r="129" spans="1:9">
      <c r="A129" s="226"/>
      <c r="B129" s="226"/>
      <c r="H129" s="227"/>
      <c r="I129" s="227"/>
    </row>
    <row r="130" spans="1:9">
      <c r="A130" s="226"/>
      <c r="B130" s="226"/>
      <c r="H130" s="227"/>
      <c r="I130" s="227"/>
    </row>
    <row r="131" spans="1:9">
      <c r="A131" s="226"/>
      <c r="B131" s="226"/>
      <c r="H131" s="227"/>
      <c r="I131" s="227"/>
    </row>
    <row r="132" spans="1:9">
      <c r="A132" s="226"/>
      <c r="B132" s="226"/>
      <c r="H132" s="227"/>
      <c r="I132" s="227"/>
    </row>
    <row r="133" spans="1:9">
      <c r="A133" s="226"/>
      <c r="B133" s="226"/>
      <c r="H133" s="227"/>
      <c r="I133" s="227"/>
    </row>
    <row r="134" spans="1:9">
      <c r="A134" s="226"/>
      <c r="B134" s="226"/>
      <c r="H134" s="227"/>
      <c r="I134" s="227"/>
    </row>
    <row r="135" spans="1:9">
      <c r="A135" s="226"/>
      <c r="B135" s="226"/>
      <c r="H135" s="227"/>
      <c r="I135" s="227"/>
    </row>
    <row r="136" spans="1:9">
      <c r="A136" s="226"/>
      <c r="B136" s="226"/>
      <c r="H136" s="227"/>
      <c r="I136" s="227"/>
    </row>
    <row r="137" spans="1:9">
      <c r="A137" s="226"/>
      <c r="B137" s="226"/>
      <c r="H137" s="227"/>
      <c r="I137" s="227"/>
    </row>
    <row r="138" spans="1:9">
      <c r="A138" s="226"/>
      <c r="B138" s="226"/>
      <c r="H138" s="227"/>
      <c r="I138" s="227"/>
    </row>
    <row r="139" spans="1:9">
      <c r="A139" s="226"/>
      <c r="B139" s="226"/>
      <c r="H139" s="227"/>
      <c r="I139" s="227"/>
    </row>
    <row r="140" spans="1:9">
      <c r="A140" s="226"/>
      <c r="B140" s="226"/>
      <c r="H140" s="227"/>
      <c r="I140" s="227"/>
    </row>
    <row r="141" spans="1:9">
      <c r="A141" s="226"/>
      <c r="B141" s="226"/>
      <c r="H141" s="227"/>
      <c r="I141" s="227"/>
    </row>
    <row r="142" spans="1:9">
      <c r="A142" s="226"/>
      <c r="B142" s="226"/>
      <c r="H142" s="227"/>
      <c r="I142" s="227"/>
    </row>
    <row r="143" spans="1:9">
      <c r="A143" s="226"/>
      <c r="B143" s="226"/>
      <c r="H143" s="227"/>
      <c r="I143" s="227"/>
    </row>
    <row r="144" spans="1:9">
      <c r="A144" s="226"/>
      <c r="B144" s="226"/>
      <c r="H144" s="227"/>
      <c r="I144" s="227"/>
    </row>
    <row r="145" spans="1:9">
      <c r="A145" s="226"/>
      <c r="B145" s="226"/>
      <c r="H145" s="227"/>
      <c r="I145" s="227"/>
    </row>
    <row r="146" spans="1:9">
      <c r="A146" s="226"/>
      <c r="B146" s="226"/>
      <c r="H146" s="227"/>
      <c r="I146" s="227"/>
    </row>
    <row r="147" spans="1:9">
      <c r="A147" s="226"/>
      <c r="B147" s="226"/>
      <c r="H147" s="227"/>
      <c r="I147" s="227"/>
    </row>
    <row r="148" spans="1:9">
      <c r="A148" s="226"/>
      <c r="B148" s="226"/>
      <c r="H148" s="227"/>
      <c r="I148" s="227"/>
    </row>
    <row r="149" spans="1:9">
      <c r="A149" s="226"/>
      <c r="B149" s="226"/>
      <c r="H149" s="227"/>
      <c r="I149" s="227"/>
    </row>
    <row r="150" spans="1:9">
      <c r="A150" s="226"/>
      <c r="B150" s="226"/>
    </row>
    <row r="151" spans="1:9">
      <c r="A151" s="226"/>
      <c r="B151" s="226"/>
    </row>
    <row r="152" spans="1:9">
      <c r="A152" s="226"/>
      <c r="B152" s="226"/>
    </row>
    <row r="153" spans="1:9">
      <c r="A153" s="226"/>
      <c r="B153" s="226"/>
    </row>
    <row r="154" spans="1:9">
      <c r="A154" s="226"/>
      <c r="B154" s="226"/>
    </row>
    <row r="155" spans="1:9">
      <c r="A155" s="226"/>
      <c r="B155" s="226"/>
    </row>
    <row r="156" spans="1:9">
      <c r="A156" s="226"/>
      <c r="B156" s="226"/>
    </row>
    <row r="157" spans="1:9">
      <c r="A157" s="226"/>
      <c r="B157" s="226"/>
    </row>
    <row r="158" spans="1:9">
      <c r="A158" s="226"/>
      <c r="B158" s="226"/>
    </row>
    <row r="159" spans="1:9">
      <c r="A159" s="226"/>
      <c r="B159" s="226"/>
    </row>
    <row r="160" spans="1:9">
      <c r="A160" s="226"/>
      <c r="B160" s="226"/>
    </row>
    <row r="161" spans="1:2">
      <c r="A161" s="226"/>
      <c r="B161" s="226"/>
    </row>
    <row r="162" spans="1:2">
      <c r="A162" s="226"/>
      <c r="B162" s="226"/>
    </row>
    <row r="163" spans="1:2">
      <c r="A163" s="226"/>
      <c r="B163" s="226"/>
    </row>
    <row r="164" spans="1:2">
      <c r="A164" s="226"/>
      <c r="B164" s="226"/>
    </row>
    <row r="165" spans="1:2">
      <c r="A165" s="226"/>
      <c r="B165" s="226"/>
    </row>
    <row r="166" spans="1:2">
      <c r="A166" s="226"/>
      <c r="B166" s="226"/>
    </row>
    <row r="167" spans="1:2">
      <c r="A167" s="226"/>
      <c r="B167" s="226"/>
    </row>
    <row r="168" spans="1:2">
      <c r="A168" s="226"/>
      <c r="B168" s="226"/>
    </row>
    <row r="169" spans="1:2">
      <c r="A169" s="226"/>
      <c r="B169" s="226"/>
    </row>
    <row r="170" spans="1:2">
      <c r="A170" s="226"/>
      <c r="B170" s="226"/>
    </row>
    <row r="171" spans="1:2">
      <c r="A171" s="226"/>
      <c r="B171" s="226"/>
    </row>
    <row r="172" spans="1:2">
      <c r="A172" s="226"/>
      <c r="B172" s="226"/>
    </row>
    <row r="173" spans="1:2">
      <c r="A173" s="226"/>
      <c r="B173" s="226"/>
    </row>
    <row r="174" spans="1:2">
      <c r="A174" s="226"/>
      <c r="B174" s="226"/>
    </row>
    <row r="175" spans="1:2">
      <c r="A175" s="226"/>
      <c r="B175" s="226"/>
    </row>
    <row r="176" spans="1:2">
      <c r="A176" s="226"/>
      <c r="B176" s="226"/>
    </row>
    <row r="177" spans="1:2">
      <c r="A177" s="226"/>
      <c r="B177" s="226"/>
    </row>
    <row r="178" spans="1:2">
      <c r="A178" s="226"/>
      <c r="B178" s="226"/>
    </row>
    <row r="179" spans="1:2">
      <c r="A179" s="226"/>
      <c r="B179" s="226"/>
    </row>
    <row r="180" spans="1:2">
      <c r="A180" s="226"/>
      <c r="B180" s="226"/>
    </row>
    <row r="181" spans="1:2">
      <c r="A181" s="226"/>
      <c r="B181" s="226"/>
    </row>
    <row r="182" spans="1:2">
      <c r="A182" s="226"/>
      <c r="B182" s="226"/>
    </row>
    <row r="183" spans="1:2">
      <c r="A183" s="226"/>
      <c r="B183" s="226"/>
    </row>
    <row r="184" spans="1:2">
      <c r="A184" s="226"/>
      <c r="B184" s="226"/>
    </row>
    <row r="185" spans="1:2">
      <c r="A185" s="226"/>
      <c r="B185" s="226"/>
    </row>
    <row r="186" spans="1:2">
      <c r="A186" s="226"/>
      <c r="B186" s="226"/>
    </row>
    <row r="187" spans="1:2">
      <c r="A187" s="226"/>
      <c r="B187" s="226"/>
    </row>
    <row r="188" spans="1:2">
      <c r="A188" s="226"/>
      <c r="B188" s="226"/>
    </row>
    <row r="189" spans="1:2">
      <c r="A189" s="226"/>
      <c r="B189" s="226"/>
    </row>
    <row r="190" spans="1:2">
      <c r="A190" s="226"/>
      <c r="B190" s="226"/>
    </row>
    <row r="191" spans="1:2">
      <c r="A191" s="226"/>
      <c r="B191" s="226"/>
    </row>
    <row r="192" spans="1:2">
      <c r="A192" s="226"/>
      <c r="B192" s="226"/>
    </row>
    <row r="193" spans="1:2">
      <c r="A193" s="226"/>
      <c r="B193" s="226"/>
    </row>
    <row r="194" spans="1:2">
      <c r="A194" s="226"/>
      <c r="B194" s="226"/>
    </row>
    <row r="195" spans="1:2">
      <c r="A195" s="226"/>
      <c r="B195" s="226"/>
    </row>
    <row r="196" spans="1:2">
      <c r="A196" s="226"/>
      <c r="B196" s="226"/>
    </row>
    <row r="197" spans="1:2">
      <c r="A197" s="226"/>
      <c r="B197" s="226"/>
    </row>
    <row r="198" spans="1:2">
      <c r="A198" s="226"/>
      <c r="B198" s="226"/>
    </row>
    <row r="199" spans="1:2">
      <c r="A199" s="226"/>
      <c r="B199" s="226"/>
    </row>
    <row r="200" spans="1:2">
      <c r="A200" s="226"/>
      <c r="B200" s="226"/>
    </row>
    <row r="201" spans="1:2">
      <c r="A201" s="226"/>
      <c r="B201" s="226"/>
    </row>
    <row r="202" spans="1:2">
      <c r="A202" s="226"/>
      <c r="B202" s="226"/>
    </row>
    <row r="203" spans="1:2">
      <c r="A203" s="226"/>
      <c r="B203" s="226"/>
    </row>
    <row r="204" spans="1:2">
      <c r="A204" s="226"/>
      <c r="B204" s="226"/>
    </row>
    <row r="205" spans="1:2">
      <c r="A205" s="226"/>
      <c r="B205" s="226"/>
    </row>
    <row r="206" spans="1:2">
      <c r="A206" s="226"/>
      <c r="B206" s="226"/>
    </row>
    <row r="207" spans="1:2">
      <c r="A207" s="226"/>
      <c r="B207" s="226"/>
    </row>
    <row r="208" spans="1:2">
      <c r="A208" s="226"/>
      <c r="B208" s="226"/>
    </row>
    <row r="209" spans="1:2">
      <c r="A209" s="226"/>
      <c r="B209" s="226"/>
    </row>
    <row r="210" spans="1:2">
      <c r="A210" s="226"/>
      <c r="B210" s="226"/>
    </row>
    <row r="211" spans="1:2">
      <c r="A211" s="226"/>
      <c r="B211" s="226"/>
    </row>
    <row r="212" spans="1:2">
      <c r="A212" s="226"/>
      <c r="B212" s="226"/>
    </row>
    <row r="213" spans="1:2">
      <c r="A213" s="226"/>
      <c r="B213" s="226"/>
    </row>
    <row r="214" spans="1:2">
      <c r="A214" s="226"/>
      <c r="B214" s="226"/>
    </row>
    <row r="215" spans="1:2">
      <c r="A215" s="226"/>
      <c r="B215" s="226"/>
    </row>
    <row r="216" spans="1:2">
      <c r="A216" s="226"/>
      <c r="B216" s="226"/>
    </row>
    <row r="217" spans="1:2">
      <c r="A217" s="226"/>
      <c r="B217" s="226"/>
    </row>
    <row r="218" spans="1:2">
      <c r="A218" s="226"/>
      <c r="B218" s="226"/>
    </row>
    <row r="219" spans="1:2">
      <c r="A219" s="226"/>
      <c r="B219" s="226"/>
    </row>
    <row r="220" spans="1:2">
      <c r="A220" s="226"/>
      <c r="B220" s="226"/>
    </row>
    <row r="221" spans="1:2">
      <c r="A221" s="226"/>
      <c r="B221" s="226"/>
    </row>
    <row r="222" spans="1:2">
      <c r="A222" s="226"/>
      <c r="B222" s="226"/>
    </row>
    <row r="223" spans="1:2">
      <c r="A223" s="226"/>
      <c r="B223" s="226"/>
    </row>
    <row r="224" spans="1:2">
      <c r="A224" s="226"/>
      <c r="B224" s="226"/>
    </row>
    <row r="225" spans="1:2">
      <c r="A225" s="226"/>
      <c r="B225" s="226"/>
    </row>
    <row r="226" spans="1:2">
      <c r="A226" s="226"/>
      <c r="B226" s="226"/>
    </row>
    <row r="227" spans="1:2">
      <c r="A227" s="226"/>
      <c r="B227" s="226"/>
    </row>
    <row r="228" spans="1:2">
      <c r="A228" s="226"/>
      <c r="B228" s="226"/>
    </row>
    <row r="229" spans="1:2">
      <c r="A229" s="226"/>
      <c r="B229" s="226"/>
    </row>
    <row r="230" spans="1:2">
      <c r="A230" s="226"/>
      <c r="B230" s="226"/>
    </row>
    <row r="231" spans="1:2">
      <c r="A231" s="226"/>
      <c r="B231" s="226"/>
    </row>
    <row r="232" spans="1:2">
      <c r="A232" s="226"/>
      <c r="B232" s="226"/>
    </row>
    <row r="233" spans="1:2">
      <c r="A233" s="226"/>
      <c r="B233" s="226"/>
    </row>
    <row r="234" spans="1:2">
      <c r="A234" s="226"/>
      <c r="B234" s="226"/>
    </row>
    <row r="235" spans="1:2">
      <c r="A235" s="226"/>
      <c r="B235" s="226"/>
    </row>
    <row r="236" spans="1:2">
      <c r="A236" s="226"/>
      <c r="B236" s="226"/>
    </row>
    <row r="237" spans="1:2">
      <c r="A237" s="226"/>
      <c r="B237" s="226"/>
    </row>
    <row r="238" spans="1:2">
      <c r="A238" s="226"/>
      <c r="B238" s="226"/>
    </row>
    <row r="239" spans="1:2">
      <c r="A239" s="226"/>
      <c r="B239" s="226"/>
    </row>
    <row r="240" spans="1:2">
      <c r="A240" s="226"/>
      <c r="B240" s="226"/>
    </row>
    <row r="241" spans="1:2">
      <c r="A241" s="226"/>
      <c r="B241" s="226"/>
    </row>
    <row r="242" spans="1:2">
      <c r="A242" s="226"/>
      <c r="B242" s="226"/>
    </row>
    <row r="243" spans="1:2">
      <c r="A243" s="226"/>
      <c r="B243" s="226"/>
    </row>
    <row r="244" spans="1:2">
      <c r="A244" s="226"/>
      <c r="B244" s="226"/>
    </row>
    <row r="245" spans="1:2">
      <c r="A245" s="226"/>
      <c r="B245" s="226"/>
    </row>
    <row r="246" spans="1:2">
      <c r="A246" s="226"/>
      <c r="B246" s="226"/>
    </row>
    <row r="247" spans="1:2">
      <c r="A247" s="226"/>
      <c r="B247" s="226"/>
    </row>
    <row r="248" spans="1:2">
      <c r="A248" s="226"/>
      <c r="B248" s="226"/>
    </row>
    <row r="249" spans="1:2">
      <c r="A249" s="226"/>
      <c r="B249" s="226"/>
    </row>
    <row r="250" spans="1:2">
      <c r="A250" s="226"/>
      <c r="B250" s="226"/>
    </row>
    <row r="251" spans="1:2">
      <c r="A251" s="226"/>
      <c r="B251" s="226"/>
    </row>
    <row r="252" spans="1:2">
      <c r="A252" s="226"/>
      <c r="B252" s="226"/>
    </row>
    <row r="253" spans="1:2">
      <c r="A253" s="226"/>
      <c r="B253" s="226"/>
    </row>
    <row r="254" spans="1:2">
      <c r="A254" s="226"/>
      <c r="B254" s="226"/>
    </row>
    <row r="255" spans="1:2">
      <c r="A255" s="226"/>
      <c r="B255" s="226"/>
    </row>
    <row r="256" spans="1:2">
      <c r="A256" s="226"/>
      <c r="B256" s="226"/>
    </row>
    <row r="257" spans="1:2">
      <c r="A257" s="226"/>
      <c r="B257" s="226"/>
    </row>
    <row r="258" spans="1:2">
      <c r="A258" s="226"/>
      <c r="B258" s="226"/>
    </row>
    <row r="259" spans="1:2">
      <c r="A259" s="226"/>
      <c r="B259" s="226"/>
    </row>
    <row r="260" spans="1:2">
      <c r="A260" s="226"/>
      <c r="B260" s="226"/>
    </row>
    <row r="261" spans="1:2">
      <c r="A261" s="226"/>
      <c r="B261" s="226"/>
    </row>
    <row r="262" spans="1:2">
      <c r="A262" s="226"/>
      <c r="B262" s="226"/>
    </row>
    <row r="263" spans="1:2">
      <c r="A263" s="226"/>
      <c r="B263" s="226"/>
    </row>
    <row r="264" spans="1:2">
      <c r="A264" s="226"/>
      <c r="B264" s="226"/>
    </row>
    <row r="265" spans="1:2">
      <c r="A265" s="226"/>
      <c r="B265" s="226"/>
    </row>
    <row r="266" spans="1:2">
      <c r="A266" s="226"/>
      <c r="B266" s="226"/>
    </row>
    <row r="267" spans="1:2">
      <c r="A267" s="226"/>
      <c r="B267" s="226"/>
    </row>
    <row r="268" spans="1:2">
      <c r="A268" s="226"/>
      <c r="B268" s="226"/>
    </row>
    <row r="269" spans="1:2">
      <c r="A269" s="226"/>
      <c r="B269" s="226"/>
    </row>
    <row r="270" spans="1:2">
      <c r="A270" s="226"/>
      <c r="B270" s="226"/>
    </row>
    <row r="271" spans="1:2">
      <c r="A271" s="226"/>
      <c r="B271" s="226"/>
    </row>
    <row r="272" spans="1:2">
      <c r="A272" s="226"/>
      <c r="B272" s="226"/>
    </row>
    <row r="273" spans="1:2">
      <c r="A273" s="226"/>
      <c r="B273" s="226"/>
    </row>
    <row r="274" spans="1:2">
      <c r="A274" s="226"/>
      <c r="B274" s="226"/>
    </row>
    <row r="275" spans="1:2">
      <c r="A275" s="226"/>
      <c r="B275" s="226"/>
    </row>
    <row r="276" spans="1:2">
      <c r="A276" s="226"/>
      <c r="B276" s="226"/>
    </row>
    <row r="277" spans="1:2">
      <c r="A277" s="226"/>
      <c r="B277" s="226"/>
    </row>
    <row r="278" spans="1:2">
      <c r="A278" s="226"/>
      <c r="B278" s="226"/>
    </row>
    <row r="279" spans="1:2">
      <c r="A279" s="226"/>
      <c r="B279" s="226"/>
    </row>
    <row r="280" spans="1:2">
      <c r="A280" s="226"/>
      <c r="B280" s="226"/>
    </row>
    <row r="281" spans="1:2">
      <c r="A281" s="226"/>
      <c r="B281" s="226"/>
    </row>
    <row r="282" spans="1:2">
      <c r="A282" s="226"/>
      <c r="B282" s="226"/>
    </row>
    <row r="283" spans="1:2">
      <c r="A283" s="226"/>
      <c r="B283" s="226"/>
    </row>
    <row r="284" spans="1:2">
      <c r="A284" s="226"/>
      <c r="B284" s="226"/>
    </row>
    <row r="285" spans="1:2">
      <c r="A285" s="226"/>
      <c r="B285" s="226"/>
    </row>
    <row r="286" spans="1:2">
      <c r="A286" s="226"/>
      <c r="B286" s="226"/>
    </row>
    <row r="287" spans="1:2">
      <c r="A287" s="226"/>
      <c r="B287" s="226"/>
    </row>
    <row r="288" spans="1:2">
      <c r="A288" s="226"/>
      <c r="B288" s="226"/>
    </row>
    <row r="289" spans="1:2">
      <c r="A289" s="226"/>
      <c r="B289" s="226"/>
    </row>
    <row r="290" spans="1:2">
      <c r="A290" s="226"/>
      <c r="B290" s="226"/>
    </row>
    <row r="291" spans="1:2">
      <c r="A291" s="226"/>
      <c r="B291" s="226"/>
    </row>
    <row r="292" spans="1:2">
      <c r="A292" s="226"/>
      <c r="B292" s="226"/>
    </row>
    <row r="293" spans="1:2">
      <c r="A293" s="226"/>
      <c r="B293" s="226"/>
    </row>
    <row r="294" spans="1:2">
      <c r="A294" s="226"/>
      <c r="B294" s="226"/>
    </row>
    <row r="295" spans="1:2">
      <c r="A295" s="226"/>
      <c r="B295" s="226"/>
    </row>
    <row r="296" spans="1:2">
      <c r="A296" s="226"/>
      <c r="B296" s="226"/>
    </row>
    <row r="297" spans="1:2">
      <c r="A297" s="226"/>
      <c r="B297" s="226"/>
    </row>
    <row r="298" spans="1:2">
      <c r="A298" s="226"/>
      <c r="B298" s="226"/>
    </row>
    <row r="299" spans="1:2">
      <c r="A299" s="226"/>
      <c r="B299" s="226"/>
    </row>
    <row r="300" spans="1:2">
      <c r="A300" s="226"/>
      <c r="B300" s="226"/>
    </row>
    <row r="301" spans="1:2">
      <c r="A301" s="226"/>
      <c r="B301" s="226"/>
    </row>
    <row r="302" spans="1:2">
      <c r="A302" s="226"/>
      <c r="B302" s="226"/>
    </row>
    <row r="303" spans="1:2">
      <c r="A303" s="226"/>
      <c r="B303" s="226"/>
    </row>
    <row r="304" spans="1:2">
      <c r="A304" s="226"/>
      <c r="B304" s="226"/>
    </row>
    <row r="305" spans="1:2">
      <c r="A305" s="226"/>
      <c r="B305" s="226"/>
    </row>
    <row r="306" spans="1:2">
      <c r="A306" s="226"/>
      <c r="B306" s="226"/>
    </row>
    <row r="307" spans="1:2">
      <c r="A307" s="226"/>
      <c r="B307" s="226"/>
    </row>
    <row r="308" spans="1:2">
      <c r="A308" s="226"/>
      <c r="B308" s="226"/>
    </row>
    <row r="309" spans="1:2">
      <c r="A309" s="226"/>
      <c r="B309" s="226"/>
    </row>
    <row r="310" spans="1:2">
      <c r="A310" s="226"/>
      <c r="B310" s="226"/>
    </row>
    <row r="311" spans="1:2">
      <c r="A311" s="226"/>
      <c r="B311" s="226"/>
    </row>
    <row r="312" spans="1:2">
      <c r="A312" s="226"/>
      <c r="B312" s="226"/>
    </row>
    <row r="313" spans="1:2">
      <c r="A313" s="226"/>
      <c r="B313" s="226"/>
    </row>
    <row r="314" spans="1:2">
      <c r="A314" s="226"/>
      <c r="B314" s="226"/>
    </row>
    <row r="315" spans="1:2">
      <c r="A315" s="226"/>
      <c r="B315" s="226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B1B-9864-BD4B-8207-1F3D3B2F260A}">
  <sheetPr codeName="Sheet23"/>
  <dimension ref="A1:D2"/>
  <sheetViews>
    <sheetView zoomScale="182" workbookViewId="0">
      <selection activeCell="D2" sqref="D2"/>
    </sheetView>
  </sheetViews>
  <sheetFormatPr baseColWidth="10" defaultColWidth="11" defaultRowHeight="16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>
      <c r="A1" s="5" t="s">
        <v>938</v>
      </c>
      <c r="B1" s="5" t="s">
        <v>939</v>
      </c>
      <c r="C1" s="5" t="s">
        <v>940</v>
      </c>
      <c r="D1" s="5" t="s">
        <v>941</v>
      </c>
    </row>
    <row r="2" spans="1:4">
      <c r="A2" s="3">
        <v>250</v>
      </c>
      <c r="B2" s="3">
        <v>8</v>
      </c>
      <c r="C2" s="3">
        <v>0.8</v>
      </c>
      <c r="D2" s="3">
        <f>PRODUCT(A2:C2)</f>
        <v>1600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9ACB-B374-2C44-BCBD-6D39A476A075}">
  <sheetPr codeName="Sheet24"/>
  <dimension ref="A1:D27"/>
  <sheetViews>
    <sheetView zoomScale="150" workbookViewId="0">
      <selection activeCell="D2" sqref="D2"/>
    </sheetView>
  </sheetViews>
  <sheetFormatPr baseColWidth="10" defaultColWidth="11" defaultRowHeight="16"/>
  <cols>
    <col min="2" max="2" width="41" bestFit="1" customWidth="1"/>
    <col min="3" max="3" width="22.1640625" bestFit="1" customWidth="1"/>
    <col min="4" max="4" width="20.6640625" bestFit="1" customWidth="1"/>
  </cols>
  <sheetData>
    <row r="1" spans="1:4">
      <c r="A1" s="137" t="s">
        <v>926</v>
      </c>
      <c r="B1" s="228" t="s">
        <v>942</v>
      </c>
      <c r="C1" s="138" t="s">
        <v>943</v>
      </c>
      <c r="D1" s="138" t="s">
        <v>944</v>
      </c>
    </row>
    <row r="2" spans="1:4">
      <c r="A2" s="3" t="str">
        <f>'S22 Required Machine Hours'!Q2</f>
        <v>WS-02</v>
      </c>
      <c r="B2" s="3">
        <f>SUMIFS('S22 Required Machine Hours'!$J$2:$J$118, 'S22 Required Machine Hours'!$A$2:$A$118, A2)</f>
        <v>32074</v>
      </c>
      <c r="C2" s="3">
        <f>'S23 Available Working Hours'!$D$2</f>
        <v>1600</v>
      </c>
      <c r="D2" s="3">
        <f>ROUNDUP(B2/C2, 0)</f>
        <v>21</v>
      </c>
    </row>
    <row r="3" spans="1:4">
      <c r="A3" s="3" t="str">
        <f>'S22 Required Machine Hours'!Q3</f>
        <v>WS-03</v>
      </c>
      <c r="B3" s="3">
        <f>SUMIFS('S22 Required Machine Hours'!$J$2:$J$118, 'S22 Required Machine Hours'!$A$2:$A$118, A3)</f>
        <v>9539</v>
      </c>
      <c r="C3" s="3">
        <f>'S23 Available Working Hours'!$D$2</f>
        <v>1600</v>
      </c>
      <c r="D3" s="3">
        <f t="shared" ref="D3:D27" si="0">ROUNDUP(B3/C3, 0)</f>
        <v>6</v>
      </c>
    </row>
    <row r="4" spans="1:4">
      <c r="A4" s="3" t="str">
        <f>'S22 Required Machine Hours'!Q4</f>
        <v>WS-04</v>
      </c>
      <c r="B4" s="3">
        <f>SUMIFS('S22 Required Machine Hours'!$J$2:$J$118, 'S22 Required Machine Hours'!$A$2:$A$118, A4)</f>
        <v>5984</v>
      </c>
      <c r="C4" s="3">
        <f>'S23 Available Working Hours'!$D$2</f>
        <v>1600</v>
      </c>
      <c r="D4" s="3">
        <f t="shared" si="0"/>
        <v>4</v>
      </c>
    </row>
    <row r="5" spans="1:4">
      <c r="A5" s="3" t="str">
        <f>'S22 Required Machine Hours'!Q5</f>
        <v>WS-05</v>
      </c>
      <c r="B5" s="3">
        <f>SUMIFS('S22 Required Machine Hours'!$J$2:$J$118, 'S22 Required Machine Hours'!$A$2:$A$118, A5)</f>
        <v>66754</v>
      </c>
      <c r="C5" s="3">
        <f>'S23 Available Working Hours'!$D$2</f>
        <v>1600</v>
      </c>
      <c r="D5" s="3">
        <f t="shared" si="0"/>
        <v>42</v>
      </c>
    </row>
    <row r="6" spans="1:4">
      <c r="A6" s="3" t="str">
        <f>'S22 Required Machine Hours'!Q6</f>
        <v>WS-07</v>
      </c>
      <c r="B6" s="3">
        <f>SUMIFS('S22 Required Machine Hours'!$J$2:$J$118, 'S22 Required Machine Hours'!$A$2:$A$118, A6)</f>
        <v>39720</v>
      </c>
      <c r="C6" s="3">
        <f>'S23 Available Working Hours'!$D$2</f>
        <v>1600</v>
      </c>
      <c r="D6" s="3">
        <f t="shared" si="0"/>
        <v>25</v>
      </c>
    </row>
    <row r="7" spans="1:4">
      <c r="A7" s="3" t="str">
        <f>'S22 Required Machine Hours'!Q7</f>
        <v>WS-08</v>
      </c>
      <c r="B7" s="3">
        <f>SUMIFS('S22 Required Machine Hours'!$J$2:$J$118, 'S22 Required Machine Hours'!$A$2:$A$118, A7)</f>
        <v>13359</v>
      </c>
      <c r="C7" s="3">
        <f>'S23 Available Working Hours'!$D$2</f>
        <v>1600</v>
      </c>
      <c r="D7" s="3">
        <f t="shared" si="0"/>
        <v>9</v>
      </c>
    </row>
    <row r="8" spans="1:4">
      <c r="A8" s="3" t="str">
        <f>'S22 Required Machine Hours'!Q8</f>
        <v>WS-18</v>
      </c>
      <c r="B8" s="3">
        <f>SUMIFS('S22 Required Machine Hours'!$J$2:$J$118, 'S22 Required Machine Hours'!$A$2:$A$118, A8)</f>
        <v>35391</v>
      </c>
      <c r="C8" s="3">
        <f>'S23 Available Working Hours'!$D$2</f>
        <v>1600</v>
      </c>
      <c r="D8" s="3">
        <f t="shared" si="0"/>
        <v>23</v>
      </c>
    </row>
    <row r="9" spans="1:4">
      <c r="A9" s="3" t="str">
        <f>'S22 Required Machine Hours'!Q9</f>
        <v>WS-20</v>
      </c>
      <c r="B9" s="3">
        <f>SUMIFS('S22 Required Machine Hours'!$J$2:$J$118, 'S22 Required Machine Hours'!$A$2:$A$118, A9)</f>
        <v>20501</v>
      </c>
      <c r="C9" s="3">
        <f>'S23 Available Working Hours'!$D$2</f>
        <v>1600</v>
      </c>
      <c r="D9" s="3">
        <f t="shared" si="0"/>
        <v>13</v>
      </c>
    </row>
    <row r="10" spans="1:4">
      <c r="A10" s="3" t="str">
        <f>'S22 Required Machine Hours'!Q10</f>
        <v>WS-21</v>
      </c>
      <c r="B10" s="3">
        <f>SUMIFS('S22 Required Machine Hours'!$J$2:$J$118, 'S22 Required Machine Hours'!$A$2:$A$118, A10)</f>
        <v>13552</v>
      </c>
      <c r="C10" s="3">
        <f>'S23 Available Working Hours'!$D$2</f>
        <v>1600</v>
      </c>
      <c r="D10" s="3">
        <f t="shared" si="0"/>
        <v>9</v>
      </c>
    </row>
    <row r="11" spans="1:4">
      <c r="A11" s="3" t="str">
        <f>'S22 Required Machine Hours'!Q11</f>
        <v>WS-23</v>
      </c>
      <c r="B11" s="3">
        <f>SUMIFS('S22 Required Machine Hours'!$J$2:$J$118, 'S22 Required Machine Hours'!$A$2:$A$118, A11)</f>
        <v>11026</v>
      </c>
      <c r="C11" s="3">
        <f>'S23 Available Working Hours'!$D$2</f>
        <v>1600</v>
      </c>
      <c r="D11" s="3">
        <f t="shared" si="0"/>
        <v>7</v>
      </c>
    </row>
    <row r="12" spans="1:4">
      <c r="A12" s="3" t="str">
        <f>'S22 Required Machine Hours'!Q12</f>
        <v>WS-24</v>
      </c>
      <c r="B12" s="3">
        <f>SUMIFS('S22 Required Machine Hours'!$J$2:$J$118, 'S22 Required Machine Hours'!$A$2:$A$118, A12)</f>
        <v>27335</v>
      </c>
      <c r="C12" s="3">
        <f>'S23 Available Working Hours'!$D$2</f>
        <v>1600</v>
      </c>
      <c r="D12" s="3">
        <f t="shared" si="0"/>
        <v>18</v>
      </c>
    </row>
    <row r="13" spans="1:4">
      <c r="A13" s="3" t="str">
        <f>'S22 Required Machine Hours'!Q13</f>
        <v>WS-25</v>
      </c>
      <c r="B13" s="3">
        <f>SUMIFS('S22 Required Machine Hours'!$J$2:$J$118, 'S22 Required Machine Hours'!$A$2:$A$118, A13)</f>
        <v>42754</v>
      </c>
      <c r="C13" s="3">
        <f>'S23 Available Working Hours'!$D$2</f>
        <v>1600</v>
      </c>
      <c r="D13" s="3">
        <f t="shared" si="0"/>
        <v>27</v>
      </c>
    </row>
    <row r="14" spans="1:4">
      <c r="A14" s="3" t="str">
        <f>'S22 Required Machine Hours'!Q14</f>
        <v>WS-26</v>
      </c>
      <c r="B14" s="3">
        <f>SUMIFS('S22 Required Machine Hours'!$J$2:$J$118, 'S22 Required Machine Hours'!$A$2:$A$118, A14)</f>
        <v>6225</v>
      </c>
      <c r="C14" s="3">
        <f>'S23 Available Working Hours'!$D$2</f>
        <v>1600</v>
      </c>
      <c r="D14" s="3">
        <f t="shared" si="0"/>
        <v>4</v>
      </c>
    </row>
    <row r="15" spans="1:4">
      <c r="A15" s="3" t="str">
        <f>'S22 Required Machine Hours'!Q15</f>
        <v>WS-27</v>
      </c>
      <c r="B15" s="3">
        <f>SUMIFS('S22 Required Machine Hours'!$J$2:$J$118, 'S22 Required Machine Hours'!$A$2:$A$118, A15)</f>
        <v>18244</v>
      </c>
      <c r="C15" s="3">
        <f>'S23 Available Working Hours'!$D$2</f>
        <v>1600</v>
      </c>
      <c r="D15" s="3">
        <f t="shared" si="0"/>
        <v>12</v>
      </c>
    </row>
    <row r="16" spans="1:4">
      <c r="A16" s="3" t="str">
        <f>'S22 Required Machine Hours'!Q16</f>
        <v>WS-28</v>
      </c>
      <c r="B16" s="3">
        <f>SUMIFS('S22 Required Machine Hours'!$J$2:$J$118, 'S22 Required Machine Hours'!$A$2:$A$118, A16)</f>
        <v>21508</v>
      </c>
      <c r="C16" s="3">
        <f>'S23 Available Working Hours'!$D$2</f>
        <v>1600</v>
      </c>
      <c r="D16" s="3">
        <f t="shared" si="0"/>
        <v>14</v>
      </c>
    </row>
    <row r="17" spans="1:4">
      <c r="A17" s="3" t="str">
        <f>'S22 Required Machine Hours'!Q17</f>
        <v>WS-29</v>
      </c>
      <c r="B17" s="3">
        <f>SUMIFS('S22 Required Machine Hours'!$J$2:$J$118, 'S22 Required Machine Hours'!$A$2:$A$118, A17)</f>
        <v>33617</v>
      </c>
      <c r="C17" s="3">
        <f>'S23 Available Working Hours'!$D$2</f>
        <v>1600</v>
      </c>
      <c r="D17" s="3">
        <f t="shared" si="0"/>
        <v>22</v>
      </c>
    </row>
    <row r="18" spans="1:4">
      <c r="A18" s="3" t="str">
        <f>'S22 Required Machine Hours'!Q18</f>
        <v>WS-31</v>
      </c>
      <c r="B18" s="3">
        <f>SUMIFS('S22 Required Machine Hours'!$J$2:$J$118, 'S22 Required Machine Hours'!$A$2:$A$118, A18)</f>
        <v>7335</v>
      </c>
      <c r="C18" s="3">
        <f>'S23 Available Working Hours'!$D$2</f>
        <v>1600</v>
      </c>
      <c r="D18" s="3">
        <f t="shared" si="0"/>
        <v>5</v>
      </c>
    </row>
    <row r="19" spans="1:4">
      <c r="A19" s="3" t="str">
        <f>'S22 Required Machine Hours'!Q19</f>
        <v>WS-32</v>
      </c>
      <c r="B19" s="3">
        <f>SUMIFS('S22 Required Machine Hours'!$J$2:$J$118, 'S22 Required Machine Hours'!$A$2:$A$118, A19)</f>
        <v>52604</v>
      </c>
      <c r="C19" s="3">
        <f>'S23 Available Working Hours'!$D$2</f>
        <v>1600</v>
      </c>
      <c r="D19" s="3">
        <f t="shared" si="0"/>
        <v>33</v>
      </c>
    </row>
    <row r="20" spans="1:4">
      <c r="A20" s="3" t="str">
        <f>'S22 Required Machine Hours'!Q20</f>
        <v>WS-33</v>
      </c>
      <c r="B20" s="3">
        <f>SUMIFS('S22 Required Machine Hours'!$J$2:$J$118, 'S22 Required Machine Hours'!$A$2:$A$118, A20)</f>
        <v>18274</v>
      </c>
      <c r="C20" s="3">
        <f>'S23 Available Working Hours'!$D$2</f>
        <v>1600</v>
      </c>
      <c r="D20" s="3">
        <f t="shared" si="0"/>
        <v>12</v>
      </c>
    </row>
    <row r="21" spans="1:4">
      <c r="A21" s="3" t="str">
        <f>'S22 Required Machine Hours'!Q21</f>
        <v>WS-34</v>
      </c>
      <c r="B21" s="3">
        <f>SUMIFS('S22 Required Machine Hours'!$J$2:$J$118, 'S22 Required Machine Hours'!$A$2:$A$118, A21)</f>
        <v>106288</v>
      </c>
      <c r="C21" s="3">
        <f>'S23 Available Working Hours'!$D$2</f>
        <v>1600</v>
      </c>
      <c r="D21" s="3">
        <f t="shared" si="0"/>
        <v>67</v>
      </c>
    </row>
    <row r="22" spans="1:4">
      <c r="A22" s="3" t="str">
        <f>'S22 Required Machine Hours'!Q22</f>
        <v>WS-36</v>
      </c>
      <c r="B22" s="3">
        <f>SUMIFS('S22 Required Machine Hours'!$J$2:$J$118, 'S22 Required Machine Hours'!$A$2:$A$118, A22)</f>
        <v>14058</v>
      </c>
      <c r="C22" s="3">
        <f>'S23 Available Working Hours'!$D$2</f>
        <v>1600</v>
      </c>
      <c r="D22" s="3">
        <f t="shared" si="0"/>
        <v>9</v>
      </c>
    </row>
    <row r="23" spans="1:4">
      <c r="A23" s="3" t="str">
        <f>'S22 Required Machine Hours'!Q23</f>
        <v>WS-38</v>
      </c>
      <c r="B23" s="3">
        <f>SUMIFS('S22 Required Machine Hours'!$J$2:$J$118, 'S22 Required Machine Hours'!$A$2:$A$118, A23)</f>
        <v>6543</v>
      </c>
      <c r="C23" s="3">
        <f>'S23 Available Working Hours'!$D$2</f>
        <v>1600</v>
      </c>
      <c r="D23" s="3">
        <f t="shared" si="0"/>
        <v>5</v>
      </c>
    </row>
    <row r="24" spans="1:4">
      <c r="A24" s="3" t="str">
        <f>'S22 Required Machine Hours'!Q24</f>
        <v>WS-40</v>
      </c>
      <c r="B24" s="3">
        <f>SUMIFS('S22 Required Machine Hours'!$J$2:$J$118, 'S22 Required Machine Hours'!$A$2:$A$118, A24)</f>
        <v>23049</v>
      </c>
      <c r="C24" s="3">
        <f>'S23 Available Working Hours'!$D$2</f>
        <v>1600</v>
      </c>
      <c r="D24" s="3">
        <f t="shared" si="0"/>
        <v>15</v>
      </c>
    </row>
    <row r="25" spans="1:4">
      <c r="A25" s="3" t="str">
        <f>'S22 Required Machine Hours'!Q25</f>
        <v>WS-42</v>
      </c>
      <c r="B25" s="3">
        <f>SUMIFS('S22 Required Machine Hours'!$J$2:$J$118, 'S22 Required Machine Hours'!$A$2:$A$118, A25)</f>
        <v>7212</v>
      </c>
      <c r="C25" s="3">
        <f>'S23 Available Working Hours'!$D$2</f>
        <v>1600</v>
      </c>
      <c r="D25" s="3">
        <f t="shared" si="0"/>
        <v>5</v>
      </c>
    </row>
    <row r="26" spans="1:4">
      <c r="A26" s="3" t="str">
        <f>'S22 Required Machine Hours'!Q26</f>
        <v>WS-43</v>
      </c>
      <c r="B26" s="3">
        <f>SUMIFS('S22 Required Machine Hours'!$J$2:$J$118, 'S22 Required Machine Hours'!$A$2:$A$118, A26)</f>
        <v>101</v>
      </c>
      <c r="C26" s="3">
        <f>'S23 Available Working Hours'!$D$2</f>
        <v>1600</v>
      </c>
      <c r="D26" s="3">
        <f t="shared" si="0"/>
        <v>1</v>
      </c>
    </row>
    <row r="27" spans="1:4">
      <c r="A27" s="3" t="str">
        <f>'S22 Required Machine Hours'!Q27</f>
        <v>WS-44</v>
      </c>
      <c r="B27" s="3">
        <f>SUMIFS('S22 Required Machine Hours'!$J$2:$J$118, 'S22 Required Machine Hours'!$A$2:$A$118, A27)</f>
        <v>101</v>
      </c>
      <c r="C27" s="3">
        <f>'S23 Available Working Hours'!$D$2</f>
        <v>1600</v>
      </c>
      <c r="D27" s="3">
        <f t="shared" si="0"/>
        <v>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DFFD9-80DA-F14D-95D7-A4E880C3855E}">
  <sheetPr codeName="Sheet25"/>
  <dimension ref="A1:H149"/>
  <sheetViews>
    <sheetView workbookViewId="0">
      <selection activeCell="A35" sqref="A35"/>
    </sheetView>
  </sheetViews>
  <sheetFormatPr baseColWidth="10" defaultRowHeight="16"/>
  <cols>
    <col min="1" max="1" width="17.83203125" style="234" customWidth="1"/>
    <col min="2" max="2" width="18.6640625" style="235" customWidth="1"/>
    <col min="8" max="8" width="17.33203125" bestFit="1" customWidth="1"/>
  </cols>
  <sheetData>
    <row r="1" spans="1:8">
      <c r="A1" s="231" t="s">
        <v>946</v>
      </c>
      <c r="B1" s="232" t="s">
        <v>947</v>
      </c>
      <c r="E1" t="s">
        <v>948</v>
      </c>
      <c r="F1" t="s">
        <v>949</v>
      </c>
    </row>
    <row r="2" spans="1:8">
      <c r="A2" s="233">
        <v>0.3</v>
      </c>
      <c r="B2" s="9">
        <f>EXP($E$2*A2+$F$2)+3</f>
        <v>13.175674306073333</v>
      </c>
      <c r="E2">
        <v>-0.6</v>
      </c>
      <c r="F2">
        <v>2.5</v>
      </c>
      <c r="H2" t="s">
        <v>950</v>
      </c>
    </row>
    <row r="3" spans="1:8">
      <c r="A3" s="233">
        <v>0.4</v>
      </c>
      <c r="B3" s="9">
        <f t="shared" ref="B3:B66" si="0">EXP($E$2*A3+$F$2)+3</f>
        <v>12.583089166764376</v>
      </c>
    </row>
    <row r="4" spans="1:8">
      <c r="A4" s="233">
        <v>0.5</v>
      </c>
      <c r="B4" s="9">
        <f t="shared" si="0"/>
        <v>12.025013499434122</v>
      </c>
    </row>
    <row r="5" spans="1:8">
      <c r="A5" s="233">
        <v>0.6</v>
      </c>
      <c r="B5" s="9">
        <f t="shared" si="0"/>
        <v>11.499437628886124</v>
      </c>
    </row>
    <row r="6" spans="1:8">
      <c r="A6" s="233">
        <v>0.7</v>
      </c>
      <c r="B6" s="9">
        <f t="shared" si="0"/>
        <v>11.004468914296353</v>
      </c>
    </row>
    <row r="7" spans="1:8">
      <c r="A7" s="233">
        <v>0.8</v>
      </c>
      <c r="B7" s="9">
        <f t="shared" si="0"/>
        <v>10.538324933661922</v>
      </c>
    </row>
    <row r="8" spans="1:8">
      <c r="A8" s="233">
        <v>0.9</v>
      </c>
      <c r="B8" s="9">
        <f t="shared" si="0"/>
        <v>10.099327065156633</v>
      </c>
    </row>
    <row r="9" spans="1:8">
      <c r="A9" s="233">
        <v>1</v>
      </c>
      <c r="B9" s="9">
        <f t="shared" si="0"/>
        <v>9.6858944422792685</v>
      </c>
    </row>
    <row r="10" spans="1:8">
      <c r="A10" s="233">
        <v>1.1000000000000001</v>
      </c>
      <c r="B10" s="9">
        <f t="shared" si="0"/>
        <v>9.2965382610266563</v>
      </c>
    </row>
    <row r="11" spans="1:8">
      <c r="A11" s="233">
        <v>1.2</v>
      </c>
      <c r="B11" s="9">
        <f t="shared" si="0"/>
        <v>8.9298564185911466</v>
      </c>
    </row>
    <row r="12" spans="1:8">
      <c r="A12" s="233">
        <v>1.3</v>
      </c>
      <c r="B12" s="9">
        <f t="shared" si="0"/>
        <v>8.5845284642760546</v>
      </c>
    </row>
    <row r="13" spans="1:8">
      <c r="A13" s="233">
        <v>1.4</v>
      </c>
      <c r="B13" s="9">
        <f t="shared" si="0"/>
        <v>8.2593108444468992</v>
      </c>
    </row>
    <row r="14" spans="1:8">
      <c r="A14" s="233">
        <v>1.5</v>
      </c>
      <c r="B14" s="9">
        <f t="shared" si="0"/>
        <v>7.9530324243951149</v>
      </c>
    </row>
    <row r="15" spans="1:8">
      <c r="A15" s="233">
        <v>1.6</v>
      </c>
      <c r="B15" s="9">
        <f t="shared" si="0"/>
        <v>7.6645902709881257</v>
      </c>
    </row>
    <row r="16" spans="1:8">
      <c r="A16" s="233">
        <v>1.7</v>
      </c>
      <c r="B16" s="9">
        <f t="shared" si="0"/>
        <v>7.392945680918757</v>
      </c>
    </row>
    <row r="17" spans="1:2">
      <c r="A17" s="233">
        <v>1.8</v>
      </c>
      <c r="B17" s="9">
        <f t="shared" si="0"/>
        <v>7.1371204402513921</v>
      </c>
    </row>
    <row r="18" spans="1:2">
      <c r="A18" s="233">
        <v>1.9</v>
      </c>
      <c r="B18" s="9">
        <f t="shared" si="0"/>
        <v>6.8961933017952148</v>
      </c>
    </row>
    <row r="19" spans="1:2">
      <c r="A19" s="233">
        <v>2</v>
      </c>
      <c r="B19" s="9">
        <f t="shared" si="0"/>
        <v>6.6692966676192444</v>
      </c>
    </row>
    <row r="20" spans="1:2">
      <c r="A20" s="233">
        <v>2.1</v>
      </c>
      <c r="B20" s="9">
        <f t="shared" si="0"/>
        <v>6.4556134647626759</v>
      </c>
    </row>
    <row r="21" spans="1:2">
      <c r="A21" s="233">
        <v>2.2000000000000002</v>
      </c>
      <c r="B21" s="9">
        <f t="shared" si="0"/>
        <v>6.2543742028896707</v>
      </c>
    </row>
    <row r="22" spans="1:2">
      <c r="A22" s="233">
        <v>2.2999999999999998</v>
      </c>
      <c r="B22" s="9">
        <f t="shared" si="0"/>
        <v>6.0648542032930024</v>
      </c>
    </row>
    <row r="23" spans="1:2">
      <c r="A23" s="233">
        <v>2.4</v>
      </c>
      <c r="B23" s="9">
        <f t="shared" si="0"/>
        <v>5.8863709892679585</v>
      </c>
    </row>
    <row r="24" spans="1:2">
      <c r="A24" s="233">
        <v>2.5</v>
      </c>
      <c r="B24" s="9">
        <f t="shared" si="0"/>
        <v>5.7182818284590446</v>
      </c>
    </row>
    <row r="25" spans="1:2">
      <c r="A25" s="233">
        <v>2.6</v>
      </c>
      <c r="B25" s="9">
        <f t="shared" si="0"/>
        <v>5.5599814183292713</v>
      </c>
    </row>
    <row r="26" spans="1:2">
      <c r="A26" s="233">
        <v>2.7</v>
      </c>
      <c r="B26" s="9">
        <f t="shared" si="0"/>
        <v>5.4108997064172097</v>
      </c>
    </row>
    <row r="27" spans="1:2">
      <c r="A27" s="233">
        <v>2.8</v>
      </c>
      <c r="B27" s="9">
        <f t="shared" si="0"/>
        <v>5.2704998375324061</v>
      </c>
    </row>
    <row r="28" spans="1:2">
      <c r="A28" s="233">
        <v>2.9</v>
      </c>
      <c r="B28" s="9">
        <f t="shared" si="0"/>
        <v>5.1382762204968184</v>
      </c>
    </row>
    <row r="29" spans="1:2">
      <c r="A29" s="233">
        <v>3</v>
      </c>
      <c r="B29" s="9">
        <f t="shared" si="0"/>
        <v>5.0137527074704771</v>
      </c>
    </row>
    <row r="30" spans="1:2">
      <c r="A30" s="233">
        <v>3.1</v>
      </c>
      <c r="B30" s="9">
        <f t="shared" si="0"/>
        <v>4.8964808793049519</v>
      </c>
    </row>
    <row r="31" spans="1:2">
      <c r="A31" s="233">
        <v>3.2</v>
      </c>
      <c r="B31" s="9">
        <f t="shared" si="0"/>
        <v>4.7860384307500734</v>
      </c>
    </row>
    <row r="32" spans="1:2">
      <c r="A32" s="233">
        <v>3.3</v>
      </c>
      <c r="B32" s="9">
        <f t="shared" si="0"/>
        <v>4.6820276496988864</v>
      </c>
    </row>
    <row r="33" spans="1:2">
      <c r="A33" s="233">
        <v>3.4</v>
      </c>
      <c r="B33" s="9">
        <f t="shared" si="0"/>
        <v>4.5840739849944816</v>
      </c>
    </row>
    <row r="34" spans="1:2">
      <c r="A34" s="233">
        <v>3.5</v>
      </c>
      <c r="B34" s="9">
        <f t="shared" si="0"/>
        <v>4.4918246976412703</v>
      </c>
    </row>
    <row r="35" spans="1:2">
      <c r="A35" s="233">
        <v>3.6</v>
      </c>
      <c r="B35" s="9">
        <f t="shared" si="0"/>
        <v>4.4049475905635935</v>
      </c>
    </row>
    <row r="36" spans="1:2">
      <c r="A36" s="233">
        <v>3.7</v>
      </c>
      <c r="B36" s="9">
        <f t="shared" si="0"/>
        <v>4.3231298123374362</v>
      </c>
    </row>
    <row r="37" spans="1:2">
      <c r="A37" s="233">
        <v>3.8</v>
      </c>
      <c r="B37" s="9">
        <f t="shared" si="0"/>
        <v>4.2460767305873812</v>
      </c>
    </row>
    <row r="38" spans="1:2">
      <c r="A38" s="233">
        <v>3.9</v>
      </c>
      <c r="B38" s="9">
        <f t="shared" si="0"/>
        <v>4.1735108709918105</v>
      </c>
    </row>
    <row r="39" spans="1:2">
      <c r="A39" s="233">
        <v>4</v>
      </c>
      <c r="B39" s="9">
        <f t="shared" si="0"/>
        <v>4.1051709180756477</v>
      </c>
    </row>
    <row r="40" spans="1:2">
      <c r="A40" s="233">
        <v>4.0999999999999996</v>
      </c>
      <c r="B40" s="9">
        <f t="shared" si="0"/>
        <v>4.0408107741923889</v>
      </c>
    </row>
    <row r="41" spans="1:2">
      <c r="A41" s="233">
        <v>4.2</v>
      </c>
      <c r="B41" s="9">
        <f t="shared" si="0"/>
        <v>3.9801986733067554</v>
      </c>
    </row>
    <row r="42" spans="1:2">
      <c r="A42" s="233">
        <v>4.3</v>
      </c>
      <c r="B42" s="9">
        <f t="shared" si="0"/>
        <v>3.9231163463866361</v>
      </c>
    </row>
    <row r="43" spans="1:2">
      <c r="A43" s="233">
        <v>4.4000000000000004</v>
      </c>
      <c r="B43" s="9">
        <f t="shared" si="0"/>
        <v>3.8693582353988059</v>
      </c>
    </row>
    <row r="44" spans="1:2">
      <c r="A44" s="233">
        <v>4.5</v>
      </c>
      <c r="B44" s="9">
        <f t="shared" si="0"/>
        <v>3.8187307530779822</v>
      </c>
    </row>
    <row r="45" spans="1:2">
      <c r="A45" s="233">
        <v>4.5999999999999996</v>
      </c>
      <c r="B45" s="9">
        <f t="shared" si="0"/>
        <v>3.7710515858035665</v>
      </c>
    </row>
    <row r="46" spans="1:2">
      <c r="A46" s="233">
        <v>4.7</v>
      </c>
      <c r="B46" s="9">
        <f t="shared" si="0"/>
        <v>3.7261490370736912</v>
      </c>
    </row>
    <row r="47" spans="1:2">
      <c r="A47" s="233">
        <v>4.8</v>
      </c>
      <c r="B47" s="9">
        <f t="shared" si="0"/>
        <v>3.6838614092123558</v>
      </c>
    </row>
    <row r="48" spans="1:2">
      <c r="A48" s="233">
        <v>4.9000000000000004</v>
      </c>
      <c r="B48" s="9">
        <f t="shared" si="0"/>
        <v>3.6440364210831415</v>
      </c>
    </row>
    <row r="49" spans="1:2">
      <c r="A49" s="233">
        <v>5</v>
      </c>
      <c r="B49" s="9">
        <f t="shared" si="0"/>
        <v>3.6065306597126332</v>
      </c>
    </row>
    <row r="50" spans="1:2">
      <c r="A50" s="233">
        <v>5.0999999999999996</v>
      </c>
      <c r="B50" s="9">
        <f t="shared" si="0"/>
        <v>3.5712090638488152</v>
      </c>
    </row>
    <row r="51" spans="1:2">
      <c r="A51" s="233">
        <v>5.2</v>
      </c>
      <c r="B51" s="9">
        <f t="shared" si="0"/>
        <v>3.5379444375946747</v>
      </c>
    </row>
    <row r="52" spans="1:2">
      <c r="A52" s="233">
        <v>5.3</v>
      </c>
      <c r="B52" s="9">
        <f t="shared" si="0"/>
        <v>3.5066169923655899</v>
      </c>
    </row>
    <row r="53" spans="1:2">
      <c r="A53" s="233">
        <v>5.4</v>
      </c>
      <c r="B53" s="9">
        <f t="shared" si="0"/>
        <v>3.4771139155210342</v>
      </c>
    </row>
    <row r="54" spans="1:2">
      <c r="A54" s="233">
        <v>5.4999999999999902</v>
      </c>
      <c r="B54" s="9">
        <f t="shared" si="0"/>
        <v>3.4493289641172242</v>
      </c>
    </row>
    <row r="55" spans="1:2">
      <c r="A55" s="233">
        <v>5.5999999999999899</v>
      </c>
      <c r="B55" s="9">
        <f t="shared" si="0"/>
        <v>3.4231620823177513</v>
      </c>
    </row>
    <row r="56" spans="1:2">
      <c r="A56" s="233">
        <v>5.7</v>
      </c>
      <c r="B56" s="9">
        <f t="shared" si="0"/>
        <v>3.3985190410845143</v>
      </c>
    </row>
    <row r="57" spans="1:2">
      <c r="A57" s="233">
        <v>5.7999999999999901</v>
      </c>
      <c r="B57" s="9">
        <f t="shared" si="0"/>
        <v>3.3753110988514017</v>
      </c>
    </row>
    <row r="58" spans="1:2">
      <c r="A58" s="233">
        <v>5.8999999999999897</v>
      </c>
      <c r="B58" s="9">
        <f t="shared" si="0"/>
        <v>3.3534546819587825</v>
      </c>
    </row>
    <row r="59" spans="1:2">
      <c r="A59" s="233">
        <v>5.9999999999999902</v>
      </c>
      <c r="B59" s="9">
        <f t="shared" si="0"/>
        <v>3.3328710836980817</v>
      </c>
    </row>
    <row r="60" spans="1:2">
      <c r="A60" s="233">
        <v>6.0999999999999899</v>
      </c>
      <c r="B60" s="9">
        <f t="shared" si="0"/>
        <v>3.3134861808826073</v>
      </c>
    </row>
    <row r="61" spans="1:2">
      <c r="A61" s="233">
        <v>6.1999999999999904</v>
      </c>
      <c r="B61" s="9">
        <f t="shared" si="0"/>
        <v>3.295230166924016</v>
      </c>
    </row>
    <row r="62" spans="1:2">
      <c r="A62" s="233">
        <v>6.2999999999999901</v>
      </c>
      <c r="B62" s="9">
        <f t="shared" si="0"/>
        <v>3.278037300453196</v>
      </c>
    </row>
    <row r="63" spans="1:2">
      <c r="A63" s="233">
        <v>6.3999999999999897</v>
      </c>
      <c r="B63" s="9">
        <f t="shared" si="0"/>
        <v>3.2618456685803277</v>
      </c>
    </row>
    <row r="64" spans="1:2">
      <c r="A64" s="233">
        <v>6.4999999999999902</v>
      </c>
      <c r="B64" s="9">
        <f t="shared" si="0"/>
        <v>3.2465969639416081</v>
      </c>
    </row>
    <row r="65" spans="1:2">
      <c r="A65" s="233">
        <v>6.5999999999999899</v>
      </c>
      <c r="B65" s="9">
        <f t="shared" si="0"/>
        <v>3.2322362747297602</v>
      </c>
    </row>
    <row r="66" spans="1:2">
      <c r="A66" s="233">
        <v>6.6999999999999904</v>
      </c>
      <c r="B66" s="9">
        <f t="shared" si="0"/>
        <v>3.218711886952216</v>
      </c>
    </row>
    <row r="67" spans="1:2">
      <c r="A67" s="233">
        <v>6.7999999999999901</v>
      </c>
      <c r="B67" s="9">
        <f t="shared" ref="B67:B130" si="1">EXP($E$2*A67+$F$2)+3</f>
        <v>3.2059750982048847</v>
      </c>
    </row>
    <row r="68" spans="1:2">
      <c r="A68" s="233">
        <v>6.8999999999999897</v>
      </c>
      <c r="B68" s="9">
        <f t="shared" si="1"/>
        <v>3.1939800422908933</v>
      </c>
    </row>
    <row r="69" spans="1:2">
      <c r="A69" s="233">
        <v>6.9999999999999902</v>
      </c>
      <c r="B69" s="9">
        <f t="shared" si="1"/>
        <v>3.1826835240527358</v>
      </c>
    </row>
    <row r="70" spans="1:2">
      <c r="A70" s="233">
        <v>7.0999999999999899</v>
      </c>
      <c r="B70" s="9">
        <f t="shared" si="1"/>
        <v>3.1720448638230518</v>
      </c>
    </row>
    <row r="71" spans="1:2">
      <c r="A71" s="233">
        <v>7.1999999999999904</v>
      </c>
      <c r="B71" s="9">
        <f t="shared" si="1"/>
        <v>3.1620257509338816</v>
      </c>
    </row>
    <row r="72" spans="1:2">
      <c r="A72" s="233">
        <v>7.2999999999999901</v>
      </c>
      <c r="B72" s="9">
        <f t="shared" si="1"/>
        <v>3.152590105756885</v>
      </c>
    </row>
    <row r="73" spans="1:2">
      <c r="A73" s="233">
        <v>7.3999999999999897</v>
      </c>
      <c r="B73" s="9">
        <f t="shared" si="1"/>
        <v>3.143703949777704</v>
      </c>
    </row>
    <row r="74" spans="1:2">
      <c r="A74" s="233">
        <v>7.4999999999999902</v>
      </c>
      <c r="B74" s="9">
        <f t="shared" si="1"/>
        <v>3.1353352832366137</v>
      </c>
    </row>
    <row r="75" spans="1:2">
      <c r="A75" s="233">
        <v>7.5999999999999899</v>
      </c>
      <c r="B75" s="9">
        <f t="shared" si="1"/>
        <v>3.1274539698948214</v>
      </c>
    </row>
    <row r="76" spans="1:2">
      <c r="A76" s="233">
        <v>7.6999999999999904</v>
      </c>
      <c r="B76" s="9">
        <f t="shared" si="1"/>
        <v>3.1200316285114575</v>
      </c>
    </row>
    <row r="77" spans="1:2">
      <c r="A77" s="233">
        <v>7.7999999999999901</v>
      </c>
      <c r="B77" s="9">
        <f t="shared" si="1"/>
        <v>3.1130415306404506</v>
      </c>
    </row>
    <row r="78" spans="1:2">
      <c r="A78" s="233">
        <v>7.8999999999999897</v>
      </c>
      <c r="B78" s="9">
        <f t="shared" si="1"/>
        <v>3.1064585043792534</v>
      </c>
    </row>
    <row r="79" spans="1:2">
      <c r="A79" s="233">
        <v>7.9999999999999902</v>
      </c>
      <c r="B79" s="9">
        <f t="shared" si="1"/>
        <v>3.1002588437228042</v>
      </c>
    </row>
    <row r="80" spans="1:2">
      <c r="A80" s="233">
        <v>8.0999999999999908</v>
      </c>
      <c r="B80" s="9">
        <f t="shared" si="1"/>
        <v>3.0944202231963027</v>
      </c>
    </row>
    <row r="81" spans="1:2">
      <c r="A81" s="233">
        <v>8.1999999999999904</v>
      </c>
      <c r="B81" s="9">
        <f t="shared" si="1"/>
        <v>3.0889216174593868</v>
      </c>
    </row>
    <row r="82" spans="1:2">
      <c r="A82" s="233">
        <v>8.2999999999999901</v>
      </c>
      <c r="B82" s="9">
        <f t="shared" si="1"/>
        <v>3.0837432255921966</v>
      </c>
    </row>
    <row r="83" spans="1:2">
      <c r="A83" s="233">
        <v>8.3999999999999897</v>
      </c>
      <c r="B83" s="9">
        <f t="shared" si="1"/>
        <v>3.0788663997906753</v>
      </c>
    </row>
    <row r="84" spans="1:2">
      <c r="A84" s="233">
        <v>8.4999999999999893</v>
      </c>
      <c r="B84" s="9">
        <f t="shared" si="1"/>
        <v>3.0742735782143344</v>
      </c>
    </row>
    <row r="85" spans="1:2">
      <c r="A85" s="233">
        <v>8.5999999999999908</v>
      </c>
      <c r="B85" s="9">
        <f t="shared" si="1"/>
        <v>3.0699482217446556</v>
      </c>
    </row>
    <row r="86" spans="1:2">
      <c r="A86" s="233">
        <v>8.6999999999999904</v>
      </c>
      <c r="B86" s="9">
        <f t="shared" si="1"/>
        <v>3.0658747544264031</v>
      </c>
    </row>
    <row r="87" spans="1:2">
      <c r="A87" s="233">
        <v>8.7999999999999901</v>
      </c>
      <c r="B87" s="9">
        <f t="shared" si="1"/>
        <v>3.0620385073773586</v>
      </c>
    </row>
    <row r="88" spans="1:2">
      <c r="A88" s="233">
        <v>8.8999999999999897</v>
      </c>
      <c r="B88" s="9">
        <f t="shared" si="1"/>
        <v>3.0584256659645011</v>
      </c>
    </row>
    <row r="89" spans="1:2">
      <c r="A89" s="233">
        <v>8.9999999999999893</v>
      </c>
      <c r="B89" s="9">
        <f t="shared" si="1"/>
        <v>3.0550232200564076</v>
      </c>
    </row>
    <row r="90" spans="1:2">
      <c r="A90" s="233">
        <v>9.0999999999999908</v>
      </c>
      <c r="B90" s="9">
        <f t="shared" si="1"/>
        <v>3.0518189171727261</v>
      </c>
    </row>
    <row r="91" spans="1:2">
      <c r="A91" s="233">
        <v>9.1999999999999904</v>
      </c>
      <c r="B91" s="9">
        <f t="shared" si="1"/>
        <v>3.0488012183620135</v>
      </c>
    </row>
    <row r="92" spans="1:2">
      <c r="A92" s="233">
        <v>9.2999999999999901</v>
      </c>
      <c r="B92" s="9">
        <f t="shared" si="1"/>
        <v>3.0459592566490445</v>
      </c>
    </row>
    <row r="93" spans="1:2">
      <c r="A93" s="233">
        <v>9.3999999999999897</v>
      </c>
      <c r="B93" s="9">
        <f t="shared" si="1"/>
        <v>3.0432827979019663</v>
      </c>
    </row>
    <row r="94" spans="1:2">
      <c r="A94" s="233">
        <v>9.4999999999999893</v>
      </c>
      <c r="B94" s="9">
        <f t="shared" si="1"/>
        <v>3.0407622039783666</v>
      </c>
    </row>
    <row r="95" spans="1:2">
      <c r="A95" s="233">
        <v>9.5999999999999908</v>
      </c>
      <c r="B95" s="9">
        <f t="shared" si="1"/>
        <v>3.0383883980175521</v>
      </c>
    </row>
    <row r="96" spans="1:2">
      <c r="A96" s="233">
        <v>9.6999999999999904</v>
      </c>
      <c r="B96" s="9">
        <f t="shared" si="1"/>
        <v>3.0361528317540465</v>
      </c>
    </row>
    <row r="97" spans="1:2">
      <c r="A97" s="233">
        <v>9.7999999999999901</v>
      </c>
      <c r="B97" s="9">
        <f t="shared" si="1"/>
        <v>3.0340474547345995</v>
      </c>
    </row>
    <row r="98" spans="1:2">
      <c r="A98" s="233">
        <v>9.8999999999999897</v>
      </c>
      <c r="B98" s="9">
        <f t="shared" si="1"/>
        <v>3.0320646853278608</v>
      </c>
    </row>
    <row r="99" spans="1:2">
      <c r="A99" s="233">
        <v>9.9999999999999893</v>
      </c>
      <c r="B99" s="9">
        <f t="shared" si="1"/>
        <v>3.0301973834223186</v>
      </c>
    </row>
    <row r="100" spans="1:2">
      <c r="A100" s="233">
        <v>10.1</v>
      </c>
      <c r="B100" s="9">
        <f t="shared" si="1"/>
        <v>3.0284388247141845</v>
      </c>
    </row>
    <row r="101" spans="1:2">
      <c r="A101" s="233">
        <v>10.199999999999999</v>
      </c>
      <c r="B101" s="9">
        <f t="shared" si="1"/>
        <v>3.0267826764926382</v>
      </c>
    </row>
    <row r="102" spans="1:2">
      <c r="A102" s="233">
        <v>10.3</v>
      </c>
      <c r="B102" s="9">
        <f t="shared" si="1"/>
        <v>3.0252229748352271</v>
      </c>
    </row>
    <row r="103" spans="1:2">
      <c r="A103" s="233">
        <v>10.4</v>
      </c>
      <c r="B103" s="9">
        <f t="shared" si="1"/>
        <v>3.0237541031313051</v>
      </c>
    </row>
    <row r="104" spans="1:2">
      <c r="A104" s="233">
        <v>10.5</v>
      </c>
      <c r="B104" s="9">
        <f t="shared" si="1"/>
        <v>3.0223707718561656</v>
      </c>
    </row>
    <row r="105" spans="1:2">
      <c r="A105" s="233">
        <v>10.6</v>
      </c>
      <c r="B105" s="9">
        <f t="shared" si="1"/>
        <v>3.0210679995230416</v>
      </c>
    </row>
    <row r="106" spans="1:2">
      <c r="A106" s="233">
        <v>10.7</v>
      </c>
      <c r="B106" s="9">
        <f t="shared" si="1"/>
        <v>3.0198410947443701</v>
      </c>
    </row>
    <row r="107" spans="1:2">
      <c r="A107" s="233">
        <v>10.8</v>
      </c>
      <c r="B107" s="9">
        <f t="shared" si="1"/>
        <v>3.0186856393377326</v>
      </c>
    </row>
    <row r="108" spans="1:2">
      <c r="A108" s="233">
        <v>10.9</v>
      </c>
      <c r="B108" s="9">
        <f t="shared" si="1"/>
        <v>3.0175974724156234</v>
      </c>
    </row>
    <row r="109" spans="1:2">
      <c r="A109" s="233">
        <v>11</v>
      </c>
      <c r="B109" s="9">
        <f t="shared" si="1"/>
        <v>3.0165726754017612</v>
      </c>
    </row>
    <row r="110" spans="1:2">
      <c r="A110" s="233">
        <v>11.1</v>
      </c>
      <c r="B110" s="9">
        <f t="shared" si="1"/>
        <v>3.0156075579199828</v>
      </c>
    </row>
    <row r="111" spans="1:2">
      <c r="A111" s="233">
        <v>11.2</v>
      </c>
      <c r="B111" s="9">
        <f t="shared" si="1"/>
        <v>3.014698644504902</v>
      </c>
    </row>
    <row r="112" spans="1:2">
      <c r="A112" s="233">
        <v>11.3</v>
      </c>
      <c r="B112" s="9">
        <f t="shared" si="1"/>
        <v>3.0138426620864793</v>
      </c>
    </row>
    <row r="113" spans="1:2">
      <c r="A113" s="233">
        <v>11.4</v>
      </c>
      <c r="B113" s="9">
        <f t="shared" si="1"/>
        <v>3.0130365282034379</v>
      </c>
    </row>
    <row r="114" spans="1:2">
      <c r="A114" s="233">
        <v>11.5</v>
      </c>
      <c r="B114" s="9">
        <f t="shared" si="1"/>
        <v>3.0122773399030685</v>
      </c>
    </row>
    <row r="115" spans="1:2">
      <c r="A115" s="233">
        <v>11.6</v>
      </c>
      <c r="B115" s="9">
        <f t="shared" si="1"/>
        <v>3.0115623632874686</v>
      </c>
    </row>
    <row r="116" spans="1:2">
      <c r="A116" s="233">
        <v>11.7</v>
      </c>
      <c r="B116" s="9">
        <f t="shared" si="1"/>
        <v>3.0108890236685544</v>
      </c>
    </row>
    <row r="117" spans="1:2">
      <c r="A117" s="233">
        <v>11.8</v>
      </c>
      <c r="B117" s="9">
        <f t="shared" si="1"/>
        <v>3.010254896296404</v>
      </c>
    </row>
    <row r="118" spans="1:2">
      <c r="A118" s="233">
        <v>11.9</v>
      </c>
      <c r="B118" s="9">
        <f t="shared" si="1"/>
        <v>3.0096576976275378</v>
      </c>
    </row>
    <row r="119" spans="1:2">
      <c r="A119" s="233">
        <v>12</v>
      </c>
      <c r="B119" s="9">
        <f t="shared" si="1"/>
        <v>3.0090952771016957</v>
      </c>
    </row>
    <row r="120" spans="1:2">
      <c r="A120" s="233">
        <v>12.1</v>
      </c>
      <c r="B120" s="9">
        <f t="shared" si="1"/>
        <v>3.0085656093974982</v>
      </c>
    </row>
    <row r="121" spans="1:2">
      <c r="A121" s="233">
        <v>12.2</v>
      </c>
      <c r="B121" s="9">
        <f t="shared" si="1"/>
        <v>3.0080667871390996</v>
      </c>
    </row>
    <row r="122" spans="1:2">
      <c r="A122" s="233">
        <v>12.3</v>
      </c>
      <c r="B122" s="9">
        <f t="shared" si="1"/>
        <v>3.0075970140275774</v>
      </c>
    </row>
    <row r="123" spans="1:2">
      <c r="A123" s="233">
        <v>12.4</v>
      </c>
      <c r="B123" s="9">
        <f t="shared" si="1"/>
        <v>3.0071545983723147</v>
      </c>
    </row>
    <row r="124" spans="1:2">
      <c r="A124" s="233">
        <v>12.5</v>
      </c>
      <c r="B124" s="9">
        <f t="shared" si="1"/>
        <v>3.0067379469990856</v>
      </c>
    </row>
    <row r="125" spans="1:2">
      <c r="A125" s="233">
        <v>12.6</v>
      </c>
      <c r="B125" s="9">
        <f t="shared" si="1"/>
        <v>3.0063455595129089</v>
      </c>
    </row>
    <row r="126" spans="1:2">
      <c r="A126" s="233">
        <v>12.7</v>
      </c>
      <c r="B126" s="9">
        <f t="shared" si="1"/>
        <v>3.0059760228950059</v>
      </c>
    </row>
    <row r="127" spans="1:2">
      <c r="A127" s="233">
        <v>12.8</v>
      </c>
      <c r="B127" s="9">
        <f t="shared" si="1"/>
        <v>3.0056280064144039</v>
      </c>
    </row>
    <row r="128" spans="1:2">
      <c r="A128" s="233">
        <v>12.9</v>
      </c>
      <c r="B128" s="9">
        <f t="shared" si="1"/>
        <v>3.0053002568358704</v>
      </c>
    </row>
    <row r="129" spans="1:2">
      <c r="A129" s="233">
        <v>13</v>
      </c>
      <c r="B129" s="9">
        <f t="shared" si="1"/>
        <v>3.0049915939069103</v>
      </c>
    </row>
    <row r="130" spans="1:2">
      <c r="A130" s="233">
        <v>13.1</v>
      </c>
      <c r="B130" s="9">
        <f t="shared" si="1"/>
        <v>3.0047009061075833</v>
      </c>
    </row>
    <row r="131" spans="1:2">
      <c r="A131" s="233">
        <v>13.2</v>
      </c>
      <c r="B131" s="9">
        <f t="shared" ref="B131:B149" si="2">EXP($E$2*A131+$F$2)+3</f>
        <v>3.0044271466478314</v>
      </c>
    </row>
    <row r="132" spans="1:2">
      <c r="A132" s="233">
        <v>13.3</v>
      </c>
      <c r="B132" s="9">
        <f t="shared" si="2"/>
        <v>3.0041693296979042</v>
      </c>
    </row>
    <row r="133" spans="1:2">
      <c r="A133" s="233">
        <v>13.4</v>
      </c>
      <c r="B133" s="9">
        <f t="shared" si="2"/>
        <v>3.0039265268383057</v>
      </c>
    </row>
    <row r="134" spans="1:2">
      <c r="A134" s="233">
        <v>13.5</v>
      </c>
      <c r="B134" s="9">
        <f t="shared" si="2"/>
        <v>3.0036978637164831</v>
      </c>
    </row>
    <row r="135" spans="1:2">
      <c r="A135" s="233">
        <v>13.6</v>
      </c>
      <c r="B135" s="9">
        <f t="shared" si="2"/>
        <v>3.0034825168982118</v>
      </c>
    </row>
    <row r="136" spans="1:2">
      <c r="A136" s="233">
        <v>13.7</v>
      </c>
      <c r="B136" s="9">
        <f t="shared" si="2"/>
        <v>3.0032797109023437</v>
      </c>
    </row>
    <row r="137" spans="1:2">
      <c r="A137" s="233">
        <v>13.8</v>
      </c>
      <c r="B137" s="9">
        <f t="shared" si="2"/>
        <v>3.0030887154082366</v>
      </c>
    </row>
    <row r="138" spans="1:2">
      <c r="A138" s="233">
        <v>13.9</v>
      </c>
      <c r="B138" s="9">
        <f t="shared" si="2"/>
        <v>3.0029088426258124</v>
      </c>
    </row>
    <row r="139" spans="1:2">
      <c r="A139" s="233">
        <v>14</v>
      </c>
      <c r="B139" s="9">
        <f t="shared" si="2"/>
        <v>3.0027394448187685</v>
      </c>
    </row>
    <row r="140" spans="1:2">
      <c r="A140" s="233">
        <v>14.1</v>
      </c>
      <c r="B140" s="9">
        <f t="shared" si="2"/>
        <v>3.0025799119720271</v>
      </c>
    </row>
    <row r="141" spans="1:2">
      <c r="A141" s="233">
        <v>14.2</v>
      </c>
      <c r="B141" s="9">
        <f t="shared" si="2"/>
        <v>3.0024296695950246</v>
      </c>
    </row>
    <row r="142" spans="1:2">
      <c r="A142" s="233">
        <v>14.3</v>
      </c>
      <c r="B142" s="9">
        <f t="shared" si="2"/>
        <v>3.0022881766529221</v>
      </c>
    </row>
    <row r="143" spans="1:2">
      <c r="A143" s="233">
        <v>14.4</v>
      </c>
      <c r="B143" s="9">
        <f t="shared" si="2"/>
        <v>3.0021549236182978</v>
      </c>
    </row>
    <row r="144" spans="1:2">
      <c r="A144" s="233">
        <v>14.5</v>
      </c>
      <c r="B144" s="9">
        <f t="shared" si="2"/>
        <v>3.0020294306362958</v>
      </c>
    </row>
    <row r="145" spans="1:2">
      <c r="A145" s="233">
        <v>14.6</v>
      </c>
      <c r="B145" s="9">
        <f t="shared" si="2"/>
        <v>3.0019112457966326</v>
      </c>
    </row>
    <row r="146" spans="1:2">
      <c r="A146" s="233">
        <v>14.7</v>
      </c>
      <c r="B146" s="9">
        <f t="shared" si="2"/>
        <v>3.0017999435062306</v>
      </c>
    </row>
    <row r="147" spans="1:2">
      <c r="A147" s="233">
        <v>14.8</v>
      </c>
      <c r="B147" s="9">
        <f t="shared" si="2"/>
        <v>3.0016951229566233</v>
      </c>
    </row>
    <row r="148" spans="1:2">
      <c r="A148" s="233">
        <v>14.9</v>
      </c>
      <c r="B148" s="9">
        <f t="shared" si="2"/>
        <v>3.0015964066806124</v>
      </c>
    </row>
    <row r="149" spans="1:2">
      <c r="A149" s="233">
        <v>15</v>
      </c>
      <c r="B149" s="9">
        <f t="shared" si="2"/>
        <v>3.0015034391929776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1AF8-F181-5045-8344-E47628CACC54}">
  <sheetPr codeName="Sheet26"/>
  <dimension ref="A1:R37"/>
  <sheetViews>
    <sheetView zoomScale="112" workbookViewId="0">
      <selection activeCell="B5" sqref="B5:R30"/>
    </sheetView>
  </sheetViews>
  <sheetFormatPr baseColWidth="10" defaultRowHeight="15"/>
  <cols>
    <col min="1" max="1" width="5.6640625" style="236" customWidth="1"/>
    <col min="2" max="4" width="10.83203125" style="236"/>
    <col min="5" max="5" width="18.83203125" style="236" customWidth="1"/>
    <col min="6" max="6" width="14.1640625" style="236" customWidth="1"/>
    <col min="7" max="7" width="15.1640625" style="236" customWidth="1"/>
    <col min="8" max="14" width="10.83203125" style="236"/>
    <col min="15" max="15" width="15.83203125" style="236" customWidth="1"/>
    <col min="16" max="16" width="14.1640625" style="236" customWidth="1"/>
    <col min="17" max="17" width="10.83203125" style="236"/>
    <col min="18" max="18" width="14.83203125" style="236" customWidth="1"/>
    <col min="19" max="16384" width="10.83203125" style="236"/>
  </cols>
  <sheetData>
    <row r="1" spans="1:18">
      <c r="A1" s="419"/>
      <c r="B1" s="421" t="s">
        <v>951</v>
      </c>
      <c r="C1" s="422"/>
      <c r="D1" s="422"/>
      <c r="E1" s="422"/>
      <c r="F1" s="422"/>
      <c r="G1" s="422"/>
      <c r="H1" s="423"/>
      <c r="I1" s="421" t="s">
        <v>952</v>
      </c>
      <c r="J1" s="422"/>
      <c r="K1" s="422"/>
      <c r="L1" s="422"/>
      <c r="M1" s="422"/>
      <c r="N1" s="422"/>
      <c r="O1" s="422"/>
      <c r="P1" s="422"/>
      <c r="Q1" s="422"/>
      <c r="R1" s="423"/>
    </row>
    <row r="2" spans="1:18" ht="16" thickBot="1">
      <c r="A2" s="420"/>
      <c r="B2" s="424"/>
      <c r="C2" s="425"/>
      <c r="D2" s="425"/>
      <c r="E2" s="425"/>
      <c r="F2" s="425"/>
      <c r="G2" s="425"/>
      <c r="H2" s="426"/>
      <c r="I2" s="424"/>
      <c r="J2" s="425"/>
      <c r="K2" s="425"/>
      <c r="L2" s="425"/>
      <c r="M2" s="425"/>
      <c r="N2" s="425"/>
      <c r="O2" s="425"/>
      <c r="P2" s="425"/>
      <c r="Q2" s="425"/>
      <c r="R2" s="426"/>
    </row>
    <row r="3" spans="1:18" ht="36">
      <c r="A3" s="237"/>
      <c r="B3" s="238" t="s">
        <v>573</v>
      </c>
      <c r="C3" s="427" t="s">
        <v>946</v>
      </c>
      <c r="D3" s="428"/>
      <c r="E3" s="429"/>
      <c r="F3" s="239" t="s">
        <v>947</v>
      </c>
      <c r="G3" s="240" t="s">
        <v>953</v>
      </c>
      <c r="H3" s="240" t="s">
        <v>954</v>
      </c>
      <c r="I3" s="241" t="s">
        <v>955</v>
      </c>
      <c r="J3" s="241" t="s">
        <v>956</v>
      </c>
      <c r="K3" s="241" t="s">
        <v>957</v>
      </c>
      <c r="L3" s="241" t="s">
        <v>958</v>
      </c>
      <c r="M3" s="241" t="s">
        <v>959</v>
      </c>
      <c r="N3" s="241" t="s">
        <v>960</v>
      </c>
      <c r="O3" s="241" t="s">
        <v>961</v>
      </c>
      <c r="P3" s="241" t="s">
        <v>962</v>
      </c>
      <c r="Q3" s="241" t="s">
        <v>963</v>
      </c>
      <c r="R3" s="241" t="s">
        <v>964</v>
      </c>
    </row>
    <row r="4" spans="1:18" ht="19">
      <c r="A4" s="237"/>
      <c r="B4" s="242"/>
      <c r="C4" s="243" t="s">
        <v>965</v>
      </c>
      <c r="D4" s="244" t="s">
        <v>966</v>
      </c>
      <c r="E4" s="243" t="s">
        <v>967</v>
      </c>
      <c r="F4" s="244"/>
      <c r="G4" s="245"/>
      <c r="H4" s="245"/>
      <c r="I4" s="246">
        <v>0.2</v>
      </c>
      <c r="J4" s="246">
        <v>0.2</v>
      </c>
      <c r="K4" s="246">
        <v>0.18</v>
      </c>
      <c r="L4" s="246">
        <v>0.13</v>
      </c>
      <c r="M4" s="245"/>
      <c r="N4" s="245"/>
      <c r="O4" s="245"/>
      <c r="P4" s="245"/>
      <c r="Q4" s="245"/>
      <c r="R4" s="245"/>
    </row>
    <row r="5" spans="1:18">
      <c r="A5" s="247">
        <f>ROW()-4</f>
        <v>1</v>
      </c>
      <c r="B5" s="248" t="str">
        <f>'S24 Required # of Machines'!A2</f>
        <v>WS-02</v>
      </c>
      <c r="C5" s="249">
        <f>VLOOKUP($B5, 'S11 Work Stations'!$A$2:$F$45, COLUMN(C5)+2, 0)/1000</f>
        <v>2</v>
      </c>
      <c r="D5" s="249">
        <f>VLOOKUP($B5, 'S11 Work Stations'!$A$2:$F$45, COLUMN(D5)+2, 0)/1000</f>
        <v>1.2</v>
      </c>
      <c r="E5" s="249">
        <f>C5*D5</f>
        <v>2.4</v>
      </c>
      <c r="F5" s="249">
        <f>IF(B5="WS-42", 1, IF(B5="WS-43", 1, IF(B5="WS-44", 1, ROUND(VLOOKUP(E5, 'S25 Space Coefficient'!$A$2:$B$149, 2, 1), 2))))</f>
        <v>5.89</v>
      </c>
      <c r="G5" s="250">
        <f>E5*F5</f>
        <v>14.135999999999999</v>
      </c>
      <c r="H5" s="251">
        <f>VLOOKUP(B5, 'S24 Required # of Machines'!$A$2:$D$27, 4, 0)</f>
        <v>21</v>
      </c>
      <c r="I5" s="258">
        <f>IF($F5=1, 0, I$4*$G5)</f>
        <v>2.8271999999999999</v>
      </c>
      <c r="J5" s="258">
        <f t="shared" ref="J5:L5" si="0">IF($F5=1, 0, J$4*$G5)</f>
        <v>2.8271999999999999</v>
      </c>
      <c r="K5" s="258">
        <f t="shared" si="0"/>
        <v>2.5444799999999996</v>
      </c>
      <c r="L5" s="258">
        <f t="shared" si="0"/>
        <v>1.83768</v>
      </c>
      <c r="M5" s="259"/>
      <c r="N5" s="259"/>
      <c r="O5" s="259"/>
      <c r="P5" s="259"/>
      <c r="Q5" s="259"/>
      <c r="R5" s="260">
        <f>(G5+I5+J5+K5+L5)*H5</f>
        <v>507.62376</v>
      </c>
    </row>
    <row r="6" spans="1:18">
      <c r="A6" s="247">
        <f t="shared" ref="A6:A30" si="1">ROW()-4</f>
        <v>2</v>
      </c>
      <c r="B6" s="248" t="str">
        <f>'S24 Required # of Machines'!A3</f>
        <v>WS-03</v>
      </c>
      <c r="C6" s="249">
        <f>VLOOKUP($B6, 'S11 Work Stations'!$A$2:$F$45, COLUMN(C6)+2, 0)/1000</f>
        <v>2.5</v>
      </c>
      <c r="D6" s="249">
        <f>VLOOKUP($B6, 'S11 Work Stations'!$A$2:$F$45, COLUMN(D6)+2, 0)/1000</f>
        <v>1</v>
      </c>
      <c r="E6" s="249">
        <f t="shared" ref="E6:E30" si="2">C6*D6</f>
        <v>2.5</v>
      </c>
      <c r="F6" s="249">
        <f>IF(B6="WS-42", 1, IF(B6="WS-43", 1, IF(B6="WS-44", 1, ROUND(VLOOKUP(E6, 'S25 Space Coefficient'!$A$2:$B$149, 2, 1), 2))))</f>
        <v>5.72</v>
      </c>
      <c r="G6" s="250">
        <f t="shared" ref="G6:G30" si="3">E6*F6</f>
        <v>14.299999999999999</v>
      </c>
      <c r="H6" s="251">
        <f>VLOOKUP(B6, 'S24 Required # of Machines'!$A$2:$D$27, 4, 0)</f>
        <v>6</v>
      </c>
      <c r="I6" s="258">
        <f t="shared" ref="I6:L30" si="4">IF($F6=1, 0, I$4*$G6)</f>
        <v>2.86</v>
      </c>
      <c r="J6" s="258">
        <f t="shared" si="4"/>
        <v>2.86</v>
      </c>
      <c r="K6" s="258">
        <f t="shared" si="4"/>
        <v>2.5739999999999998</v>
      </c>
      <c r="L6" s="258">
        <f t="shared" si="4"/>
        <v>1.859</v>
      </c>
      <c r="M6" s="259"/>
      <c r="N6" s="259"/>
      <c r="O6" s="259"/>
      <c r="P6" s="259"/>
      <c r="Q6" s="259"/>
      <c r="R6" s="260">
        <f t="shared" ref="R6:R30" si="5">(G6+I6+J6+K6+L6)*H6</f>
        <v>146.71800000000002</v>
      </c>
    </row>
    <row r="7" spans="1:18">
      <c r="A7" s="247">
        <f t="shared" si="1"/>
        <v>3</v>
      </c>
      <c r="B7" s="248" t="str">
        <f>'S24 Required # of Machines'!A4</f>
        <v>WS-04</v>
      </c>
      <c r="C7" s="249">
        <f>VLOOKUP($B7, 'S11 Work Stations'!$A$2:$F$45, COLUMN(C7)+2, 0)/1000</f>
        <v>3</v>
      </c>
      <c r="D7" s="249">
        <f>VLOOKUP($B7, 'S11 Work Stations'!$A$2:$F$45, COLUMN(D7)+2, 0)/1000</f>
        <v>1.2</v>
      </c>
      <c r="E7" s="249">
        <f t="shared" si="2"/>
        <v>3.5999999999999996</v>
      </c>
      <c r="F7" s="249">
        <f>IF(B7="WS-42", 1, IF(B7="WS-43", 1, IF(B7="WS-44", 1, ROUND(VLOOKUP(E7, 'S25 Space Coefficient'!$A$2:$B$149, 2, 1), 2))))</f>
        <v>4.49</v>
      </c>
      <c r="G7" s="250">
        <f t="shared" si="3"/>
        <v>16.163999999999998</v>
      </c>
      <c r="H7" s="251">
        <f>VLOOKUP(B7, 'S24 Required # of Machines'!$A$2:$D$27, 4, 0)</f>
        <v>4</v>
      </c>
      <c r="I7" s="258">
        <f t="shared" si="4"/>
        <v>3.2327999999999997</v>
      </c>
      <c r="J7" s="258">
        <f t="shared" si="4"/>
        <v>3.2327999999999997</v>
      </c>
      <c r="K7" s="258">
        <f t="shared" si="4"/>
        <v>2.9095199999999997</v>
      </c>
      <c r="L7" s="258">
        <f t="shared" si="4"/>
        <v>2.1013199999999999</v>
      </c>
      <c r="M7" s="259"/>
      <c r="N7" s="259"/>
      <c r="O7" s="259"/>
      <c r="P7" s="259"/>
      <c r="Q7" s="259"/>
      <c r="R7" s="260">
        <f t="shared" si="5"/>
        <v>110.56176000000001</v>
      </c>
    </row>
    <row r="8" spans="1:18">
      <c r="A8" s="247">
        <f t="shared" si="1"/>
        <v>4</v>
      </c>
      <c r="B8" s="248" t="str">
        <f>'S24 Required # of Machines'!A5</f>
        <v>WS-05</v>
      </c>
      <c r="C8" s="249">
        <f>VLOOKUP($B8, 'S11 Work Stations'!$A$2:$F$45, COLUMN(C8)+2, 0)/1000</f>
        <v>2.2000000000000002</v>
      </c>
      <c r="D8" s="249">
        <f>VLOOKUP($B8, 'S11 Work Stations'!$A$2:$F$45, COLUMN(D8)+2, 0)/1000</f>
        <v>1.4</v>
      </c>
      <c r="E8" s="249">
        <f t="shared" si="2"/>
        <v>3.08</v>
      </c>
      <c r="F8" s="249">
        <f>IF(B8="WS-42", 1, IF(B8="WS-43", 1, IF(B8="WS-44", 1, ROUND(VLOOKUP(E8, 'S25 Space Coefficient'!$A$2:$B$149, 2, 1), 2))))</f>
        <v>5.01</v>
      </c>
      <c r="G8" s="250">
        <f t="shared" si="3"/>
        <v>15.4308</v>
      </c>
      <c r="H8" s="251">
        <f>VLOOKUP(B8, 'S24 Required # of Machines'!$A$2:$D$27, 4, 0)</f>
        <v>42</v>
      </c>
      <c r="I8" s="258">
        <f t="shared" si="4"/>
        <v>3.08616</v>
      </c>
      <c r="J8" s="258">
        <f t="shared" si="4"/>
        <v>3.08616</v>
      </c>
      <c r="K8" s="258">
        <f t="shared" si="4"/>
        <v>2.7775439999999998</v>
      </c>
      <c r="L8" s="258">
        <f t="shared" si="4"/>
        <v>2.0060039999999999</v>
      </c>
      <c r="M8" s="259"/>
      <c r="N8" s="259"/>
      <c r="O8" s="259"/>
      <c r="P8" s="259"/>
      <c r="Q8" s="259"/>
      <c r="R8" s="260">
        <f t="shared" si="5"/>
        <v>1108.2400560000001</v>
      </c>
    </row>
    <row r="9" spans="1:18">
      <c r="A9" s="247">
        <f t="shared" si="1"/>
        <v>5</v>
      </c>
      <c r="B9" s="248" t="str">
        <f>'S24 Required # of Machines'!A6</f>
        <v>WS-07</v>
      </c>
      <c r="C9" s="249">
        <f>VLOOKUP($B9, 'S11 Work Stations'!$A$2:$F$45, COLUMN(C9)+2, 0)/1000</f>
        <v>2.6</v>
      </c>
      <c r="D9" s="249">
        <f>VLOOKUP($B9, 'S11 Work Stations'!$A$2:$F$45, COLUMN(D9)+2, 0)/1000</f>
        <v>1.5</v>
      </c>
      <c r="E9" s="249">
        <f t="shared" si="2"/>
        <v>3.9000000000000004</v>
      </c>
      <c r="F9" s="249">
        <f>IF(B9="WS-42", 1, IF(B9="WS-43", 1, IF(B9="WS-44", 1, ROUND(VLOOKUP(E9, 'S25 Space Coefficient'!$A$2:$B$149, 2, 1), 2))))</f>
        <v>4.17</v>
      </c>
      <c r="G9" s="250">
        <f t="shared" si="3"/>
        <v>16.263000000000002</v>
      </c>
      <c r="H9" s="251">
        <f>VLOOKUP(B9, 'S24 Required # of Machines'!$A$2:$D$27, 4, 0)</f>
        <v>25</v>
      </c>
      <c r="I9" s="258">
        <f t="shared" si="4"/>
        <v>3.2526000000000006</v>
      </c>
      <c r="J9" s="258">
        <f t="shared" si="4"/>
        <v>3.2526000000000006</v>
      </c>
      <c r="K9" s="258">
        <f t="shared" si="4"/>
        <v>2.9273400000000001</v>
      </c>
      <c r="L9" s="258">
        <f t="shared" si="4"/>
        <v>2.1141900000000002</v>
      </c>
      <c r="M9" s="259"/>
      <c r="N9" s="259"/>
      <c r="O9" s="259"/>
      <c r="P9" s="259"/>
      <c r="Q9" s="259"/>
      <c r="R9" s="260">
        <f t="shared" si="5"/>
        <v>695.2432500000001</v>
      </c>
    </row>
    <row r="10" spans="1:18">
      <c r="A10" s="247">
        <f t="shared" si="1"/>
        <v>6</v>
      </c>
      <c r="B10" s="248" t="str">
        <f>'S24 Required # of Machines'!A7</f>
        <v>WS-08</v>
      </c>
      <c r="C10" s="249">
        <f>VLOOKUP($B10, 'S11 Work Stations'!$A$2:$F$45, COLUMN(C10)+2, 0)/1000</f>
        <v>2</v>
      </c>
      <c r="D10" s="249">
        <f>VLOOKUP($B10, 'S11 Work Stations'!$A$2:$F$45, COLUMN(D10)+2, 0)/1000</f>
        <v>0.9</v>
      </c>
      <c r="E10" s="249">
        <f t="shared" si="2"/>
        <v>1.8</v>
      </c>
      <c r="F10" s="249">
        <f>IF(B10="WS-42", 1, IF(B10="WS-43", 1, IF(B10="WS-44", 1, ROUND(VLOOKUP(E10, 'S25 Space Coefficient'!$A$2:$B$149, 2, 1), 2))))</f>
        <v>7.14</v>
      </c>
      <c r="G10" s="250">
        <f t="shared" si="3"/>
        <v>12.852</v>
      </c>
      <c r="H10" s="251">
        <f>VLOOKUP(B10, 'S24 Required # of Machines'!$A$2:$D$27, 4, 0)</f>
        <v>9</v>
      </c>
      <c r="I10" s="258">
        <f t="shared" si="4"/>
        <v>2.5704000000000002</v>
      </c>
      <c r="J10" s="258">
        <f t="shared" si="4"/>
        <v>2.5704000000000002</v>
      </c>
      <c r="K10" s="258">
        <f t="shared" si="4"/>
        <v>2.3133599999999999</v>
      </c>
      <c r="L10" s="258">
        <f t="shared" si="4"/>
        <v>1.67076</v>
      </c>
      <c r="M10" s="259"/>
      <c r="N10" s="259"/>
      <c r="O10" s="259"/>
      <c r="P10" s="259"/>
      <c r="Q10" s="259"/>
      <c r="R10" s="260">
        <f t="shared" si="5"/>
        <v>197.79228000000001</v>
      </c>
    </row>
    <row r="11" spans="1:18">
      <c r="A11" s="247">
        <f t="shared" si="1"/>
        <v>7</v>
      </c>
      <c r="B11" s="248" t="str">
        <f>'S24 Required # of Machines'!A8</f>
        <v>WS-18</v>
      </c>
      <c r="C11" s="249">
        <f>VLOOKUP($B11, 'S11 Work Stations'!$A$2:$F$45, COLUMN(C11)+2, 0)/1000</f>
        <v>2.4</v>
      </c>
      <c r="D11" s="249">
        <f>VLOOKUP($B11, 'S11 Work Stations'!$A$2:$F$45, COLUMN(D11)+2, 0)/1000</f>
        <v>1.6</v>
      </c>
      <c r="E11" s="249">
        <f t="shared" si="2"/>
        <v>3.84</v>
      </c>
      <c r="F11" s="249">
        <f>IF(B11="WS-42", 1, IF(B11="WS-43", 1, IF(B11="WS-44", 1, ROUND(VLOOKUP(E11, 'S25 Space Coefficient'!$A$2:$B$149, 2, 1), 2))))</f>
        <v>4.25</v>
      </c>
      <c r="G11" s="250">
        <f t="shared" si="3"/>
        <v>16.32</v>
      </c>
      <c r="H11" s="251">
        <f>VLOOKUP(B11, 'S24 Required # of Machines'!$A$2:$D$27, 4, 0)</f>
        <v>23</v>
      </c>
      <c r="I11" s="258">
        <f t="shared" si="4"/>
        <v>3.2640000000000002</v>
      </c>
      <c r="J11" s="258">
        <f t="shared" si="4"/>
        <v>3.2640000000000002</v>
      </c>
      <c r="K11" s="258">
        <f t="shared" si="4"/>
        <v>2.9375999999999998</v>
      </c>
      <c r="L11" s="258">
        <f t="shared" si="4"/>
        <v>2.1215999999999999</v>
      </c>
      <c r="M11" s="259"/>
      <c r="N11" s="259"/>
      <c r="O11" s="259"/>
      <c r="P11" s="259"/>
      <c r="Q11" s="259"/>
      <c r="R11" s="260">
        <f t="shared" si="5"/>
        <v>641.86559999999997</v>
      </c>
    </row>
    <row r="12" spans="1:18">
      <c r="A12" s="247">
        <f t="shared" si="1"/>
        <v>8</v>
      </c>
      <c r="B12" s="248" t="str">
        <f>'S24 Required # of Machines'!A9</f>
        <v>WS-20</v>
      </c>
      <c r="C12" s="249">
        <f>VLOOKUP($B12, 'S11 Work Stations'!$A$2:$F$45, COLUMN(C12)+2, 0)/1000</f>
        <v>3</v>
      </c>
      <c r="D12" s="249">
        <f>VLOOKUP($B12, 'S11 Work Stations'!$A$2:$F$45, COLUMN(D12)+2, 0)/1000</f>
        <v>2.5</v>
      </c>
      <c r="E12" s="249">
        <f t="shared" si="2"/>
        <v>7.5</v>
      </c>
      <c r="F12" s="249">
        <f>IF(B12="WS-42", 1, IF(B12="WS-43", 1, IF(B12="WS-44", 1, ROUND(VLOOKUP(E12, 'S25 Space Coefficient'!$A$2:$B$149, 2, 1), 2))))</f>
        <v>3.14</v>
      </c>
      <c r="G12" s="250">
        <f t="shared" si="3"/>
        <v>23.55</v>
      </c>
      <c r="H12" s="251">
        <f>VLOOKUP(B12, 'S24 Required # of Machines'!$A$2:$D$27, 4, 0)</f>
        <v>13</v>
      </c>
      <c r="I12" s="258">
        <f t="shared" si="4"/>
        <v>4.71</v>
      </c>
      <c r="J12" s="258">
        <f t="shared" si="4"/>
        <v>4.71</v>
      </c>
      <c r="K12" s="258">
        <f t="shared" si="4"/>
        <v>4.2389999999999999</v>
      </c>
      <c r="L12" s="258">
        <f t="shared" si="4"/>
        <v>3.0615000000000001</v>
      </c>
      <c r="M12" s="259"/>
      <c r="N12" s="259"/>
      <c r="O12" s="259"/>
      <c r="P12" s="259"/>
      <c r="Q12" s="259"/>
      <c r="R12" s="260">
        <f t="shared" si="5"/>
        <v>523.51649999999995</v>
      </c>
    </row>
    <row r="13" spans="1:18">
      <c r="A13" s="247">
        <f t="shared" si="1"/>
        <v>9</v>
      </c>
      <c r="B13" s="248" t="str">
        <f>'S24 Required # of Machines'!A10</f>
        <v>WS-21</v>
      </c>
      <c r="C13" s="249">
        <f>VLOOKUP($B13, 'S11 Work Stations'!$A$2:$F$45, COLUMN(C13)+2, 0)/1000</f>
        <v>3.5</v>
      </c>
      <c r="D13" s="249">
        <f>VLOOKUP($B13, 'S11 Work Stations'!$A$2:$F$45, COLUMN(D13)+2, 0)/1000</f>
        <v>2.6</v>
      </c>
      <c r="E13" s="249">
        <f t="shared" si="2"/>
        <v>9.1</v>
      </c>
      <c r="F13" s="249">
        <f>IF(B13="WS-42", 1, IF(B13="WS-43", 1, IF(B13="WS-44", 1, ROUND(VLOOKUP(E13, 'S25 Space Coefficient'!$A$2:$B$149, 2, 1), 2))))</f>
        <v>3.05</v>
      </c>
      <c r="G13" s="250">
        <f t="shared" si="3"/>
        <v>27.754999999999999</v>
      </c>
      <c r="H13" s="251">
        <f>VLOOKUP(B13, 'S24 Required # of Machines'!$A$2:$D$27, 4, 0)</f>
        <v>9</v>
      </c>
      <c r="I13" s="258">
        <f t="shared" si="4"/>
        <v>5.5510000000000002</v>
      </c>
      <c r="J13" s="258">
        <f t="shared" si="4"/>
        <v>5.5510000000000002</v>
      </c>
      <c r="K13" s="258">
        <f t="shared" si="4"/>
        <v>4.9958999999999998</v>
      </c>
      <c r="L13" s="258">
        <f t="shared" si="4"/>
        <v>3.6081500000000002</v>
      </c>
      <c r="M13" s="259"/>
      <c r="N13" s="259"/>
      <c r="O13" s="259"/>
      <c r="P13" s="259"/>
      <c r="Q13" s="259"/>
      <c r="R13" s="260">
        <f t="shared" si="5"/>
        <v>427.14945</v>
      </c>
    </row>
    <row r="14" spans="1:18">
      <c r="A14" s="247">
        <f t="shared" si="1"/>
        <v>10</v>
      </c>
      <c r="B14" s="248" t="str">
        <f>'S24 Required # of Machines'!A11</f>
        <v>WS-23</v>
      </c>
      <c r="C14" s="249">
        <f>VLOOKUP($B14, 'S11 Work Stations'!$A$2:$F$45, COLUMN(C14)+2, 0)/1000</f>
        <v>2.8</v>
      </c>
      <c r="D14" s="249">
        <f>VLOOKUP($B14, 'S11 Work Stations'!$A$2:$F$45, COLUMN(D14)+2, 0)/1000</f>
        <v>2</v>
      </c>
      <c r="E14" s="249">
        <f t="shared" si="2"/>
        <v>5.6</v>
      </c>
      <c r="F14" s="249">
        <f>IF(B14="WS-42", 1, IF(B14="WS-43", 1, IF(B14="WS-44", 1, ROUND(VLOOKUP(E14, 'S25 Space Coefficient'!$A$2:$B$149, 2, 1), 2))))</f>
        <v>3.42</v>
      </c>
      <c r="G14" s="250">
        <f t="shared" si="3"/>
        <v>19.151999999999997</v>
      </c>
      <c r="H14" s="251">
        <f>VLOOKUP(B14, 'S24 Required # of Machines'!$A$2:$D$27, 4, 0)</f>
        <v>7</v>
      </c>
      <c r="I14" s="258">
        <f t="shared" si="4"/>
        <v>3.8303999999999996</v>
      </c>
      <c r="J14" s="258">
        <f t="shared" si="4"/>
        <v>3.8303999999999996</v>
      </c>
      <c r="K14" s="258">
        <f t="shared" si="4"/>
        <v>3.4473599999999993</v>
      </c>
      <c r="L14" s="258">
        <f t="shared" si="4"/>
        <v>2.48976</v>
      </c>
      <c r="M14" s="259"/>
      <c r="N14" s="259"/>
      <c r="O14" s="259"/>
      <c r="P14" s="259"/>
      <c r="Q14" s="259"/>
      <c r="R14" s="260">
        <f t="shared" si="5"/>
        <v>229.24943999999996</v>
      </c>
    </row>
    <row r="15" spans="1:18">
      <c r="A15" s="247">
        <f t="shared" si="1"/>
        <v>11</v>
      </c>
      <c r="B15" s="248" t="str">
        <f>'S24 Required # of Machines'!A12</f>
        <v>WS-24</v>
      </c>
      <c r="C15" s="249">
        <f>VLOOKUP($B15, 'S11 Work Stations'!$A$2:$F$45, COLUMN(C15)+2, 0)/1000</f>
        <v>3</v>
      </c>
      <c r="D15" s="249">
        <f>VLOOKUP($B15, 'S11 Work Stations'!$A$2:$F$45, COLUMN(D15)+2, 0)/1000</f>
        <v>2.5</v>
      </c>
      <c r="E15" s="249">
        <f t="shared" si="2"/>
        <v>7.5</v>
      </c>
      <c r="F15" s="249">
        <f>IF(B15="WS-42", 1, IF(B15="WS-43", 1, IF(B15="WS-44", 1, ROUND(VLOOKUP(E15, 'S25 Space Coefficient'!$A$2:$B$149, 2, 1), 2))))</f>
        <v>3.14</v>
      </c>
      <c r="G15" s="250">
        <f t="shared" si="3"/>
        <v>23.55</v>
      </c>
      <c r="H15" s="251">
        <f>VLOOKUP(B15, 'S24 Required # of Machines'!$A$2:$D$27, 4, 0)</f>
        <v>18</v>
      </c>
      <c r="I15" s="258">
        <f t="shared" si="4"/>
        <v>4.71</v>
      </c>
      <c r="J15" s="258">
        <f t="shared" si="4"/>
        <v>4.71</v>
      </c>
      <c r="K15" s="258">
        <f t="shared" si="4"/>
        <v>4.2389999999999999</v>
      </c>
      <c r="L15" s="258">
        <f t="shared" si="4"/>
        <v>3.0615000000000001</v>
      </c>
      <c r="M15" s="259"/>
      <c r="N15" s="259"/>
      <c r="O15" s="259"/>
      <c r="P15" s="259"/>
      <c r="Q15" s="259"/>
      <c r="R15" s="260">
        <f t="shared" si="5"/>
        <v>724.86899999999991</v>
      </c>
    </row>
    <row r="16" spans="1:18">
      <c r="A16" s="247">
        <f t="shared" si="1"/>
        <v>12</v>
      </c>
      <c r="B16" s="248" t="str">
        <f>'S24 Required # of Machines'!A13</f>
        <v>WS-25</v>
      </c>
      <c r="C16" s="249">
        <f>VLOOKUP($B16, 'S11 Work Stations'!$A$2:$F$45, COLUMN(C16)+2, 0)/1000</f>
        <v>2</v>
      </c>
      <c r="D16" s="249">
        <f>VLOOKUP($B16, 'S11 Work Stations'!$A$2:$F$45, COLUMN(D16)+2, 0)/1000</f>
        <v>2</v>
      </c>
      <c r="E16" s="249">
        <f t="shared" si="2"/>
        <v>4</v>
      </c>
      <c r="F16" s="249">
        <f>IF(B16="WS-42", 1, IF(B16="WS-43", 1, IF(B16="WS-44", 1, ROUND(VLOOKUP(E16, 'S25 Space Coefficient'!$A$2:$B$149, 2, 1), 2))))</f>
        <v>4.1100000000000003</v>
      </c>
      <c r="G16" s="250">
        <f t="shared" si="3"/>
        <v>16.440000000000001</v>
      </c>
      <c r="H16" s="251">
        <f>VLOOKUP(B16, 'S24 Required # of Machines'!$A$2:$D$27, 4, 0)</f>
        <v>27</v>
      </c>
      <c r="I16" s="258">
        <f t="shared" si="4"/>
        <v>3.2880000000000003</v>
      </c>
      <c r="J16" s="258">
        <f t="shared" si="4"/>
        <v>3.2880000000000003</v>
      </c>
      <c r="K16" s="258">
        <f t="shared" si="4"/>
        <v>2.9592000000000001</v>
      </c>
      <c r="L16" s="258">
        <f t="shared" si="4"/>
        <v>2.1372000000000004</v>
      </c>
      <c r="M16" s="259"/>
      <c r="N16" s="259"/>
      <c r="O16" s="259"/>
      <c r="P16" s="259"/>
      <c r="Q16" s="259"/>
      <c r="R16" s="260">
        <f t="shared" si="5"/>
        <v>759.03480000000002</v>
      </c>
    </row>
    <row r="17" spans="1:18">
      <c r="A17" s="247">
        <f t="shared" si="1"/>
        <v>13</v>
      </c>
      <c r="B17" s="248" t="str">
        <f>'S24 Required # of Machines'!A14</f>
        <v>WS-26</v>
      </c>
      <c r="C17" s="249">
        <f>VLOOKUP($B17, 'S11 Work Stations'!$A$2:$F$45, COLUMN(C17)+2, 0)/1000</f>
        <v>1.8</v>
      </c>
      <c r="D17" s="249">
        <f>VLOOKUP($B17, 'S11 Work Stations'!$A$2:$F$45, COLUMN(D17)+2, 0)/1000</f>
        <v>1.5</v>
      </c>
      <c r="E17" s="249">
        <f t="shared" si="2"/>
        <v>2.7</v>
      </c>
      <c r="F17" s="249">
        <f>IF(B17="WS-42", 1, IF(B17="WS-43", 1, IF(B17="WS-44", 1, ROUND(VLOOKUP(E17, 'S25 Space Coefficient'!$A$2:$B$149, 2, 1), 2))))</f>
        <v>5.41</v>
      </c>
      <c r="G17" s="250">
        <f t="shared" si="3"/>
        <v>14.607000000000001</v>
      </c>
      <c r="H17" s="251">
        <f>VLOOKUP(B17, 'S24 Required # of Machines'!$A$2:$D$27, 4, 0)</f>
        <v>4</v>
      </c>
      <c r="I17" s="258">
        <f t="shared" si="4"/>
        <v>2.9214000000000002</v>
      </c>
      <c r="J17" s="258">
        <f t="shared" si="4"/>
        <v>2.9214000000000002</v>
      </c>
      <c r="K17" s="258">
        <f t="shared" si="4"/>
        <v>2.6292599999999999</v>
      </c>
      <c r="L17" s="258">
        <f t="shared" si="4"/>
        <v>1.8989100000000001</v>
      </c>
      <c r="M17" s="259"/>
      <c r="N17" s="259"/>
      <c r="O17" s="259"/>
      <c r="P17" s="259"/>
      <c r="Q17" s="259"/>
      <c r="R17" s="260">
        <f t="shared" si="5"/>
        <v>99.911880000000011</v>
      </c>
    </row>
    <row r="18" spans="1:18">
      <c r="A18" s="247">
        <f t="shared" si="1"/>
        <v>14</v>
      </c>
      <c r="B18" s="248" t="str">
        <f>'S24 Required # of Machines'!A15</f>
        <v>WS-27</v>
      </c>
      <c r="C18" s="249">
        <f>VLOOKUP($B18, 'S11 Work Stations'!$A$2:$F$45, COLUMN(C18)+2, 0)/1000</f>
        <v>1.9</v>
      </c>
      <c r="D18" s="249">
        <f>VLOOKUP($B18, 'S11 Work Stations'!$A$2:$F$45, COLUMN(D18)+2, 0)/1000</f>
        <v>2.5</v>
      </c>
      <c r="E18" s="249">
        <f t="shared" si="2"/>
        <v>4.75</v>
      </c>
      <c r="F18" s="249">
        <f>IF(B18="WS-42", 1, IF(B18="WS-43", 1, IF(B18="WS-44", 1, ROUND(VLOOKUP(E18, 'S25 Space Coefficient'!$A$2:$B$149, 2, 1), 2))))</f>
        <v>3.73</v>
      </c>
      <c r="G18" s="250">
        <f t="shared" si="3"/>
        <v>17.717500000000001</v>
      </c>
      <c r="H18" s="251">
        <f>VLOOKUP(B18, 'S24 Required # of Machines'!$A$2:$D$27, 4, 0)</f>
        <v>12</v>
      </c>
      <c r="I18" s="258">
        <f t="shared" si="4"/>
        <v>3.5435000000000003</v>
      </c>
      <c r="J18" s="258">
        <f t="shared" si="4"/>
        <v>3.5435000000000003</v>
      </c>
      <c r="K18" s="258">
        <f t="shared" si="4"/>
        <v>3.1891500000000002</v>
      </c>
      <c r="L18" s="258">
        <f t="shared" si="4"/>
        <v>2.3032750000000002</v>
      </c>
      <c r="M18" s="259"/>
      <c r="N18" s="259"/>
      <c r="O18" s="259"/>
      <c r="P18" s="259"/>
      <c r="Q18" s="259"/>
      <c r="R18" s="260">
        <f t="shared" si="5"/>
        <v>363.56310000000008</v>
      </c>
    </row>
    <row r="19" spans="1:18">
      <c r="A19" s="247">
        <f t="shared" si="1"/>
        <v>15</v>
      </c>
      <c r="B19" s="248" t="str">
        <f>'S24 Required # of Machines'!A16</f>
        <v>WS-28</v>
      </c>
      <c r="C19" s="249">
        <f>VLOOKUP($B19, 'S11 Work Stations'!$A$2:$F$45, COLUMN(C19)+2, 0)/1000</f>
        <v>2.5</v>
      </c>
      <c r="D19" s="249">
        <f>VLOOKUP($B19, 'S11 Work Stations'!$A$2:$F$45, COLUMN(D19)+2, 0)/1000</f>
        <v>2.5</v>
      </c>
      <c r="E19" s="249">
        <f t="shared" si="2"/>
        <v>6.25</v>
      </c>
      <c r="F19" s="249">
        <f>IF(B19="WS-42", 1, IF(B19="WS-43", 1, IF(B19="WS-44", 1, ROUND(VLOOKUP(E19, 'S25 Space Coefficient'!$A$2:$B$149, 2, 1), 2))))</f>
        <v>3.3</v>
      </c>
      <c r="G19" s="250">
        <f t="shared" si="3"/>
        <v>20.625</v>
      </c>
      <c r="H19" s="251">
        <f>VLOOKUP(B19, 'S24 Required # of Machines'!$A$2:$D$27, 4, 0)</f>
        <v>14</v>
      </c>
      <c r="I19" s="258">
        <f t="shared" si="4"/>
        <v>4.125</v>
      </c>
      <c r="J19" s="258">
        <f t="shared" si="4"/>
        <v>4.125</v>
      </c>
      <c r="K19" s="258">
        <f t="shared" si="4"/>
        <v>3.7124999999999999</v>
      </c>
      <c r="L19" s="258">
        <f t="shared" si="4"/>
        <v>2.6812499999999999</v>
      </c>
      <c r="M19" s="259"/>
      <c r="N19" s="259"/>
      <c r="O19" s="259"/>
      <c r="P19" s="259"/>
      <c r="Q19" s="259"/>
      <c r="R19" s="260">
        <f t="shared" si="5"/>
        <v>493.76249999999993</v>
      </c>
    </row>
    <row r="20" spans="1:18">
      <c r="A20" s="247">
        <f t="shared" si="1"/>
        <v>16</v>
      </c>
      <c r="B20" s="248" t="str">
        <f>'S24 Required # of Machines'!A17</f>
        <v>WS-29</v>
      </c>
      <c r="C20" s="249">
        <f>VLOOKUP($B20, 'S11 Work Stations'!$A$2:$F$45, COLUMN(C20)+2, 0)/1000</f>
        <v>2.2000000000000002</v>
      </c>
      <c r="D20" s="249">
        <f>VLOOKUP($B20, 'S11 Work Stations'!$A$2:$F$45, COLUMN(D20)+2, 0)/1000</f>
        <v>2.2000000000000002</v>
      </c>
      <c r="E20" s="249">
        <f t="shared" si="2"/>
        <v>4.8400000000000007</v>
      </c>
      <c r="F20" s="249">
        <f>IF(B20="WS-42", 1, IF(B20="WS-43", 1, IF(B20="WS-44", 1, ROUND(VLOOKUP(E20, 'S25 Space Coefficient'!$A$2:$B$149, 2, 1), 2))))</f>
        <v>3.68</v>
      </c>
      <c r="G20" s="250">
        <f t="shared" si="3"/>
        <v>17.811200000000003</v>
      </c>
      <c r="H20" s="251">
        <f>VLOOKUP(B20, 'S24 Required # of Machines'!$A$2:$D$27, 4, 0)</f>
        <v>22</v>
      </c>
      <c r="I20" s="258">
        <f t="shared" si="4"/>
        <v>3.562240000000001</v>
      </c>
      <c r="J20" s="258">
        <f t="shared" si="4"/>
        <v>3.562240000000001</v>
      </c>
      <c r="K20" s="258">
        <f t="shared" si="4"/>
        <v>3.2060160000000004</v>
      </c>
      <c r="L20" s="258">
        <f t="shared" si="4"/>
        <v>2.3154560000000006</v>
      </c>
      <c r="M20" s="259"/>
      <c r="N20" s="259"/>
      <c r="O20" s="259"/>
      <c r="P20" s="259"/>
      <c r="Q20" s="259"/>
      <c r="R20" s="260">
        <f t="shared" si="5"/>
        <v>670.05734400000017</v>
      </c>
    </row>
    <row r="21" spans="1:18">
      <c r="A21" s="247">
        <f t="shared" si="1"/>
        <v>17</v>
      </c>
      <c r="B21" s="248" t="str">
        <f>'S24 Required # of Machines'!A18</f>
        <v>WS-31</v>
      </c>
      <c r="C21" s="249">
        <f>VLOOKUP($B21, 'S11 Work Stations'!$A$2:$F$45, COLUMN(C21)+2, 0)/1000</f>
        <v>2</v>
      </c>
      <c r="D21" s="249">
        <f>VLOOKUP($B21, 'S11 Work Stations'!$A$2:$F$45, COLUMN(D21)+2, 0)/1000</f>
        <v>2</v>
      </c>
      <c r="E21" s="249">
        <f t="shared" si="2"/>
        <v>4</v>
      </c>
      <c r="F21" s="249">
        <f>IF(B21="WS-42", 1, IF(B21="WS-43", 1, IF(B21="WS-44", 1, ROUND(VLOOKUP(E21, 'S25 Space Coefficient'!$A$2:$B$149, 2, 1), 2))))</f>
        <v>4.1100000000000003</v>
      </c>
      <c r="G21" s="250">
        <f t="shared" si="3"/>
        <v>16.440000000000001</v>
      </c>
      <c r="H21" s="251">
        <f>VLOOKUP(B21, 'S24 Required # of Machines'!$A$2:$D$27, 4, 0)</f>
        <v>5</v>
      </c>
      <c r="I21" s="258">
        <f t="shared" si="4"/>
        <v>3.2880000000000003</v>
      </c>
      <c r="J21" s="258">
        <f t="shared" si="4"/>
        <v>3.2880000000000003</v>
      </c>
      <c r="K21" s="258">
        <f t="shared" si="4"/>
        <v>2.9592000000000001</v>
      </c>
      <c r="L21" s="258">
        <f t="shared" si="4"/>
        <v>2.1372000000000004</v>
      </c>
      <c r="M21" s="259"/>
      <c r="N21" s="259"/>
      <c r="O21" s="259"/>
      <c r="P21" s="259"/>
      <c r="Q21" s="259"/>
      <c r="R21" s="260">
        <f t="shared" si="5"/>
        <v>140.56200000000001</v>
      </c>
    </row>
    <row r="22" spans="1:18">
      <c r="A22" s="247">
        <f t="shared" si="1"/>
        <v>18</v>
      </c>
      <c r="B22" s="248" t="str">
        <f>'S24 Required # of Machines'!A19</f>
        <v>WS-32</v>
      </c>
      <c r="C22" s="249">
        <f>VLOOKUP($B22, 'S11 Work Stations'!$A$2:$F$45, COLUMN(C22)+2, 0)/1000</f>
        <v>3</v>
      </c>
      <c r="D22" s="249">
        <f>VLOOKUP($B22, 'S11 Work Stations'!$A$2:$F$45, COLUMN(D22)+2, 0)/1000</f>
        <v>2.5</v>
      </c>
      <c r="E22" s="249">
        <f t="shared" si="2"/>
        <v>7.5</v>
      </c>
      <c r="F22" s="249">
        <f>IF(B22="WS-42", 1, IF(B22="WS-43", 1, IF(B22="WS-44", 1, ROUND(VLOOKUP(E22, 'S25 Space Coefficient'!$A$2:$B$149, 2, 1), 2))))</f>
        <v>3.14</v>
      </c>
      <c r="G22" s="250">
        <f t="shared" si="3"/>
        <v>23.55</v>
      </c>
      <c r="H22" s="251">
        <f>VLOOKUP(B22, 'S24 Required # of Machines'!$A$2:$D$27, 4, 0)</f>
        <v>33</v>
      </c>
      <c r="I22" s="258">
        <f t="shared" si="4"/>
        <v>4.71</v>
      </c>
      <c r="J22" s="258">
        <f t="shared" si="4"/>
        <v>4.71</v>
      </c>
      <c r="K22" s="258">
        <f t="shared" si="4"/>
        <v>4.2389999999999999</v>
      </c>
      <c r="L22" s="258">
        <f t="shared" si="4"/>
        <v>3.0615000000000001</v>
      </c>
      <c r="M22" s="259"/>
      <c r="N22" s="259"/>
      <c r="O22" s="259"/>
      <c r="P22" s="259"/>
      <c r="Q22" s="259"/>
      <c r="R22" s="260">
        <f t="shared" si="5"/>
        <v>1328.9265</v>
      </c>
    </row>
    <row r="23" spans="1:18">
      <c r="A23" s="247">
        <f t="shared" si="1"/>
        <v>19</v>
      </c>
      <c r="B23" s="248" t="str">
        <f>'S24 Required # of Machines'!A20</f>
        <v>WS-33</v>
      </c>
      <c r="C23" s="249">
        <f>VLOOKUP($B23, 'S11 Work Stations'!$A$2:$F$45, COLUMN(C23)+2, 0)/1000</f>
        <v>3</v>
      </c>
      <c r="D23" s="249">
        <f>VLOOKUP($B23, 'S11 Work Stations'!$A$2:$F$45, COLUMN(D23)+2, 0)/1000</f>
        <v>2.5</v>
      </c>
      <c r="E23" s="249">
        <f t="shared" si="2"/>
        <v>7.5</v>
      </c>
      <c r="F23" s="249">
        <f>IF(B23="WS-42", 1, IF(B23="WS-43", 1, IF(B23="WS-44", 1, ROUND(VLOOKUP(E23, 'S25 Space Coefficient'!$A$2:$B$149, 2, 1), 2))))</f>
        <v>3.14</v>
      </c>
      <c r="G23" s="250">
        <f t="shared" si="3"/>
        <v>23.55</v>
      </c>
      <c r="H23" s="251">
        <f>VLOOKUP(B23, 'S24 Required # of Machines'!$A$2:$D$27, 4, 0)</f>
        <v>12</v>
      </c>
      <c r="I23" s="258">
        <f t="shared" si="4"/>
        <v>4.71</v>
      </c>
      <c r="J23" s="258">
        <f t="shared" si="4"/>
        <v>4.71</v>
      </c>
      <c r="K23" s="258">
        <f t="shared" si="4"/>
        <v>4.2389999999999999</v>
      </c>
      <c r="L23" s="258">
        <f t="shared" si="4"/>
        <v>3.0615000000000001</v>
      </c>
      <c r="M23" s="259"/>
      <c r="N23" s="259"/>
      <c r="O23" s="259"/>
      <c r="P23" s="259"/>
      <c r="Q23" s="259"/>
      <c r="R23" s="260">
        <f t="shared" si="5"/>
        <v>483.24599999999998</v>
      </c>
    </row>
    <row r="24" spans="1:18">
      <c r="A24" s="247">
        <f t="shared" si="1"/>
        <v>20</v>
      </c>
      <c r="B24" s="248" t="str">
        <f>'S24 Required # of Machines'!A21</f>
        <v>WS-34</v>
      </c>
      <c r="C24" s="249">
        <f>VLOOKUP($B24, 'S11 Work Stations'!$A$2:$F$45, COLUMN(C24)+2, 0)/1000</f>
        <v>3</v>
      </c>
      <c r="D24" s="249">
        <f>VLOOKUP($B24, 'S11 Work Stations'!$A$2:$F$45, COLUMN(D24)+2, 0)/1000</f>
        <v>2</v>
      </c>
      <c r="E24" s="249">
        <f t="shared" si="2"/>
        <v>6</v>
      </c>
      <c r="F24" s="249">
        <f>IF(B24="WS-42", 1, IF(B24="WS-43", 1, IF(B24="WS-44", 1, ROUND(VLOOKUP(E24, 'S25 Space Coefficient'!$A$2:$B$149, 2, 1), 2))))</f>
        <v>3.33</v>
      </c>
      <c r="G24" s="250">
        <f t="shared" si="3"/>
        <v>19.98</v>
      </c>
      <c r="H24" s="251">
        <f>VLOOKUP(B24, 'S24 Required # of Machines'!$A$2:$D$27, 4, 0)</f>
        <v>67</v>
      </c>
      <c r="I24" s="258">
        <f t="shared" si="4"/>
        <v>3.9960000000000004</v>
      </c>
      <c r="J24" s="258">
        <f t="shared" si="4"/>
        <v>3.9960000000000004</v>
      </c>
      <c r="K24" s="258">
        <f t="shared" si="4"/>
        <v>3.5964</v>
      </c>
      <c r="L24" s="258">
        <f t="shared" si="4"/>
        <v>2.5973999999999999</v>
      </c>
      <c r="M24" s="259"/>
      <c r="N24" s="259"/>
      <c r="O24" s="259"/>
      <c r="P24" s="259"/>
      <c r="Q24" s="259"/>
      <c r="R24" s="260">
        <f t="shared" si="5"/>
        <v>2289.1086</v>
      </c>
    </row>
    <row r="25" spans="1:18">
      <c r="A25" s="247">
        <f t="shared" si="1"/>
        <v>21</v>
      </c>
      <c r="B25" s="248" t="str">
        <f>'S24 Required # of Machines'!A22</f>
        <v>WS-36</v>
      </c>
      <c r="C25" s="249">
        <f>VLOOKUP($B25, 'S11 Work Stations'!$A$2:$F$45, COLUMN(C25)+2, 0)/1000</f>
        <v>1.5</v>
      </c>
      <c r="D25" s="249">
        <f>VLOOKUP($B25, 'S11 Work Stations'!$A$2:$F$45, COLUMN(D25)+2, 0)/1000</f>
        <v>1.5</v>
      </c>
      <c r="E25" s="249">
        <f t="shared" si="2"/>
        <v>2.25</v>
      </c>
      <c r="F25" s="249">
        <f>IF(B25="WS-42", 1, IF(B25="WS-43", 1, IF(B25="WS-44", 1, ROUND(VLOOKUP(E25, 'S25 Space Coefficient'!$A$2:$B$149, 2, 1), 2))))</f>
        <v>6.25</v>
      </c>
      <c r="G25" s="250">
        <f t="shared" si="3"/>
        <v>14.0625</v>
      </c>
      <c r="H25" s="251">
        <f>VLOOKUP(B25, 'S24 Required # of Machines'!$A$2:$D$27, 4, 0)</f>
        <v>9</v>
      </c>
      <c r="I25" s="258">
        <f t="shared" si="4"/>
        <v>2.8125</v>
      </c>
      <c r="J25" s="258">
        <f t="shared" si="4"/>
        <v>2.8125</v>
      </c>
      <c r="K25" s="258">
        <f t="shared" si="4"/>
        <v>2.53125</v>
      </c>
      <c r="L25" s="258">
        <f t="shared" si="4"/>
        <v>1.828125</v>
      </c>
      <c r="M25" s="259"/>
      <c r="N25" s="259"/>
      <c r="O25" s="259"/>
      <c r="P25" s="259"/>
      <c r="Q25" s="259"/>
      <c r="R25" s="260">
        <f t="shared" si="5"/>
        <v>216.421875</v>
      </c>
    </row>
    <row r="26" spans="1:18">
      <c r="A26" s="247">
        <f t="shared" si="1"/>
        <v>22</v>
      </c>
      <c r="B26" s="248" t="str">
        <f>'S24 Required # of Machines'!A23</f>
        <v>WS-38</v>
      </c>
      <c r="C26" s="249">
        <f>VLOOKUP($B26, 'S11 Work Stations'!$A$2:$F$45, COLUMN(C26)+2, 0)/1000</f>
        <v>1.6</v>
      </c>
      <c r="D26" s="249">
        <f>VLOOKUP($B26, 'S11 Work Stations'!$A$2:$F$45, COLUMN(D26)+2, 0)/1000</f>
        <v>1.6</v>
      </c>
      <c r="E26" s="249">
        <f t="shared" si="2"/>
        <v>2.5600000000000005</v>
      </c>
      <c r="F26" s="249">
        <f>IF(B26="WS-42", 1, IF(B26="WS-43", 1, IF(B26="WS-44", 1, ROUND(VLOOKUP(E26, 'S25 Space Coefficient'!$A$2:$B$149, 2, 1), 2))))</f>
        <v>5.72</v>
      </c>
      <c r="G26" s="250">
        <f t="shared" si="3"/>
        <v>14.643200000000002</v>
      </c>
      <c r="H26" s="251">
        <f>VLOOKUP(B26, 'S24 Required # of Machines'!$A$2:$D$27, 4, 0)</f>
        <v>5</v>
      </c>
      <c r="I26" s="258">
        <f t="shared" si="4"/>
        <v>2.9286400000000006</v>
      </c>
      <c r="J26" s="258">
        <f t="shared" si="4"/>
        <v>2.9286400000000006</v>
      </c>
      <c r="K26" s="258">
        <f t="shared" si="4"/>
        <v>2.6357760000000003</v>
      </c>
      <c r="L26" s="258">
        <f t="shared" si="4"/>
        <v>1.9036160000000004</v>
      </c>
      <c r="M26" s="259"/>
      <c r="N26" s="259"/>
      <c r="O26" s="259"/>
      <c r="P26" s="259"/>
      <c r="Q26" s="259"/>
      <c r="R26" s="260">
        <f t="shared" si="5"/>
        <v>125.19936000000001</v>
      </c>
    </row>
    <row r="27" spans="1:18">
      <c r="A27" s="247">
        <f t="shared" si="1"/>
        <v>23</v>
      </c>
      <c r="B27" s="248" t="str">
        <f>'S24 Required # of Machines'!A24</f>
        <v>WS-40</v>
      </c>
      <c r="C27" s="249">
        <f>VLOOKUP($B27, 'S11 Work Stations'!$A$2:$F$45, COLUMN(C27)+2, 0)/1000</f>
        <v>1.7</v>
      </c>
      <c r="D27" s="249">
        <f>VLOOKUP($B27, 'S11 Work Stations'!$A$2:$F$45, COLUMN(D27)+2, 0)/1000</f>
        <v>1.7</v>
      </c>
      <c r="E27" s="249">
        <f t="shared" si="2"/>
        <v>2.8899999999999997</v>
      </c>
      <c r="F27" s="249">
        <f>IF(B27="WS-42", 1, IF(B27="WS-43", 1, IF(B27="WS-44", 1, ROUND(VLOOKUP(E27, 'S25 Space Coefficient'!$A$2:$B$149, 2, 1), 2))))</f>
        <v>5.27</v>
      </c>
      <c r="G27" s="250">
        <f t="shared" si="3"/>
        <v>15.230299999999998</v>
      </c>
      <c r="H27" s="251">
        <f>VLOOKUP(B27, 'S24 Required # of Machines'!$A$2:$D$27, 4, 0)</f>
        <v>15</v>
      </c>
      <c r="I27" s="258">
        <f t="shared" si="4"/>
        <v>3.0460599999999998</v>
      </c>
      <c r="J27" s="258">
        <f t="shared" si="4"/>
        <v>3.0460599999999998</v>
      </c>
      <c r="K27" s="258">
        <f t="shared" si="4"/>
        <v>2.7414539999999996</v>
      </c>
      <c r="L27" s="258">
        <f t="shared" si="4"/>
        <v>1.9799389999999999</v>
      </c>
      <c r="M27" s="259"/>
      <c r="N27" s="259"/>
      <c r="O27" s="259"/>
      <c r="P27" s="259"/>
      <c r="Q27" s="259"/>
      <c r="R27" s="260">
        <f t="shared" si="5"/>
        <v>390.657195</v>
      </c>
    </row>
    <row r="28" spans="1:18">
      <c r="A28" s="247">
        <f t="shared" si="1"/>
        <v>24</v>
      </c>
      <c r="B28" s="248" t="str">
        <f>'S24 Required # of Machines'!A25</f>
        <v>WS-42</v>
      </c>
      <c r="C28" s="249">
        <f>VLOOKUP($B28, 'S11 Work Stations'!$A$2:$F$45, COLUMN(C28)+2, 0)/1000</f>
        <v>9</v>
      </c>
      <c r="D28" s="249">
        <f>VLOOKUP($B28, 'S11 Work Stations'!$A$2:$F$45, COLUMN(D28)+2, 0)/1000</f>
        <v>9</v>
      </c>
      <c r="E28" s="249">
        <f t="shared" si="2"/>
        <v>81</v>
      </c>
      <c r="F28" s="249">
        <f>IF(B28="WS-42", 1, IF(B28="WS-43", 1, IF(B28="WS-44", 1, ROUND(VLOOKUP(E28, 'S25 Space Coefficient'!$A$2:$B$149, 2, 1), 2))))</f>
        <v>1</v>
      </c>
      <c r="G28" s="250">
        <f t="shared" si="3"/>
        <v>81</v>
      </c>
      <c r="H28" s="251">
        <f>VLOOKUP(B28, 'S24 Required # of Machines'!$A$2:$D$27, 4, 0)</f>
        <v>5</v>
      </c>
      <c r="I28" s="258">
        <f t="shared" si="4"/>
        <v>0</v>
      </c>
      <c r="J28" s="258">
        <f t="shared" si="4"/>
        <v>0</v>
      </c>
      <c r="K28" s="258">
        <f t="shared" si="4"/>
        <v>0</v>
      </c>
      <c r="L28" s="258">
        <f t="shared" si="4"/>
        <v>0</v>
      </c>
      <c r="M28" s="259"/>
      <c r="N28" s="259"/>
      <c r="O28" s="259"/>
      <c r="P28" s="259"/>
      <c r="Q28" s="259"/>
      <c r="R28" s="260">
        <f t="shared" si="5"/>
        <v>405</v>
      </c>
    </row>
    <row r="29" spans="1:18">
      <c r="A29" s="247">
        <f t="shared" si="1"/>
        <v>25</v>
      </c>
      <c r="B29" s="248" t="str">
        <f>'S24 Required # of Machines'!A26</f>
        <v>WS-43</v>
      </c>
      <c r="C29" s="249">
        <f>VLOOKUP($B29, 'S11 Work Stations'!$A$2:$F$45, COLUMN(C29)+2, 0)/1000</f>
        <v>15</v>
      </c>
      <c r="D29" s="249">
        <f>VLOOKUP($B29, 'S11 Work Stations'!$A$2:$F$45, COLUMN(D29)+2, 0)/1000</f>
        <v>25</v>
      </c>
      <c r="E29" s="249">
        <f t="shared" si="2"/>
        <v>375</v>
      </c>
      <c r="F29" s="249">
        <f>IF(B29="WS-42", 1, IF(B29="WS-43", 1, IF(B29="WS-44", 1, ROUND(VLOOKUP(E29, 'S25 Space Coefficient'!$A$2:$B$149, 2, 1), 2))))</f>
        <v>1</v>
      </c>
      <c r="G29" s="250">
        <f t="shared" si="3"/>
        <v>375</v>
      </c>
      <c r="H29" s="251">
        <f>VLOOKUP(B29, 'S24 Required # of Machines'!$A$2:$D$27, 4, 0)</f>
        <v>1</v>
      </c>
      <c r="I29" s="258">
        <f t="shared" si="4"/>
        <v>0</v>
      </c>
      <c r="J29" s="258">
        <f t="shared" si="4"/>
        <v>0</v>
      </c>
      <c r="K29" s="258">
        <f t="shared" si="4"/>
        <v>0</v>
      </c>
      <c r="L29" s="258">
        <f t="shared" si="4"/>
        <v>0</v>
      </c>
      <c r="M29" s="259"/>
      <c r="N29" s="259"/>
      <c r="O29" s="259"/>
      <c r="P29" s="259"/>
      <c r="Q29" s="259"/>
      <c r="R29" s="260">
        <f t="shared" si="5"/>
        <v>375</v>
      </c>
    </row>
    <row r="30" spans="1:18">
      <c r="A30" s="247">
        <f t="shared" si="1"/>
        <v>26</v>
      </c>
      <c r="B30" s="248" t="str">
        <f>'S24 Required # of Machines'!A27</f>
        <v>WS-44</v>
      </c>
      <c r="C30" s="249">
        <f>VLOOKUP($B30, 'S11 Work Stations'!$A$2:$F$45, COLUMN(C30)+2, 0)/1000</f>
        <v>15</v>
      </c>
      <c r="D30" s="249">
        <f>VLOOKUP($B30, 'S11 Work Stations'!$A$2:$F$45, COLUMN(D30)+2, 0)/1000</f>
        <v>25</v>
      </c>
      <c r="E30" s="249">
        <f t="shared" si="2"/>
        <v>375</v>
      </c>
      <c r="F30" s="249">
        <f>IF(B30="WS-42", 1, IF(B30="WS-43", 1, IF(B30="WS-44", 1, ROUND(VLOOKUP(E30, 'S25 Space Coefficient'!$A$2:$B$149, 2, 1), 2))))</f>
        <v>1</v>
      </c>
      <c r="G30" s="250">
        <f t="shared" si="3"/>
        <v>375</v>
      </c>
      <c r="H30" s="251">
        <f>VLOOKUP(B30, 'S24 Required # of Machines'!$A$2:$D$27, 4, 0)</f>
        <v>1</v>
      </c>
      <c r="I30" s="258">
        <f t="shared" si="4"/>
        <v>0</v>
      </c>
      <c r="J30" s="258">
        <f t="shared" si="4"/>
        <v>0</v>
      </c>
      <c r="K30" s="258">
        <f t="shared" si="4"/>
        <v>0</v>
      </c>
      <c r="L30" s="258">
        <f t="shared" si="4"/>
        <v>0</v>
      </c>
      <c r="M30" s="259"/>
      <c r="N30" s="259"/>
      <c r="O30" s="259"/>
      <c r="P30" s="259"/>
      <c r="Q30" s="259"/>
      <c r="R30" s="260">
        <f t="shared" si="5"/>
        <v>375</v>
      </c>
    </row>
    <row r="31" spans="1:18">
      <c r="A31" s="247"/>
      <c r="B31" s="248"/>
      <c r="C31" s="252"/>
      <c r="D31" s="252"/>
      <c r="E31" s="252"/>
      <c r="F31" s="252"/>
      <c r="G31" s="252"/>
      <c r="H31" s="253"/>
      <c r="I31" s="261"/>
      <c r="J31" s="259"/>
      <c r="K31" s="259"/>
      <c r="L31" s="259"/>
      <c r="M31" s="259"/>
      <c r="N31" s="259"/>
      <c r="O31" s="259"/>
      <c r="P31" s="259"/>
      <c r="Q31" s="259"/>
      <c r="R31" s="262"/>
    </row>
    <row r="32" spans="1:18">
      <c r="A32" s="247"/>
      <c r="B32" s="248"/>
      <c r="C32" s="252"/>
      <c r="D32" s="252"/>
      <c r="E32" s="252"/>
      <c r="F32" s="252"/>
      <c r="G32" s="252"/>
      <c r="H32" s="253"/>
      <c r="I32" s="261"/>
      <c r="J32" s="259"/>
      <c r="K32" s="259"/>
      <c r="L32" s="259"/>
      <c r="M32" s="259"/>
      <c r="N32" s="259"/>
      <c r="O32" s="259"/>
      <c r="P32" s="259"/>
      <c r="Q32" s="259"/>
      <c r="R32" s="260"/>
    </row>
    <row r="33" spans="1:18">
      <c r="A33" s="247"/>
      <c r="B33" s="248"/>
      <c r="C33" s="252"/>
      <c r="D33" s="252"/>
      <c r="E33" s="252"/>
      <c r="F33" s="252"/>
      <c r="G33" s="252"/>
      <c r="H33" s="253"/>
      <c r="I33" s="261"/>
      <c r="J33" s="259"/>
      <c r="K33" s="259"/>
      <c r="L33" s="259"/>
      <c r="M33" s="259"/>
      <c r="N33" s="259"/>
      <c r="O33" s="259"/>
      <c r="P33" s="259"/>
      <c r="Q33" s="259"/>
      <c r="R33" s="262"/>
    </row>
    <row r="34" spans="1:18">
      <c r="A34" s="247"/>
      <c r="B34" s="248"/>
      <c r="C34" s="252"/>
      <c r="D34" s="252"/>
      <c r="E34" s="252"/>
      <c r="F34" s="252"/>
      <c r="G34" s="252"/>
      <c r="H34" s="253"/>
      <c r="I34" s="261"/>
      <c r="J34" s="259"/>
      <c r="K34" s="259"/>
      <c r="L34" s="259"/>
      <c r="M34" s="259"/>
      <c r="N34" s="259"/>
      <c r="O34" s="259"/>
      <c r="P34" s="259"/>
      <c r="Q34" s="259"/>
      <c r="R34" s="262"/>
    </row>
    <row r="35" spans="1:18">
      <c r="A35" s="247"/>
      <c r="B35" s="248"/>
      <c r="C35" s="252"/>
      <c r="D35" s="252"/>
      <c r="E35" s="252"/>
      <c r="F35" s="252"/>
      <c r="G35" s="252"/>
      <c r="H35" s="253"/>
      <c r="I35" s="261"/>
      <c r="J35" s="259"/>
      <c r="K35" s="259"/>
      <c r="L35" s="259"/>
      <c r="M35" s="259"/>
      <c r="N35" s="259"/>
      <c r="O35" s="259"/>
      <c r="P35" s="259"/>
      <c r="Q35" s="259"/>
      <c r="R35" s="262"/>
    </row>
    <row r="36" spans="1:18" ht="16" thickBot="1">
      <c r="A36" s="254"/>
      <c r="B36" s="255"/>
      <c r="C36" s="256"/>
      <c r="D36" s="256"/>
      <c r="E36" s="256"/>
      <c r="F36" s="256"/>
      <c r="G36" s="256"/>
      <c r="H36" s="257"/>
      <c r="I36" s="263"/>
      <c r="J36" s="264"/>
      <c r="K36" s="264"/>
      <c r="L36" s="264"/>
      <c r="M36" s="264"/>
      <c r="N36" s="264"/>
      <c r="O36" s="264"/>
      <c r="P36" s="264"/>
      <c r="Q36" s="264"/>
      <c r="R36" s="265"/>
    </row>
    <row r="37" spans="1:18">
      <c r="R37" s="266">
        <f>SUM(R5:R36)</f>
        <v>13828.280249999998</v>
      </c>
    </row>
  </sheetData>
  <mergeCells count="4">
    <mergeCell ref="A1:A2"/>
    <mergeCell ref="B1:H2"/>
    <mergeCell ref="I1:R2"/>
    <mergeCell ref="C3:E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124C1-AFAC-A643-AF12-5BC502FEE22A}">
  <sheetPr codeName="Sheet27"/>
  <dimension ref="A1:BA998"/>
  <sheetViews>
    <sheetView topLeftCell="G944" zoomScaleNormal="69" workbookViewId="0">
      <selection activeCell="S974" sqref="S974"/>
    </sheetView>
  </sheetViews>
  <sheetFormatPr baseColWidth="10" defaultColWidth="11" defaultRowHeight="16"/>
  <cols>
    <col min="1" max="1" width="4.6640625" customWidth="1"/>
    <col min="4" max="5" width="11" style="44"/>
    <col min="7" max="7" width="19.6640625" customWidth="1"/>
    <col min="9" max="9" width="8.1640625" customWidth="1"/>
    <col min="10" max="53" width="7.6640625" customWidth="1"/>
  </cols>
  <sheetData>
    <row r="1" spans="1:53" ht="24">
      <c r="A1" s="285" t="s">
        <v>0</v>
      </c>
      <c r="B1" s="285" t="s">
        <v>171</v>
      </c>
      <c r="C1" s="285" t="s">
        <v>504</v>
      </c>
      <c r="D1" s="286" t="s">
        <v>1097</v>
      </c>
      <c r="E1" s="286" t="s">
        <v>1098</v>
      </c>
      <c r="F1" s="285" t="s">
        <v>1099</v>
      </c>
    </row>
    <row r="2" spans="1:53" ht="17">
      <c r="A2" s="3">
        <v>1</v>
      </c>
      <c r="B2" s="196" t="str">
        <f>IFERROR(INDEX('S15 Routing Clustered'!$A$3:$A$18, A2), "")</f>
        <v>I-004</v>
      </c>
      <c r="C2" s="3">
        <v>10</v>
      </c>
      <c r="D2" s="287" t="str">
        <f>IFERROR(HLOOKUP(C2, 'S15 Routing Clustered'!$B$2:$I$18,A2+1, 0), "")</f>
        <v>WS-43</v>
      </c>
      <c r="E2" s="287" t="str">
        <f>IF(D2="", "", D3)</f>
        <v>WS-36</v>
      </c>
      <c r="F2" s="3">
        <f>IF(E2="", "", VLOOKUP(B2, 'S08 ABC Output'!$A$3:$C$18, 3, 0))</f>
        <v>215425</v>
      </c>
      <c r="I2" s="288"/>
      <c r="J2" s="288" t="str">
        <f t="array" ref="J2:BA2">TRANSPOSE(I3:I46)</f>
        <v>WS-01</v>
      </c>
      <c r="K2" s="288" t="str">
        <v>WS-02</v>
      </c>
      <c r="L2" s="288" t="str">
        <v>WS-03</v>
      </c>
      <c r="M2" s="288" t="str">
        <v>WS-04</v>
      </c>
      <c r="N2" s="288" t="str">
        <v>WS-05</v>
      </c>
      <c r="O2" s="288" t="str">
        <v>WS-06</v>
      </c>
      <c r="P2" s="288" t="str">
        <v>WS-07</v>
      </c>
      <c r="Q2" s="288" t="str">
        <v>WS-08</v>
      </c>
      <c r="R2" s="288" t="str">
        <v>WS-09</v>
      </c>
      <c r="S2" s="288" t="str">
        <v>WS-10</v>
      </c>
      <c r="T2" s="288" t="str">
        <v>WS-11</v>
      </c>
      <c r="U2" s="288" t="str">
        <v>WS-12</v>
      </c>
      <c r="V2" s="288" t="str">
        <v>WS-13</v>
      </c>
      <c r="W2" s="288" t="str">
        <v>WS-14</v>
      </c>
      <c r="X2" s="288" t="str">
        <v>WS-15</v>
      </c>
      <c r="Y2" s="288" t="str">
        <v>WS-16</v>
      </c>
      <c r="Z2" s="288" t="str">
        <v>WS-17</v>
      </c>
      <c r="AA2" s="288" t="str">
        <v>WS-18</v>
      </c>
      <c r="AB2" s="288" t="str">
        <v>WS-19</v>
      </c>
      <c r="AC2" s="288" t="str">
        <v>WS-20</v>
      </c>
      <c r="AD2" s="288" t="str">
        <v>WS-21</v>
      </c>
      <c r="AE2" s="288" t="str">
        <v>WS-22</v>
      </c>
      <c r="AF2" s="288" t="str">
        <v>WS-23</v>
      </c>
      <c r="AG2" s="288" t="str">
        <v>WS-24</v>
      </c>
      <c r="AH2" s="288" t="str">
        <v>WS-25</v>
      </c>
      <c r="AI2" s="288" t="str">
        <v>WS-26</v>
      </c>
      <c r="AJ2" s="288" t="str">
        <v>WS-27</v>
      </c>
      <c r="AK2" s="288" t="str">
        <v>WS-28</v>
      </c>
      <c r="AL2" s="288" t="str">
        <v>WS-29</v>
      </c>
      <c r="AM2" s="288" t="str">
        <v>WS-30</v>
      </c>
      <c r="AN2" s="288" t="str">
        <v>WS-31</v>
      </c>
      <c r="AO2" s="288" t="str">
        <v>WS-32</v>
      </c>
      <c r="AP2" s="288" t="str">
        <v>WS-33</v>
      </c>
      <c r="AQ2" s="288" t="str">
        <v>WS-34</v>
      </c>
      <c r="AR2" s="288" t="str">
        <v>WS-35</v>
      </c>
      <c r="AS2" s="288" t="str">
        <v>WS-36</v>
      </c>
      <c r="AT2" s="288" t="str">
        <v>WS-37</v>
      </c>
      <c r="AU2" s="288" t="str">
        <v>WS-38</v>
      </c>
      <c r="AV2" s="288" t="str">
        <v>WS-39</v>
      </c>
      <c r="AW2" s="288" t="str">
        <v>WS-40</v>
      </c>
      <c r="AX2" s="288" t="str">
        <v>WS-41</v>
      </c>
      <c r="AY2" s="288" t="str">
        <v>WS-42</v>
      </c>
      <c r="AZ2" s="288" t="str">
        <v>WS-43</v>
      </c>
      <c r="BA2" s="288" t="str">
        <v>WS-44</v>
      </c>
    </row>
    <row r="3" spans="1:53" ht="17">
      <c r="A3" s="3">
        <v>1</v>
      </c>
      <c r="B3" s="196" t="str">
        <f>IFERROR(INDEX('S15 Routing Clustered'!$A$3:$A$18, A3), "")</f>
        <v>I-004</v>
      </c>
      <c r="C3" s="3">
        <v>20</v>
      </c>
      <c r="D3" s="287" t="str">
        <f>IFERROR(HLOOKUP(C3, 'S15 Routing Clustered'!$B$2:$I$18,A3+1, 0), "")</f>
        <v>WS-36</v>
      </c>
      <c r="E3" s="287" t="str">
        <f t="shared" ref="E3:E66" si="0">IF(D3="", "", D4)</f>
        <v>WS-05</v>
      </c>
      <c r="F3" s="3">
        <f>IF(E3="", "", VLOOKUP(B3, 'S08 ABC Output'!$A$3:$C$18, 3, 0))</f>
        <v>215425</v>
      </c>
      <c r="I3" s="288" t="s">
        <v>574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</row>
    <row r="4" spans="1:53" ht="17">
      <c r="A4" s="3">
        <v>1</v>
      </c>
      <c r="B4" s="196" t="str">
        <f>IFERROR(INDEX('S15 Routing Clustered'!$A$3:$A$18, A4), "")</f>
        <v>I-004</v>
      </c>
      <c r="C4" s="3">
        <v>30</v>
      </c>
      <c r="D4" s="287" t="str">
        <f>IFERROR(HLOOKUP(C4, 'S15 Routing Clustered'!$B$2:$I$18,A4+1, 0), "")</f>
        <v>WS-05</v>
      </c>
      <c r="E4" s="287" t="str">
        <f t="shared" si="0"/>
        <v>WS-25</v>
      </c>
      <c r="F4" s="3">
        <f>IF(E4="", "", VLOOKUP(B4, 'S08 ABC Output'!$A$3:$C$18, 3, 0))</f>
        <v>215425</v>
      </c>
      <c r="I4" s="288" t="s">
        <v>575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</row>
    <row r="5" spans="1:53" ht="17">
      <c r="A5" s="3">
        <v>1</v>
      </c>
      <c r="B5" s="196" t="str">
        <f>IFERROR(INDEX('S15 Routing Clustered'!$A$3:$A$18, A5), "")</f>
        <v>I-004</v>
      </c>
      <c r="C5" s="3">
        <v>40</v>
      </c>
      <c r="D5" s="287" t="str">
        <f>IFERROR(HLOOKUP(C5, 'S15 Routing Clustered'!$B$2:$I$18,A5+1, 0), "")</f>
        <v>WS-25</v>
      </c>
      <c r="E5" s="287" t="str">
        <f t="shared" si="0"/>
        <v>WS-34</v>
      </c>
      <c r="F5" s="3">
        <f>IF(E5="", "", VLOOKUP(B5, 'S08 ABC Output'!$A$3:$C$18, 3, 0))</f>
        <v>215425</v>
      </c>
      <c r="I5" s="288" t="s">
        <v>576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1:53" ht="17">
      <c r="A6" s="3">
        <v>1</v>
      </c>
      <c r="B6" s="196" t="str">
        <f>IFERROR(INDEX('S15 Routing Clustered'!$A$3:$A$18, A6), "")</f>
        <v>I-004</v>
      </c>
      <c r="C6" s="3">
        <v>50</v>
      </c>
      <c r="D6" s="287" t="str">
        <f>IFERROR(HLOOKUP(C6, 'S15 Routing Clustered'!$B$2:$I$18,A6+1, 0), "")</f>
        <v>WS-34</v>
      </c>
      <c r="E6" s="287" t="str">
        <f t="shared" si="0"/>
        <v>WS-44</v>
      </c>
      <c r="F6" s="3">
        <f>IF(E6="", "", VLOOKUP(B6, 'S08 ABC Output'!$A$3:$C$18, 3, 0))</f>
        <v>215425</v>
      </c>
      <c r="I6" s="288" t="s">
        <v>577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</row>
    <row r="7" spans="1:53" ht="17">
      <c r="A7" s="3">
        <v>1</v>
      </c>
      <c r="B7" s="196" t="str">
        <f>IFERROR(INDEX('S15 Routing Clustered'!$A$3:$A$18, A7), "")</f>
        <v>I-004</v>
      </c>
      <c r="C7" s="3">
        <v>60</v>
      </c>
      <c r="D7" s="287" t="str">
        <f>IFERROR(HLOOKUP(C7, 'S15 Routing Clustered'!$B$2:$I$18,A7+1, 0), "")</f>
        <v>WS-44</v>
      </c>
      <c r="E7" s="287" t="str">
        <f t="shared" si="0"/>
        <v/>
      </c>
      <c r="F7" s="3" t="str">
        <f>IF(E7="", "", VLOOKUP(B7, 'S08 ABC Output'!$A$3:$C$18, 3, 0))</f>
        <v/>
      </c>
      <c r="I7" s="288" t="s">
        <v>578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>
        <v>215425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</row>
    <row r="8" spans="1:53" ht="17">
      <c r="A8" s="3">
        <v>1</v>
      </c>
      <c r="B8" s="196" t="str">
        <f>IFERROR(INDEX('S15 Routing Clustered'!$A$3:$A$18, A8), "")</f>
        <v>I-004</v>
      </c>
      <c r="C8" s="3">
        <v>70</v>
      </c>
      <c r="D8" s="287" t="str">
        <f>IFERROR(HLOOKUP(C8, 'S15 Routing Clustered'!$B$2:$I$18,A8+1, 0), "")</f>
        <v/>
      </c>
      <c r="E8" s="287" t="str">
        <f t="shared" si="0"/>
        <v/>
      </c>
      <c r="F8" s="3" t="str">
        <f>IF(E8="", "", VLOOKUP(B8, 'S08 ABC Output'!$A$3:$C$18, 3, 0))</f>
        <v/>
      </c>
      <c r="I8" s="288" t="s">
        <v>579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1:53" ht="17">
      <c r="A9" s="3">
        <v>1</v>
      </c>
      <c r="B9" s="196" t="str">
        <f>IFERROR(INDEX('S15 Routing Clustered'!$A$3:$A$18, A9), "")</f>
        <v>I-004</v>
      </c>
      <c r="C9" s="3">
        <v>80</v>
      </c>
      <c r="D9" s="287" t="str">
        <f>IFERROR(HLOOKUP(C9, 'S15 Routing Clustered'!$B$2:$I$18,A9+1, 0), "")</f>
        <v/>
      </c>
      <c r="E9" s="287" t="str">
        <f t="shared" si="0"/>
        <v/>
      </c>
      <c r="F9" s="3" t="str">
        <f>IF(E9="", "", VLOOKUP(B9, 'S08 ABC Output'!$A$3:$C$18, 3, 0))</f>
        <v/>
      </c>
      <c r="I9" s="288" t="s">
        <v>580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</row>
    <row r="10" spans="1:53" ht="17">
      <c r="A10" s="3">
        <v>1</v>
      </c>
      <c r="B10" s="196" t="str">
        <f>IFERROR(INDEX('S15 Routing Clustered'!$A$3:$A$18, A10), "")</f>
        <v>I-004</v>
      </c>
      <c r="C10" s="3">
        <v>90</v>
      </c>
      <c r="D10" s="287" t="str">
        <f>IFERROR(HLOOKUP(C10, 'S15 Routing Clustered'!$B$2:$I$18,A10+1, 0), "")</f>
        <v/>
      </c>
      <c r="E10" s="287" t="str">
        <f t="shared" si="0"/>
        <v/>
      </c>
      <c r="F10" s="3" t="str">
        <f>IF(E10="", "", VLOOKUP(B10, 'S08 ABC Output'!$A$3:$C$18, 3, 0))</f>
        <v/>
      </c>
      <c r="I10" s="288" t="s">
        <v>581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r="11" spans="1:53" ht="17">
      <c r="A11" s="3">
        <v>1</v>
      </c>
      <c r="B11" s="196" t="str">
        <f>IFERROR(INDEX('S15 Routing Clustered'!$A$3:$A$18, A11), "")</f>
        <v>I-004</v>
      </c>
      <c r="C11" s="3">
        <v>100</v>
      </c>
      <c r="D11" s="287" t="str">
        <f>IFERROR(HLOOKUP(C11, 'S15 Routing Clustered'!$B$2:$I$18,A11+1, 0), "")</f>
        <v/>
      </c>
      <c r="E11" s="287" t="str">
        <f t="shared" si="0"/>
        <v/>
      </c>
      <c r="F11" s="3" t="str">
        <f>IF(E11="", "", VLOOKUP(B11, 'S08 ABC Output'!$A$3:$C$18, 3, 0))</f>
        <v/>
      </c>
      <c r="I11" s="288" t="s">
        <v>582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</row>
    <row r="12" spans="1:53" ht="17">
      <c r="A12" s="3">
        <v>1</v>
      </c>
      <c r="B12" s="196" t="str">
        <f>IFERROR(INDEX('S15 Routing Clustered'!$A$3:$A$18, A12), "")</f>
        <v>I-004</v>
      </c>
      <c r="C12" s="3">
        <v>110</v>
      </c>
      <c r="D12" s="287" t="str">
        <f>IFERROR(HLOOKUP(C12, 'S15 Routing Clustered'!$B$2:$I$18,A12+1, 0), "")</f>
        <v/>
      </c>
      <c r="E12" s="287" t="str">
        <f t="shared" si="0"/>
        <v/>
      </c>
      <c r="F12" s="3" t="str">
        <f>IF(E12="", "", VLOOKUP(B12, 'S08 ABC Output'!$A$3:$C$18, 3, 0))</f>
        <v/>
      </c>
      <c r="I12" s="288" t="s">
        <v>583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</row>
    <row r="13" spans="1:53" ht="17">
      <c r="A13" s="3">
        <v>1</v>
      </c>
      <c r="B13" s="196" t="str">
        <f>IFERROR(INDEX('S15 Routing Clustered'!$A$3:$A$18, A13), "")</f>
        <v>I-004</v>
      </c>
      <c r="C13" s="3">
        <v>120</v>
      </c>
      <c r="D13" s="287" t="str">
        <f>IFERROR(HLOOKUP(C13, 'S15 Routing Clustered'!$B$2:$I$18,A13+1, 0), "")</f>
        <v/>
      </c>
      <c r="E13" s="287" t="str">
        <f t="shared" si="0"/>
        <v/>
      </c>
      <c r="F13" s="3" t="str">
        <f>IF(E13="", "", VLOOKUP(B13, 'S08 ABC Output'!$A$3:$C$18, 3, 0))</f>
        <v/>
      </c>
      <c r="I13" s="288" t="s">
        <v>584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1:53" ht="17">
      <c r="A14" s="3">
        <v>1</v>
      </c>
      <c r="B14" s="196" t="str">
        <f>IFERROR(INDEX('S15 Routing Clustered'!$A$3:$A$18, A14), "")</f>
        <v>I-004</v>
      </c>
      <c r="C14" s="3">
        <v>130</v>
      </c>
      <c r="D14" s="287" t="str">
        <f>IFERROR(HLOOKUP(C14, 'S15 Routing Clustered'!$B$2:$I$18,A14+1, 0), "")</f>
        <v/>
      </c>
      <c r="E14" s="287" t="str">
        <f t="shared" si="0"/>
        <v/>
      </c>
      <c r="F14" s="3" t="str">
        <f>IF(E14="", "", VLOOKUP(B14, 'S08 ABC Output'!$A$3:$C$18, 3, 0))</f>
        <v/>
      </c>
      <c r="I14" s="288" t="s">
        <v>585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r="15" spans="1:53" ht="17">
      <c r="A15" s="3">
        <v>1</v>
      </c>
      <c r="B15" s="196" t="str">
        <f>IFERROR(INDEX('S15 Routing Clustered'!$A$3:$A$18, A15), "")</f>
        <v>I-004</v>
      </c>
      <c r="C15" s="3">
        <v>140</v>
      </c>
      <c r="D15" s="287" t="str">
        <f>IFERROR(HLOOKUP(C15, 'S15 Routing Clustered'!$B$2:$I$18,A15+1, 0), "")</f>
        <v/>
      </c>
      <c r="E15" s="287" t="str">
        <f t="shared" si="0"/>
        <v/>
      </c>
      <c r="F15" s="3" t="str">
        <f>IF(E15="", "", VLOOKUP(B15, 'S08 ABC Output'!$A$3:$C$18, 3, 0))</f>
        <v/>
      </c>
      <c r="I15" s="288" t="s">
        <v>586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</row>
    <row r="16" spans="1:53" ht="17">
      <c r="A16" s="3">
        <v>1</v>
      </c>
      <c r="B16" s="196" t="str">
        <f>IFERROR(INDEX('S15 Routing Clustered'!$A$3:$A$18, A16), "")</f>
        <v>I-004</v>
      </c>
      <c r="C16" s="3">
        <v>150</v>
      </c>
      <c r="D16" s="287" t="str">
        <f>IFERROR(HLOOKUP(C16, 'S15 Routing Clustered'!$B$2:$I$18,A16+1, 0), "")</f>
        <v/>
      </c>
      <c r="E16" s="287" t="str">
        <f t="shared" si="0"/>
        <v/>
      </c>
      <c r="F16" s="3" t="str">
        <f>IF(E16="", "", VLOOKUP(B16, 'S08 ABC Output'!$A$3:$C$18, 3, 0))</f>
        <v/>
      </c>
      <c r="I16" s="288" t="s">
        <v>587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1:53" ht="17">
      <c r="A17" s="3">
        <v>1</v>
      </c>
      <c r="B17" s="196" t="str">
        <f>IFERROR(INDEX('S15 Routing Clustered'!$A$3:$A$18, A17), "")</f>
        <v>I-004</v>
      </c>
      <c r="C17" s="3">
        <v>160</v>
      </c>
      <c r="D17" s="287" t="str">
        <f>IFERROR(HLOOKUP(C17, 'S15 Routing Clustered'!$B$2:$I$18,A17+1, 0), "")</f>
        <v/>
      </c>
      <c r="E17" s="287" t="str">
        <f t="shared" si="0"/>
        <v/>
      </c>
      <c r="F17" s="3" t="str">
        <f>IF(E17="", "", VLOOKUP(B17, 'S08 ABC Output'!$A$3:$C$18, 3, 0))</f>
        <v/>
      </c>
      <c r="I17" s="288" t="s">
        <v>588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 ht="17">
      <c r="A18" s="3">
        <v>1</v>
      </c>
      <c r="B18" s="196" t="str">
        <f>IFERROR(INDEX('S15 Routing Clustered'!$A$3:$A$18, A18), "")</f>
        <v>I-004</v>
      </c>
      <c r="C18" s="3">
        <v>170</v>
      </c>
      <c r="D18" s="287" t="str">
        <f>IFERROR(HLOOKUP(C18, 'S15 Routing Clustered'!$B$2:$I$18,A18+1, 0), "")</f>
        <v/>
      </c>
      <c r="E18" s="287" t="str">
        <f t="shared" si="0"/>
        <v/>
      </c>
      <c r="F18" s="3" t="str">
        <f>IF(E18="", "", VLOOKUP(B18, 'S08 ABC Output'!$A$3:$C$18, 3, 0))</f>
        <v/>
      </c>
      <c r="I18" s="288" t="s">
        <v>589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 ht="17">
      <c r="A19" s="3">
        <v>1</v>
      </c>
      <c r="B19" s="196" t="str">
        <f>IFERROR(INDEX('S15 Routing Clustered'!$A$3:$A$18, A19), "")</f>
        <v>I-004</v>
      </c>
      <c r="C19" s="3">
        <v>180</v>
      </c>
      <c r="D19" s="287" t="str">
        <f>IFERROR(HLOOKUP(C19, 'S15 Routing Clustered'!$B$2:$I$18,A19+1, 0), "")</f>
        <v/>
      </c>
      <c r="E19" s="287" t="str">
        <f t="shared" si="0"/>
        <v/>
      </c>
      <c r="F19" s="3" t="str">
        <f>IF(E19="", "", VLOOKUP(B19, 'S08 ABC Output'!$A$3:$C$18, 3, 0))</f>
        <v/>
      </c>
      <c r="I19" s="288" t="s">
        <v>590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</row>
    <row r="20" spans="1:53" ht="17">
      <c r="A20" s="3">
        <v>1</v>
      </c>
      <c r="B20" s="196" t="str">
        <f>IFERROR(INDEX('S15 Routing Clustered'!$A$3:$A$18, A20), "")</f>
        <v>I-004</v>
      </c>
      <c r="C20" s="3">
        <v>190</v>
      </c>
      <c r="D20" s="287" t="str">
        <f>IFERROR(HLOOKUP(C20, 'S15 Routing Clustered'!$B$2:$I$18,A20+1, 0), "")</f>
        <v/>
      </c>
      <c r="E20" s="287" t="str">
        <f t="shared" si="0"/>
        <v/>
      </c>
      <c r="F20" s="3" t="str">
        <f>IF(E20="", "", VLOOKUP(B20, 'S08 ABC Output'!$A$3:$C$18, 3, 0))</f>
        <v/>
      </c>
      <c r="I20" s="288" t="s">
        <v>591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r="21" spans="1:53" ht="17">
      <c r="A21" s="3">
        <v>1</v>
      </c>
      <c r="B21" s="196" t="str">
        <f>IFERROR(INDEX('S15 Routing Clustered'!$A$3:$A$18, A21), "")</f>
        <v>I-004</v>
      </c>
      <c r="C21" s="3">
        <v>200</v>
      </c>
      <c r="D21" s="287" t="str">
        <f>IFERROR(HLOOKUP(C21, 'S15 Routing Clustered'!$B$2:$I$18,A21+1, 0), "")</f>
        <v/>
      </c>
      <c r="E21" s="287" t="str">
        <f t="shared" si="0"/>
        <v/>
      </c>
      <c r="F21" s="3" t="str">
        <f>IF(E21="", "", VLOOKUP(B21, 'S08 ABC Output'!$A$3:$C$18, 3, 0))</f>
        <v/>
      </c>
      <c r="I21" s="288" t="s">
        <v>592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1:53" ht="17">
      <c r="A22" s="3">
        <v>1</v>
      </c>
      <c r="B22" s="196" t="str">
        <f>IFERROR(INDEX('S15 Routing Clustered'!$A$3:$A$18, A22), "")</f>
        <v>I-004</v>
      </c>
      <c r="C22" s="3">
        <v>210</v>
      </c>
      <c r="D22" s="287" t="str">
        <f>IFERROR(HLOOKUP(C22, 'S15 Routing Clustered'!$B$2:$I$18,A22+1, 0), "")</f>
        <v/>
      </c>
      <c r="E22" s="287" t="str">
        <f t="shared" si="0"/>
        <v/>
      </c>
      <c r="F22" s="3" t="str">
        <f>IF(E22="", "", VLOOKUP(B22, 'S08 ABC Output'!$A$3:$C$18, 3, 0))</f>
        <v/>
      </c>
      <c r="I22" s="288" t="s">
        <v>593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1:53" ht="17">
      <c r="A23" s="3">
        <v>1</v>
      </c>
      <c r="B23" s="196" t="str">
        <f>IFERROR(INDEX('S15 Routing Clustered'!$A$3:$A$18, A23), "")</f>
        <v>I-004</v>
      </c>
      <c r="C23" s="3">
        <v>220</v>
      </c>
      <c r="D23" s="287" t="str">
        <f>IFERROR(HLOOKUP(C23, 'S15 Routing Clustered'!$B$2:$I$18,A23+1, 0), "")</f>
        <v/>
      </c>
      <c r="E23" s="287" t="str">
        <f t="shared" si="0"/>
        <v/>
      </c>
      <c r="F23" s="3" t="str">
        <f>IF(E23="", "", VLOOKUP(B23, 'S08 ABC Output'!$A$3:$C$18, 3, 0))</f>
        <v/>
      </c>
      <c r="I23" s="288" t="s">
        <v>594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1:53" ht="17">
      <c r="A24" s="3">
        <v>1</v>
      </c>
      <c r="B24" s="196" t="str">
        <f>IFERROR(INDEX('S15 Routing Clustered'!$A$3:$A$18, A24), "")</f>
        <v>I-004</v>
      </c>
      <c r="C24" s="3">
        <v>230</v>
      </c>
      <c r="D24" s="287" t="str">
        <f>IFERROR(HLOOKUP(C24, 'S15 Routing Clustered'!$B$2:$I$18,A24+1, 0), "")</f>
        <v/>
      </c>
      <c r="E24" s="287" t="str">
        <f t="shared" si="0"/>
        <v/>
      </c>
      <c r="F24" s="3" t="str">
        <f>IF(E24="", "", VLOOKUP(B24, 'S08 ABC Output'!$A$3:$C$18, 3, 0))</f>
        <v/>
      </c>
      <c r="I24" s="288" t="s">
        <v>595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1:53" ht="17">
      <c r="A25" s="3">
        <v>1</v>
      </c>
      <c r="B25" s="196" t="str">
        <f>IFERROR(INDEX('S15 Routing Clustered'!$A$3:$A$18, A25), "")</f>
        <v>I-004</v>
      </c>
      <c r="C25" s="3">
        <v>240</v>
      </c>
      <c r="D25" s="287" t="str">
        <f>IFERROR(HLOOKUP(C25, 'S15 Routing Clustered'!$B$2:$I$18,A25+1, 0), "")</f>
        <v/>
      </c>
      <c r="E25" s="287" t="str">
        <f t="shared" si="0"/>
        <v/>
      </c>
      <c r="F25" s="3" t="str">
        <f>IF(E25="", "", VLOOKUP(B25, 'S08 ABC Output'!$A$3:$C$18, 3, 0))</f>
        <v/>
      </c>
      <c r="I25" s="288" t="s">
        <v>596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r="26" spans="1:53" ht="17">
      <c r="A26" s="3">
        <v>1</v>
      </c>
      <c r="B26" s="196" t="str">
        <f>IFERROR(INDEX('S15 Routing Clustered'!$A$3:$A$18, A26), "")</f>
        <v>I-004</v>
      </c>
      <c r="C26" s="3">
        <v>250</v>
      </c>
      <c r="D26" s="287" t="str">
        <f>IFERROR(HLOOKUP(C26, 'S15 Routing Clustered'!$B$2:$I$18,A26+1, 0), "")</f>
        <v/>
      </c>
      <c r="E26" s="287" t="str">
        <f t="shared" si="0"/>
        <v/>
      </c>
      <c r="F26" s="3" t="str">
        <f>IF(E26="", "", VLOOKUP(B26, 'S08 ABC Output'!$A$3:$C$18, 3, 0))</f>
        <v/>
      </c>
      <c r="I26" s="288" t="s">
        <v>597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r="27" spans="1:53" ht="17">
      <c r="A27" s="3">
        <v>1</v>
      </c>
      <c r="B27" s="196" t="str">
        <f>IFERROR(INDEX('S15 Routing Clustered'!$A$3:$A$18, A27), "")</f>
        <v>I-004</v>
      </c>
      <c r="C27" s="3">
        <v>260</v>
      </c>
      <c r="D27" s="287" t="str">
        <f>IFERROR(HLOOKUP(C27, 'S15 Routing Clustered'!$B$2:$I$18,A27+1, 0), "")</f>
        <v/>
      </c>
      <c r="E27" s="287" t="str">
        <f t="shared" si="0"/>
        <v/>
      </c>
      <c r="F27" s="3" t="str">
        <f>IF(E27="", "", VLOOKUP(B27, 'S08 ABC Output'!$A$3:$C$18, 3, 0))</f>
        <v/>
      </c>
      <c r="I27" s="288" t="s">
        <v>598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>
        <v>215425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</row>
    <row r="28" spans="1:53" ht="17">
      <c r="A28" s="3">
        <v>1</v>
      </c>
      <c r="B28" s="196" t="str">
        <f>IFERROR(INDEX('S15 Routing Clustered'!$A$3:$A$18, A28), "")</f>
        <v>I-004</v>
      </c>
      <c r="C28" s="3">
        <v>270</v>
      </c>
      <c r="D28" s="287" t="str">
        <f>IFERROR(HLOOKUP(C28, 'S15 Routing Clustered'!$B$2:$I$18,A28+1, 0), "")</f>
        <v/>
      </c>
      <c r="E28" s="287" t="str">
        <f t="shared" si="0"/>
        <v/>
      </c>
      <c r="F28" s="3" t="str">
        <f>IF(E28="", "", VLOOKUP(B28, 'S08 ABC Output'!$A$3:$C$18, 3, 0))</f>
        <v/>
      </c>
      <c r="I28" s="288" t="s">
        <v>599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r="29" spans="1:53" ht="17">
      <c r="A29" s="3">
        <v>1</v>
      </c>
      <c r="B29" s="196" t="str">
        <f>IFERROR(INDEX('S15 Routing Clustered'!$A$3:$A$18, A29), "")</f>
        <v>I-004</v>
      </c>
      <c r="C29" s="3">
        <v>280</v>
      </c>
      <c r="D29" s="287" t="str">
        <f>IFERROR(HLOOKUP(C29, 'S15 Routing Clustered'!$B$2:$I$18,A29+1, 0), "")</f>
        <v/>
      </c>
      <c r="E29" s="287" t="str">
        <f t="shared" si="0"/>
        <v/>
      </c>
      <c r="F29" s="3" t="str">
        <f>IF(E29="", "", VLOOKUP(B29, 'S08 ABC Output'!$A$3:$C$18, 3, 0))</f>
        <v/>
      </c>
      <c r="I29" s="288" t="s">
        <v>600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1:53" ht="17">
      <c r="A30" s="3">
        <v>1</v>
      </c>
      <c r="B30" s="196" t="str">
        <f>IFERROR(INDEX('S15 Routing Clustered'!$A$3:$A$18, A30), "")</f>
        <v>I-004</v>
      </c>
      <c r="C30" s="3">
        <v>290</v>
      </c>
      <c r="D30" s="287" t="str">
        <f>IFERROR(HLOOKUP(C30, 'S15 Routing Clustered'!$B$2:$I$18,A30+1, 0), "")</f>
        <v/>
      </c>
      <c r="E30" s="287" t="str">
        <f t="shared" si="0"/>
        <v/>
      </c>
      <c r="F30" s="3" t="str">
        <f>IF(E30="", "", VLOOKUP(B30, 'S08 ABC Output'!$A$3:$C$18, 3, 0))</f>
        <v/>
      </c>
      <c r="I30" s="288" t="s">
        <v>601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r="31" spans="1:53" ht="17">
      <c r="A31" s="3">
        <v>1</v>
      </c>
      <c r="B31" s="196" t="str">
        <f>IFERROR(INDEX('S15 Routing Clustered'!$A$3:$A$18, A31), "")</f>
        <v>I-004</v>
      </c>
      <c r="C31" s="3">
        <v>300</v>
      </c>
      <c r="D31" s="287" t="str">
        <f>IFERROR(HLOOKUP(C31, 'S15 Routing Clustered'!$B$2:$I$18,A31+1, 0), "")</f>
        <v/>
      </c>
      <c r="E31" s="287" t="str">
        <f t="shared" si="0"/>
        <v/>
      </c>
      <c r="F31" s="3" t="str">
        <f>IF(E31="", "", VLOOKUP(B31, 'S08 ABC Output'!$A$3:$C$18, 3, 0))</f>
        <v/>
      </c>
      <c r="I31" s="288" t="s">
        <v>602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r="32" spans="1:53" ht="17">
      <c r="A32" s="3">
        <v>1</v>
      </c>
      <c r="B32" s="196" t="str">
        <f>IFERROR(INDEX('S15 Routing Clustered'!$A$3:$A$18, A32), "")</f>
        <v>I-004</v>
      </c>
      <c r="C32" s="3">
        <v>310</v>
      </c>
      <c r="D32" s="287" t="str">
        <f>IFERROR(HLOOKUP(C32, 'S15 Routing Clustered'!$B$2:$I$18,A32+1, 0), "")</f>
        <v/>
      </c>
      <c r="E32" s="287" t="str">
        <f t="shared" si="0"/>
        <v/>
      </c>
      <c r="F32" s="3" t="str">
        <f>IF(E32="", "", VLOOKUP(B32, 'S08 ABC Output'!$A$3:$C$18, 3, 0))</f>
        <v/>
      </c>
      <c r="I32" s="288" t="s">
        <v>603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1:53" ht="17">
      <c r="A33" s="3">
        <v>1</v>
      </c>
      <c r="B33" s="196" t="str">
        <f>IFERROR(INDEX('S15 Routing Clustered'!$A$3:$A$18, A33), "")</f>
        <v>I-004</v>
      </c>
      <c r="C33" s="3">
        <v>320</v>
      </c>
      <c r="D33" s="287" t="str">
        <f>IFERROR(HLOOKUP(C33, 'S15 Routing Clustered'!$B$2:$I$18,A33+1, 0), "")</f>
        <v/>
      </c>
      <c r="E33" s="287" t="str">
        <f t="shared" si="0"/>
        <v/>
      </c>
      <c r="F33" s="3" t="str">
        <f>IF(E33="", "", VLOOKUP(B33, 'S08 ABC Output'!$A$3:$C$18, 3, 0))</f>
        <v/>
      </c>
      <c r="I33" s="288" t="s">
        <v>604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</row>
    <row r="34" spans="1:53" ht="17">
      <c r="A34" s="3">
        <v>1</v>
      </c>
      <c r="B34" s="196" t="str">
        <f>IFERROR(INDEX('S15 Routing Clustered'!$A$3:$A$18, A34), "")</f>
        <v>I-004</v>
      </c>
      <c r="C34" s="3">
        <v>330</v>
      </c>
      <c r="D34" s="287" t="str">
        <f>IFERROR(HLOOKUP(C34, 'S15 Routing Clustered'!$B$2:$I$18,A34+1, 0), "")</f>
        <v/>
      </c>
      <c r="E34" s="287" t="str">
        <f t="shared" si="0"/>
        <v/>
      </c>
      <c r="F34" s="3" t="str">
        <f>IF(E34="", "", VLOOKUP(B34, 'S08 ABC Output'!$A$3:$C$18, 3, 0))</f>
        <v/>
      </c>
      <c r="I34" s="288" t="s">
        <v>605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</row>
    <row r="35" spans="1:53" ht="17">
      <c r="A35" s="3">
        <v>1</v>
      </c>
      <c r="B35" s="196" t="str">
        <f>IFERROR(INDEX('S15 Routing Clustered'!$A$3:$A$18, A35), "")</f>
        <v>I-004</v>
      </c>
      <c r="C35" s="3">
        <v>340</v>
      </c>
      <c r="D35" s="287" t="str">
        <f>IFERROR(HLOOKUP(C35, 'S15 Routing Clustered'!$B$2:$I$18,A35+1, 0), "")</f>
        <v/>
      </c>
      <c r="E35" s="287" t="str">
        <f t="shared" si="0"/>
        <v/>
      </c>
      <c r="F35" s="3" t="str">
        <f>IF(E35="", "", VLOOKUP(B35, 'S08 ABC Output'!$A$3:$C$18, 3, 0))</f>
        <v/>
      </c>
      <c r="I35" s="288" t="s">
        <v>606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</row>
    <row r="36" spans="1:53" ht="17">
      <c r="A36" s="3">
        <v>1</v>
      </c>
      <c r="B36" s="196" t="str">
        <f>IFERROR(INDEX('S15 Routing Clustered'!$A$3:$A$18, A36), "")</f>
        <v>I-004</v>
      </c>
      <c r="C36" s="3">
        <v>350</v>
      </c>
      <c r="D36" s="287" t="str">
        <f>IFERROR(HLOOKUP(C36, 'S15 Routing Clustered'!$B$2:$I$18,A36+1, 0), "")</f>
        <v/>
      </c>
      <c r="E36" s="287" t="str">
        <f t="shared" si="0"/>
        <v/>
      </c>
      <c r="F36" s="3" t="str">
        <f>IF(E36="", "", VLOOKUP(B36, 'S08 ABC Output'!$A$3:$C$18, 3, 0))</f>
        <v/>
      </c>
      <c r="I36" s="288" t="s">
        <v>607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>
        <v>215425</v>
      </c>
    </row>
    <row r="37" spans="1:53" ht="17">
      <c r="A37" s="3">
        <v>1</v>
      </c>
      <c r="B37" s="196" t="str">
        <f>IFERROR(INDEX('S15 Routing Clustered'!$A$3:$A$18, A37), "")</f>
        <v>I-004</v>
      </c>
      <c r="C37" s="3">
        <v>360</v>
      </c>
      <c r="D37" s="287" t="str">
        <f>IFERROR(HLOOKUP(C37, 'S15 Routing Clustered'!$B$2:$I$18,A37+1, 0), "")</f>
        <v/>
      </c>
      <c r="E37" s="287" t="str">
        <f t="shared" si="0"/>
        <v/>
      </c>
      <c r="F37" s="3" t="str">
        <f>IF(E37="", "", VLOOKUP(B37, 'S08 ABC Output'!$A$3:$C$18, 3, 0))</f>
        <v/>
      </c>
      <c r="I37" s="288" t="s">
        <v>608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1:53" ht="17">
      <c r="A38" s="3">
        <v>1</v>
      </c>
      <c r="B38" s="196" t="str">
        <f>IFERROR(INDEX('S15 Routing Clustered'!$A$3:$A$18, A38), "")</f>
        <v>I-004</v>
      </c>
      <c r="C38" s="3">
        <v>370</v>
      </c>
      <c r="D38" s="287" t="str">
        <f>IFERROR(HLOOKUP(C38, 'S15 Routing Clustered'!$B$2:$I$18,A38+1, 0), "")</f>
        <v/>
      </c>
      <c r="E38" s="287" t="str">
        <f t="shared" si="0"/>
        <v/>
      </c>
      <c r="F38" s="3" t="str">
        <f>IF(E38="", "", VLOOKUP(B38, 'S08 ABC Output'!$A$3:$C$18, 3, 0))</f>
        <v/>
      </c>
      <c r="I38" s="288" t="s">
        <v>609</v>
      </c>
      <c r="J38" s="3"/>
      <c r="K38" s="3"/>
      <c r="L38" s="3"/>
      <c r="M38" s="3"/>
      <c r="N38" s="3">
        <v>215425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  <row r="39" spans="1:53" ht="17">
      <c r="A39" s="3">
        <v>1</v>
      </c>
      <c r="B39" s="196" t="str">
        <f>IFERROR(INDEX('S15 Routing Clustered'!$A$3:$A$18, A39), "")</f>
        <v>I-004</v>
      </c>
      <c r="C39" s="3">
        <v>380</v>
      </c>
      <c r="D39" s="287" t="str">
        <f>IFERROR(HLOOKUP(C39, 'S15 Routing Clustered'!$B$2:$I$18,A39+1, 0), "")</f>
        <v/>
      </c>
      <c r="E39" s="287" t="str">
        <f t="shared" si="0"/>
        <v/>
      </c>
      <c r="F39" s="3" t="str">
        <f>IF(E39="", "", VLOOKUP(B39, 'S08 ABC Output'!$A$3:$C$18, 3, 0))</f>
        <v/>
      </c>
      <c r="I39" s="288" t="s">
        <v>610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</row>
    <row r="40" spans="1:53" ht="17">
      <c r="A40" s="3">
        <v>1</v>
      </c>
      <c r="B40" s="196" t="str">
        <f>IFERROR(INDEX('S15 Routing Clustered'!$A$3:$A$18, A40), "")</f>
        <v>I-004</v>
      </c>
      <c r="C40" s="3">
        <v>390</v>
      </c>
      <c r="D40" s="287" t="str">
        <f>IFERROR(HLOOKUP(C40, 'S15 Routing Clustered'!$B$2:$I$18,A40+1, 0), "")</f>
        <v/>
      </c>
      <c r="E40" s="287" t="str">
        <f t="shared" si="0"/>
        <v/>
      </c>
      <c r="F40" s="3" t="str">
        <f>IF(E40="", "", VLOOKUP(B40, 'S08 ABC Output'!$A$3:$C$18, 3, 0))</f>
        <v/>
      </c>
      <c r="I40" s="288" t="s">
        <v>611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1:53" ht="17">
      <c r="A41" s="3">
        <v>1</v>
      </c>
      <c r="B41" s="196" t="str">
        <f>IFERROR(INDEX('S15 Routing Clustered'!$A$3:$A$18, A41), "")</f>
        <v>I-004</v>
      </c>
      <c r="C41" s="3">
        <v>400</v>
      </c>
      <c r="D41" s="287" t="str">
        <f>IFERROR(HLOOKUP(C41, 'S15 Routing Clustered'!$B$2:$I$18,A41+1, 0), "")</f>
        <v/>
      </c>
      <c r="E41" s="287" t="str">
        <f t="shared" si="0"/>
        <v/>
      </c>
      <c r="F41" s="3" t="str">
        <f>IF(E41="", "", VLOOKUP(B41, 'S08 ABC Output'!$A$3:$C$18, 3, 0))</f>
        <v/>
      </c>
      <c r="I41" s="288" t="s">
        <v>612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</row>
    <row r="42" spans="1:53" ht="17">
      <c r="A42" s="3">
        <v>1</v>
      </c>
      <c r="B42" s="196" t="str">
        <f>IFERROR(INDEX('S15 Routing Clustered'!$A$3:$A$18, A42), "")</f>
        <v>I-004</v>
      </c>
      <c r="C42" s="3">
        <v>410</v>
      </c>
      <c r="D42" s="287" t="str">
        <f>IFERROR(HLOOKUP(C42, 'S15 Routing Clustered'!$B$2:$I$18,A42+1, 0), "")</f>
        <v/>
      </c>
      <c r="E42" s="287" t="str">
        <f t="shared" si="0"/>
        <v/>
      </c>
      <c r="F42" s="3" t="str">
        <f>IF(E42="", "", VLOOKUP(B42, 'S08 ABC Output'!$A$3:$C$18, 3, 0))</f>
        <v/>
      </c>
      <c r="I42" s="288" t="s">
        <v>613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</row>
    <row r="43" spans="1:53" ht="17">
      <c r="A43" s="3">
        <v>1</v>
      </c>
      <c r="B43" s="196" t="str">
        <f>IFERROR(INDEX('S15 Routing Clustered'!$A$3:$A$18, A43), "")</f>
        <v>I-004</v>
      </c>
      <c r="C43" s="3">
        <v>420</v>
      </c>
      <c r="D43" s="287" t="str">
        <f>IFERROR(HLOOKUP(C43, 'S15 Routing Clustered'!$B$2:$I$18,A43+1, 0), "")</f>
        <v/>
      </c>
      <c r="E43" s="287" t="str">
        <f t="shared" si="0"/>
        <v/>
      </c>
      <c r="F43" s="3" t="str">
        <f>IF(E43="", "", VLOOKUP(B43, 'S08 ABC Output'!$A$3:$C$18, 3, 0))</f>
        <v/>
      </c>
      <c r="I43" s="288" t="s">
        <v>614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</row>
    <row r="44" spans="1:53" ht="17">
      <c r="A44" s="3">
        <v>1</v>
      </c>
      <c r="B44" s="196" t="str">
        <f>IFERROR(INDEX('S15 Routing Clustered'!$A$3:$A$18, A44), "")</f>
        <v>I-004</v>
      </c>
      <c r="C44" s="3">
        <v>430</v>
      </c>
      <c r="D44" s="287" t="str">
        <f>IFERROR(HLOOKUP(C44, 'S15 Routing Clustered'!$B$2:$I$18,A44+1, 0), "")</f>
        <v/>
      </c>
      <c r="E44" s="287" t="str">
        <f t="shared" si="0"/>
        <v/>
      </c>
      <c r="F44" s="3" t="str">
        <f>IF(E44="", "", VLOOKUP(B44, 'S08 ABC Output'!$A$3:$C$18, 3, 0))</f>
        <v/>
      </c>
      <c r="I44" s="288" t="s">
        <v>615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</row>
    <row r="45" spans="1:53" ht="17">
      <c r="A45" s="3">
        <v>1</v>
      </c>
      <c r="B45" s="196" t="str">
        <f>IFERROR(INDEX('S15 Routing Clustered'!$A$3:$A$18, A45), "")</f>
        <v>I-004</v>
      </c>
      <c r="C45" s="3">
        <v>440</v>
      </c>
      <c r="D45" s="287" t="str">
        <f>IFERROR(HLOOKUP(C45, 'S15 Routing Clustered'!$B$2:$I$18,A45+1, 0), "")</f>
        <v/>
      </c>
      <c r="E45" s="287" t="str">
        <f t="shared" si="0"/>
        <v/>
      </c>
      <c r="F45" s="3" t="str">
        <f>IF(E45="", "", VLOOKUP(B45, 'S08 ABC Output'!$A$3:$C$18, 3, 0))</f>
        <v/>
      </c>
      <c r="I45" s="288" t="s">
        <v>616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>
        <v>215425</v>
      </c>
      <c r="AT45" s="3"/>
      <c r="AU45" s="3"/>
      <c r="AV45" s="3"/>
      <c r="AW45" s="3"/>
      <c r="AX45" s="3"/>
      <c r="AY45" s="3"/>
      <c r="AZ45" s="3"/>
      <c r="BA45" s="3"/>
    </row>
    <row r="46" spans="1:53" ht="17">
      <c r="A46" s="3">
        <v>1</v>
      </c>
      <c r="B46" s="196" t="str">
        <f>IFERROR(INDEX('S15 Routing Clustered'!$A$3:$A$18, A46), "")</f>
        <v>I-004</v>
      </c>
      <c r="C46" s="3">
        <v>450</v>
      </c>
      <c r="D46" s="287" t="str">
        <f>IFERROR(HLOOKUP(C46, 'S15 Routing Clustered'!$B$2:$I$18,A46+1, 0), "")</f>
        <v/>
      </c>
      <c r="E46" s="287" t="str">
        <f t="shared" si="0"/>
        <v/>
      </c>
      <c r="F46" s="3" t="str">
        <f>IF(E46="", "", VLOOKUP(B46, 'S08 ABC Output'!$A$3:$C$18, 3, 0))</f>
        <v/>
      </c>
      <c r="I46" s="288" t="s">
        <v>617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</row>
    <row r="47" spans="1:53" ht="17">
      <c r="B47" s="196" t="str">
        <f>IFERROR(INDEX('S15 Routing Clustered'!$A$3:$A$18, A47), "")</f>
        <v/>
      </c>
      <c r="D47" s="287" t="str">
        <f>IFERROR(HLOOKUP(C47, 'S15 Routing Clustered'!$B$2:$I$18,A47+1, 0), "")</f>
        <v/>
      </c>
      <c r="E47" s="287" t="str">
        <f t="shared" si="0"/>
        <v/>
      </c>
      <c r="F47" s="3" t="str">
        <f>IF(E47="", "", VLOOKUP(B47, 'S08 ABC Output'!$A$3:$C$18, 3, 0))</f>
        <v/>
      </c>
    </row>
    <row r="48" spans="1:53" ht="17">
      <c r="B48" s="196" t="str">
        <f>IFERROR(INDEX('S15 Routing Clustered'!$A$3:$A$18, A48), "")</f>
        <v/>
      </c>
      <c r="D48" s="287" t="str">
        <f>IFERROR(HLOOKUP(C48, 'S15 Routing Clustered'!$B$2:$I$18,A48+1, 0), "")</f>
        <v/>
      </c>
      <c r="E48" s="287" t="str">
        <f t="shared" si="0"/>
        <v/>
      </c>
      <c r="F48" s="3" t="str">
        <f>IF(E48="", "", VLOOKUP(B48, 'S08 ABC Output'!$A$3:$C$18, 3, 0))</f>
        <v/>
      </c>
    </row>
    <row r="49" spans="1:53" ht="17">
      <c r="A49" s="3">
        <v>2</v>
      </c>
      <c r="B49" s="196" t="str">
        <f>IFERROR(INDEX('S15 Routing Clustered'!$A$3:$A$18, A49), "")</f>
        <v>I-066</v>
      </c>
      <c r="C49" s="3">
        <v>10</v>
      </c>
      <c r="D49" s="287" t="str">
        <f>IFERROR(HLOOKUP(C49, 'S15 Routing Clustered'!$B$2:$I$18,A49+1, 0), "")</f>
        <v>WS-43</v>
      </c>
      <c r="E49" s="287" t="str">
        <f t="shared" si="0"/>
        <v>WS-36</v>
      </c>
      <c r="F49" s="3">
        <f>IF(E49="", "", VLOOKUP(B49, 'S08 ABC Output'!$A$3:$C$18, 3, 0))</f>
        <v>45896</v>
      </c>
      <c r="I49" s="288"/>
      <c r="J49" s="288" t="str">
        <f>J2</f>
        <v>WS-01</v>
      </c>
      <c r="K49" s="288" t="str">
        <f t="shared" ref="K49:BA49" si="1">K2</f>
        <v>WS-02</v>
      </c>
      <c r="L49" s="288" t="str">
        <f t="shared" si="1"/>
        <v>WS-03</v>
      </c>
      <c r="M49" s="288" t="str">
        <f t="shared" si="1"/>
        <v>WS-04</v>
      </c>
      <c r="N49" s="288" t="str">
        <f t="shared" si="1"/>
        <v>WS-05</v>
      </c>
      <c r="O49" s="288" t="str">
        <f t="shared" si="1"/>
        <v>WS-06</v>
      </c>
      <c r="P49" s="288" t="str">
        <f t="shared" si="1"/>
        <v>WS-07</v>
      </c>
      <c r="Q49" s="288" t="str">
        <f t="shared" si="1"/>
        <v>WS-08</v>
      </c>
      <c r="R49" s="288" t="str">
        <f t="shared" si="1"/>
        <v>WS-09</v>
      </c>
      <c r="S49" s="288" t="str">
        <f t="shared" si="1"/>
        <v>WS-10</v>
      </c>
      <c r="T49" s="288" t="str">
        <f t="shared" si="1"/>
        <v>WS-11</v>
      </c>
      <c r="U49" s="288" t="str">
        <f t="shared" si="1"/>
        <v>WS-12</v>
      </c>
      <c r="V49" s="288" t="str">
        <f t="shared" si="1"/>
        <v>WS-13</v>
      </c>
      <c r="W49" s="288" t="str">
        <f t="shared" si="1"/>
        <v>WS-14</v>
      </c>
      <c r="X49" s="288" t="str">
        <f t="shared" si="1"/>
        <v>WS-15</v>
      </c>
      <c r="Y49" s="288" t="str">
        <f t="shared" si="1"/>
        <v>WS-16</v>
      </c>
      <c r="Z49" s="288" t="str">
        <f t="shared" si="1"/>
        <v>WS-17</v>
      </c>
      <c r="AA49" s="288" t="str">
        <f t="shared" si="1"/>
        <v>WS-18</v>
      </c>
      <c r="AB49" s="288" t="str">
        <f t="shared" si="1"/>
        <v>WS-19</v>
      </c>
      <c r="AC49" s="288" t="str">
        <f t="shared" si="1"/>
        <v>WS-20</v>
      </c>
      <c r="AD49" s="288" t="str">
        <f t="shared" si="1"/>
        <v>WS-21</v>
      </c>
      <c r="AE49" s="288" t="str">
        <f t="shared" si="1"/>
        <v>WS-22</v>
      </c>
      <c r="AF49" s="288" t="str">
        <f t="shared" si="1"/>
        <v>WS-23</v>
      </c>
      <c r="AG49" s="288" t="str">
        <f t="shared" si="1"/>
        <v>WS-24</v>
      </c>
      <c r="AH49" s="288" t="str">
        <f t="shared" si="1"/>
        <v>WS-25</v>
      </c>
      <c r="AI49" s="288" t="str">
        <f t="shared" si="1"/>
        <v>WS-26</v>
      </c>
      <c r="AJ49" s="288" t="str">
        <f t="shared" si="1"/>
        <v>WS-27</v>
      </c>
      <c r="AK49" s="288" t="str">
        <f t="shared" si="1"/>
        <v>WS-28</v>
      </c>
      <c r="AL49" s="288" t="str">
        <f t="shared" si="1"/>
        <v>WS-29</v>
      </c>
      <c r="AM49" s="288" t="str">
        <f t="shared" si="1"/>
        <v>WS-30</v>
      </c>
      <c r="AN49" s="288" t="str">
        <f t="shared" si="1"/>
        <v>WS-31</v>
      </c>
      <c r="AO49" s="288" t="str">
        <f t="shared" si="1"/>
        <v>WS-32</v>
      </c>
      <c r="AP49" s="288" t="str">
        <f t="shared" si="1"/>
        <v>WS-33</v>
      </c>
      <c r="AQ49" s="288" t="str">
        <f t="shared" si="1"/>
        <v>WS-34</v>
      </c>
      <c r="AR49" s="288" t="str">
        <f t="shared" si="1"/>
        <v>WS-35</v>
      </c>
      <c r="AS49" s="288" t="str">
        <f t="shared" si="1"/>
        <v>WS-36</v>
      </c>
      <c r="AT49" s="288" t="str">
        <f t="shared" si="1"/>
        <v>WS-37</v>
      </c>
      <c r="AU49" s="288" t="str">
        <f t="shared" si="1"/>
        <v>WS-38</v>
      </c>
      <c r="AV49" s="288" t="str">
        <f t="shared" si="1"/>
        <v>WS-39</v>
      </c>
      <c r="AW49" s="288" t="str">
        <f t="shared" si="1"/>
        <v>WS-40</v>
      </c>
      <c r="AX49" s="288" t="str">
        <f t="shared" si="1"/>
        <v>WS-41</v>
      </c>
      <c r="AY49" s="288" t="str">
        <f t="shared" si="1"/>
        <v>WS-42</v>
      </c>
      <c r="AZ49" s="288" t="str">
        <f t="shared" si="1"/>
        <v>WS-43</v>
      </c>
      <c r="BA49" s="288" t="str">
        <f t="shared" si="1"/>
        <v>WS-44</v>
      </c>
    </row>
    <row r="50" spans="1:53" ht="17">
      <c r="A50" s="3">
        <v>2</v>
      </c>
      <c r="B50" s="196" t="str">
        <f>IFERROR(INDEX('S15 Routing Clustered'!$A$3:$A$18, A50), "")</f>
        <v>I-066</v>
      </c>
      <c r="C50" s="3">
        <v>20</v>
      </c>
      <c r="D50" s="287" t="str">
        <f>IFERROR(HLOOKUP(C50, 'S15 Routing Clustered'!$B$2:$I$18,A50+1, 0), "")</f>
        <v>WS-36</v>
      </c>
      <c r="E50" s="287" t="str">
        <f t="shared" si="0"/>
        <v>WS-05</v>
      </c>
      <c r="F50" s="3">
        <f>IF(E50="", "", VLOOKUP(B50, 'S08 ABC Output'!$A$3:$C$18, 3, 0))</f>
        <v>45896</v>
      </c>
      <c r="I50" s="288" t="str">
        <f>I3</f>
        <v>WS-01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</row>
    <row r="51" spans="1:53" ht="17">
      <c r="A51" s="3">
        <v>2</v>
      </c>
      <c r="B51" s="196" t="str">
        <f>IFERROR(INDEX('S15 Routing Clustered'!$A$3:$A$18, A51), "")</f>
        <v>I-066</v>
      </c>
      <c r="C51" s="3">
        <v>30</v>
      </c>
      <c r="D51" s="287" t="str">
        <f>IFERROR(HLOOKUP(C51, 'S15 Routing Clustered'!$B$2:$I$18,A51+1, 0), "")</f>
        <v>WS-05</v>
      </c>
      <c r="E51" s="287" t="str">
        <f t="shared" si="0"/>
        <v>WS-25</v>
      </c>
      <c r="F51" s="3">
        <f>IF(E51="", "", VLOOKUP(B51, 'S08 ABC Output'!$A$3:$C$18, 3, 0))</f>
        <v>45896</v>
      </c>
      <c r="I51" s="288" t="str">
        <f t="shared" ref="I51:I93" si="2">I4</f>
        <v>WS-02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</row>
    <row r="52" spans="1:53" ht="17">
      <c r="A52" s="3">
        <v>2</v>
      </c>
      <c r="B52" s="196" t="str">
        <f>IFERROR(INDEX('S15 Routing Clustered'!$A$3:$A$18, A52), "")</f>
        <v>I-066</v>
      </c>
      <c r="C52" s="3">
        <v>40</v>
      </c>
      <c r="D52" s="287" t="str">
        <f>IFERROR(HLOOKUP(C52, 'S15 Routing Clustered'!$B$2:$I$18,A52+1, 0), "")</f>
        <v>WS-25</v>
      </c>
      <c r="E52" s="287" t="str">
        <f t="shared" si="0"/>
        <v>WS-34</v>
      </c>
      <c r="F52" s="3">
        <f>IF(E52="", "", VLOOKUP(B52, 'S08 ABC Output'!$A$3:$C$18, 3, 0))</f>
        <v>45896</v>
      </c>
      <c r="I52" s="288" t="str">
        <f t="shared" si="2"/>
        <v>WS-03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</row>
    <row r="53" spans="1:53" ht="17">
      <c r="A53" s="3">
        <v>2</v>
      </c>
      <c r="B53" s="196" t="str">
        <f>IFERROR(INDEX('S15 Routing Clustered'!$A$3:$A$18, A53), "")</f>
        <v>I-066</v>
      </c>
      <c r="C53" s="3">
        <v>50</v>
      </c>
      <c r="D53" s="287" t="str">
        <f>IFERROR(HLOOKUP(C53, 'S15 Routing Clustered'!$B$2:$I$18,A53+1, 0), "")</f>
        <v>WS-34</v>
      </c>
      <c r="E53" s="287" t="str">
        <f t="shared" si="0"/>
        <v>WS-44</v>
      </c>
      <c r="F53" s="3">
        <f>IF(E53="", "", VLOOKUP(B53, 'S08 ABC Output'!$A$3:$C$18, 3, 0))</f>
        <v>45896</v>
      </c>
      <c r="I53" s="288" t="str">
        <f t="shared" si="2"/>
        <v>WS-04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</row>
    <row r="54" spans="1:53" ht="17">
      <c r="A54" s="3">
        <v>2</v>
      </c>
      <c r="B54" s="196" t="str">
        <f>IFERROR(INDEX('S15 Routing Clustered'!$A$3:$A$18, A54), "")</f>
        <v>I-066</v>
      </c>
      <c r="C54" s="3">
        <v>60</v>
      </c>
      <c r="D54" s="287" t="str">
        <f>IFERROR(HLOOKUP(C54, 'S15 Routing Clustered'!$B$2:$I$18,A54+1, 0), "")</f>
        <v>WS-44</v>
      </c>
      <c r="E54" s="287" t="str">
        <f t="shared" si="0"/>
        <v/>
      </c>
      <c r="F54" s="3" t="str">
        <f>IF(E54="", "", VLOOKUP(B54, 'S08 ABC Output'!$A$3:$C$18, 3, 0))</f>
        <v/>
      </c>
      <c r="I54" s="288" t="str">
        <f t="shared" si="2"/>
        <v>WS-05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>
        <v>45896</v>
      </c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1:53" ht="17">
      <c r="A55" s="3">
        <v>2</v>
      </c>
      <c r="B55" s="196" t="str">
        <f>IFERROR(INDEX('S15 Routing Clustered'!$A$3:$A$18, A55), "")</f>
        <v>I-066</v>
      </c>
      <c r="C55" s="3">
        <v>70</v>
      </c>
      <c r="D55" s="287" t="str">
        <f>IFERROR(HLOOKUP(C55, 'S15 Routing Clustered'!$B$2:$I$18,A55+1, 0), "")</f>
        <v/>
      </c>
      <c r="E55" s="287" t="str">
        <f t="shared" si="0"/>
        <v/>
      </c>
      <c r="F55" s="3" t="str">
        <f>IF(E55="", "", VLOOKUP(B55, 'S08 ABC Output'!$A$3:$C$18, 3, 0))</f>
        <v/>
      </c>
      <c r="I55" s="288" t="str">
        <f t="shared" si="2"/>
        <v>WS-06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</row>
    <row r="56" spans="1:53" ht="17">
      <c r="A56" s="3">
        <v>2</v>
      </c>
      <c r="B56" s="196" t="str">
        <f>IFERROR(INDEX('S15 Routing Clustered'!$A$3:$A$18, A56), "")</f>
        <v>I-066</v>
      </c>
      <c r="C56" s="3">
        <v>80</v>
      </c>
      <c r="D56" s="287" t="str">
        <f>IFERROR(HLOOKUP(C56, 'S15 Routing Clustered'!$B$2:$I$18,A56+1, 0), "")</f>
        <v/>
      </c>
      <c r="E56" s="287" t="str">
        <f t="shared" si="0"/>
        <v/>
      </c>
      <c r="F56" s="3" t="str">
        <f>IF(E56="", "", VLOOKUP(B56, 'S08 ABC Output'!$A$3:$C$18, 3, 0))</f>
        <v/>
      </c>
      <c r="I56" s="288" t="str">
        <f t="shared" si="2"/>
        <v>WS-07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</row>
    <row r="57" spans="1:53" ht="17">
      <c r="A57" s="3">
        <v>2</v>
      </c>
      <c r="B57" s="196" t="str">
        <f>IFERROR(INDEX('S15 Routing Clustered'!$A$3:$A$18, A57), "")</f>
        <v>I-066</v>
      </c>
      <c r="C57" s="3">
        <v>90</v>
      </c>
      <c r="D57" s="287" t="str">
        <f>IFERROR(HLOOKUP(C57, 'S15 Routing Clustered'!$B$2:$I$18,A57+1, 0), "")</f>
        <v/>
      </c>
      <c r="E57" s="287" t="str">
        <f t="shared" si="0"/>
        <v/>
      </c>
      <c r="F57" s="3" t="str">
        <f>IF(E57="", "", VLOOKUP(B57, 'S08 ABC Output'!$A$3:$C$18, 3, 0))</f>
        <v/>
      </c>
      <c r="I57" s="288" t="str">
        <f t="shared" si="2"/>
        <v>WS-08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1:53" ht="17">
      <c r="A58" s="3">
        <v>2</v>
      </c>
      <c r="B58" s="196" t="str">
        <f>IFERROR(INDEX('S15 Routing Clustered'!$A$3:$A$18, A58), "")</f>
        <v>I-066</v>
      </c>
      <c r="C58" s="3">
        <v>100</v>
      </c>
      <c r="D58" s="287" t="str">
        <f>IFERROR(HLOOKUP(C58, 'S15 Routing Clustered'!$B$2:$I$18,A58+1, 0), "")</f>
        <v/>
      </c>
      <c r="E58" s="287" t="str">
        <f t="shared" si="0"/>
        <v/>
      </c>
      <c r="F58" s="3" t="str">
        <f>IF(E58="", "", VLOOKUP(B58, 'S08 ABC Output'!$A$3:$C$18, 3, 0))</f>
        <v/>
      </c>
      <c r="I58" s="288" t="str">
        <f t="shared" si="2"/>
        <v>WS-09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</row>
    <row r="59" spans="1:53" ht="17">
      <c r="A59" s="3">
        <v>2</v>
      </c>
      <c r="B59" s="196" t="str">
        <f>IFERROR(INDEX('S15 Routing Clustered'!$A$3:$A$18, A59), "")</f>
        <v>I-066</v>
      </c>
      <c r="C59" s="3">
        <v>110</v>
      </c>
      <c r="D59" s="287" t="str">
        <f>IFERROR(HLOOKUP(C59, 'S15 Routing Clustered'!$B$2:$I$18,A59+1, 0), "")</f>
        <v/>
      </c>
      <c r="E59" s="287" t="str">
        <f t="shared" si="0"/>
        <v/>
      </c>
      <c r="F59" s="3" t="str">
        <f>IF(E59="", "", VLOOKUP(B59, 'S08 ABC Output'!$A$3:$C$18, 3, 0))</f>
        <v/>
      </c>
      <c r="I59" s="288" t="str">
        <f t="shared" si="2"/>
        <v>WS-10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</row>
    <row r="60" spans="1:53" ht="17">
      <c r="A60" s="3">
        <v>2</v>
      </c>
      <c r="B60" s="196" t="str">
        <f>IFERROR(INDEX('S15 Routing Clustered'!$A$3:$A$18, A60), "")</f>
        <v>I-066</v>
      </c>
      <c r="C60" s="3">
        <v>120</v>
      </c>
      <c r="D60" s="287" t="str">
        <f>IFERROR(HLOOKUP(C60, 'S15 Routing Clustered'!$B$2:$I$18,A60+1, 0), "")</f>
        <v/>
      </c>
      <c r="E60" s="287" t="str">
        <f t="shared" si="0"/>
        <v/>
      </c>
      <c r="F60" s="3" t="str">
        <f>IF(E60="", "", VLOOKUP(B60, 'S08 ABC Output'!$A$3:$C$18, 3, 0))</f>
        <v/>
      </c>
      <c r="I60" s="288" t="str">
        <f t="shared" si="2"/>
        <v>WS-11</v>
      </c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</row>
    <row r="61" spans="1:53" ht="17">
      <c r="A61" s="3">
        <v>2</v>
      </c>
      <c r="B61" s="196" t="str">
        <f>IFERROR(INDEX('S15 Routing Clustered'!$A$3:$A$18, A61), "")</f>
        <v>I-066</v>
      </c>
      <c r="C61" s="3">
        <v>130</v>
      </c>
      <c r="D61" s="287" t="str">
        <f>IFERROR(HLOOKUP(C61, 'S15 Routing Clustered'!$B$2:$I$18,A61+1, 0), "")</f>
        <v/>
      </c>
      <c r="E61" s="287" t="str">
        <f t="shared" si="0"/>
        <v/>
      </c>
      <c r="F61" s="3" t="str">
        <f>IF(E61="", "", VLOOKUP(B61, 'S08 ABC Output'!$A$3:$C$18, 3, 0))</f>
        <v/>
      </c>
      <c r="I61" s="288" t="str">
        <f t="shared" si="2"/>
        <v>WS-12</v>
      </c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</row>
    <row r="62" spans="1:53" ht="17">
      <c r="A62" s="3">
        <v>2</v>
      </c>
      <c r="B62" s="196" t="str">
        <f>IFERROR(INDEX('S15 Routing Clustered'!$A$3:$A$18, A62), "")</f>
        <v>I-066</v>
      </c>
      <c r="C62" s="3">
        <v>140</v>
      </c>
      <c r="D62" s="287" t="str">
        <f>IFERROR(HLOOKUP(C62, 'S15 Routing Clustered'!$B$2:$I$18,A62+1, 0), "")</f>
        <v/>
      </c>
      <c r="E62" s="287" t="str">
        <f t="shared" si="0"/>
        <v/>
      </c>
      <c r="F62" s="3" t="str">
        <f>IF(E62="", "", VLOOKUP(B62, 'S08 ABC Output'!$A$3:$C$18, 3, 0))</f>
        <v/>
      </c>
      <c r="I62" s="288" t="str">
        <f t="shared" si="2"/>
        <v>WS-13</v>
      </c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1:53" ht="17">
      <c r="A63" s="3">
        <v>2</v>
      </c>
      <c r="B63" s="196" t="str">
        <f>IFERROR(INDEX('S15 Routing Clustered'!$A$3:$A$18, A63), "")</f>
        <v>I-066</v>
      </c>
      <c r="C63" s="3">
        <v>150</v>
      </c>
      <c r="D63" s="287" t="str">
        <f>IFERROR(HLOOKUP(C63, 'S15 Routing Clustered'!$B$2:$I$18,A63+1, 0), "")</f>
        <v/>
      </c>
      <c r="E63" s="287" t="str">
        <f t="shared" si="0"/>
        <v/>
      </c>
      <c r="F63" s="3" t="str">
        <f>IF(E63="", "", VLOOKUP(B63, 'S08 ABC Output'!$A$3:$C$18, 3, 0))</f>
        <v/>
      </c>
      <c r="I63" s="288" t="str">
        <f t="shared" si="2"/>
        <v>WS-14</v>
      </c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1:53" ht="17">
      <c r="A64" s="3">
        <v>2</v>
      </c>
      <c r="B64" s="196" t="str">
        <f>IFERROR(INDEX('S15 Routing Clustered'!$A$3:$A$18, A64), "")</f>
        <v>I-066</v>
      </c>
      <c r="C64" s="3">
        <v>160</v>
      </c>
      <c r="D64" s="287" t="str">
        <f>IFERROR(HLOOKUP(C64, 'S15 Routing Clustered'!$B$2:$I$18,A64+1, 0), "")</f>
        <v/>
      </c>
      <c r="E64" s="287" t="str">
        <f t="shared" si="0"/>
        <v/>
      </c>
      <c r="F64" s="3" t="str">
        <f>IF(E64="", "", VLOOKUP(B64, 'S08 ABC Output'!$A$3:$C$18, 3, 0))</f>
        <v/>
      </c>
      <c r="I64" s="288" t="str">
        <f t="shared" si="2"/>
        <v>WS-15</v>
      </c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  <row r="65" spans="1:53" ht="17">
      <c r="A65" s="3">
        <v>2</v>
      </c>
      <c r="B65" s="196" t="str">
        <f>IFERROR(INDEX('S15 Routing Clustered'!$A$3:$A$18, A65), "")</f>
        <v>I-066</v>
      </c>
      <c r="C65" s="3">
        <v>170</v>
      </c>
      <c r="D65" s="287" t="str">
        <f>IFERROR(HLOOKUP(C65, 'S15 Routing Clustered'!$B$2:$I$18,A65+1, 0), "")</f>
        <v/>
      </c>
      <c r="E65" s="287" t="str">
        <f t="shared" si="0"/>
        <v/>
      </c>
      <c r="F65" s="3" t="str">
        <f>IF(E65="", "", VLOOKUP(B65, 'S08 ABC Output'!$A$3:$C$18, 3, 0))</f>
        <v/>
      </c>
      <c r="I65" s="288" t="str">
        <f t="shared" si="2"/>
        <v>WS-16</v>
      </c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</row>
    <row r="66" spans="1:53" ht="17">
      <c r="A66" s="3">
        <v>2</v>
      </c>
      <c r="B66" s="196" t="str">
        <f>IFERROR(INDEX('S15 Routing Clustered'!$A$3:$A$18, A66), "")</f>
        <v>I-066</v>
      </c>
      <c r="C66" s="3">
        <v>180</v>
      </c>
      <c r="D66" s="287" t="str">
        <f>IFERROR(HLOOKUP(C66, 'S15 Routing Clustered'!$B$2:$I$18,A66+1, 0), "")</f>
        <v/>
      </c>
      <c r="E66" s="287" t="str">
        <f t="shared" si="0"/>
        <v/>
      </c>
      <c r="F66" s="3" t="str">
        <f>IF(E66="", "", VLOOKUP(B66, 'S08 ABC Output'!$A$3:$C$18, 3, 0))</f>
        <v/>
      </c>
      <c r="I66" s="288" t="str">
        <f t="shared" si="2"/>
        <v>WS-17</v>
      </c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</row>
    <row r="67" spans="1:53" ht="17">
      <c r="A67" s="3">
        <v>2</v>
      </c>
      <c r="B67" s="196" t="str">
        <f>IFERROR(INDEX('S15 Routing Clustered'!$A$3:$A$18, A67), "")</f>
        <v>I-066</v>
      </c>
      <c r="C67" s="3">
        <v>190</v>
      </c>
      <c r="D67" s="287" t="str">
        <f>IFERROR(HLOOKUP(C67, 'S15 Routing Clustered'!$B$2:$I$18,A67+1, 0), "")</f>
        <v/>
      </c>
      <c r="E67" s="287" t="str">
        <f t="shared" ref="E67:E130" si="3">IF(D67="", "", D68)</f>
        <v/>
      </c>
      <c r="F67" s="3" t="str">
        <f>IF(E67="", "", VLOOKUP(B67, 'S08 ABC Output'!$A$3:$C$18, 3, 0))</f>
        <v/>
      </c>
      <c r="I67" s="288" t="str">
        <f t="shared" si="2"/>
        <v>WS-18</v>
      </c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</row>
    <row r="68" spans="1:53" ht="17">
      <c r="A68" s="3">
        <v>2</v>
      </c>
      <c r="B68" s="196" t="str">
        <f>IFERROR(INDEX('S15 Routing Clustered'!$A$3:$A$18, A68), "")</f>
        <v>I-066</v>
      </c>
      <c r="C68" s="3">
        <v>200</v>
      </c>
      <c r="D68" s="287" t="str">
        <f>IFERROR(HLOOKUP(C68, 'S15 Routing Clustered'!$B$2:$I$18,A68+1, 0), "")</f>
        <v/>
      </c>
      <c r="E68" s="287" t="str">
        <f t="shared" si="3"/>
        <v/>
      </c>
      <c r="F68" s="3" t="str">
        <f>IF(E68="", "", VLOOKUP(B68, 'S08 ABC Output'!$A$3:$C$18, 3, 0))</f>
        <v/>
      </c>
      <c r="I68" s="288" t="str">
        <f t="shared" si="2"/>
        <v>WS-19</v>
      </c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</row>
    <row r="69" spans="1:53" ht="17">
      <c r="A69" s="3">
        <v>2</v>
      </c>
      <c r="B69" s="196" t="str">
        <f>IFERROR(INDEX('S15 Routing Clustered'!$A$3:$A$18, A69), "")</f>
        <v>I-066</v>
      </c>
      <c r="C69" s="3">
        <v>210</v>
      </c>
      <c r="D69" s="287" t="str">
        <f>IFERROR(HLOOKUP(C69, 'S15 Routing Clustered'!$B$2:$I$18,A69+1, 0), "")</f>
        <v/>
      </c>
      <c r="E69" s="287" t="str">
        <f t="shared" si="3"/>
        <v/>
      </c>
      <c r="F69" s="3" t="str">
        <f>IF(E69="", "", VLOOKUP(B69, 'S08 ABC Output'!$A$3:$C$18, 3, 0))</f>
        <v/>
      </c>
      <c r="I69" s="288" t="str">
        <f t="shared" si="2"/>
        <v>WS-20</v>
      </c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</row>
    <row r="70" spans="1:53" ht="17">
      <c r="A70" s="3">
        <v>2</v>
      </c>
      <c r="B70" s="196" t="str">
        <f>IFERROR(INDEX('S15 Routing Clustered'!$A$3:$A$18, A70), "")</f>
        <v>I-066</v>
      </c>
      <c r="C70" s="3">
        <v>220</v>
      </c>
      <c r="D70" s="287" t="str">
        <f>IFERROR(HLOOKUP(C70, 'S15 Routing Clustered'!$B$2:$I$18,A70+1, 0), "")</f>
        <v/>
      </c>
      <c r="E70" s="287" t="str">
        <f t="shared" si="3"/>
        <v/>
      </c>
      <c r="F70" s="3" t="str">
        <f>IF(E70="", "", VLOOKUP(B70, 'S08 ABC Output'!$A$3:$C$18, 3, 0))</f>
        <v/>
      </c>
      <c r="I70" s="288" t="str">
        <f t="shared" si="2"/>
        <v>WS-21</v>
      </c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</row>
    <row r="71" spans="1:53" ht="17">
      <c r="A71" s="3">
        <v>2</v>
      </c>
      <c r="B71" s="196" t="str">
        <f>IFERROR(INDEX('S15 Routing Clustered'!$A$3:$A$18, A71), "")</f>
        <v>I-066</v>
      </c>
      <c r="C71" s="3">
        <v>230</v>
      </c>
      <c r="D71" s="287" t="str">
        <f>IFERROR(HLOOKUP(C71, 'S15 Routing Clustered'!$B$2:$I$18,A71+1, 0), "")</f>
        <v/>
      </c>
      <c r="E71" s="287" t="str">
        <f t="shared" si="3"/>
        <v/>
      </c>
      <c r="F71" s="3" t="str">
        <f>IF(E71="", "", VLOOKUP(B71, 'S08 ABC Output'!$A$3:$C$18, 3, 0))</f>
        <v/>
      </c>
      <c r="I71" s="288" t="str">
        <f t="shared" si="2"/>
        <v>WS-22</v>
      </c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</row>
    <row r="72" spans="1:53" ht="17">
      <c r="A72" s="3">
        <v>2</v>
      </c>
      <c r="B72" s="196" t="str">
        <f>IFERROR(INDEX('S15 Routing Clustered'!$A$3:$A$18, A72), "")</f>
        <v>I-066</v>
      </c>
      <c r="C72" s="3">
        <v>240</v>
      </c>
      <c r="D72" s="287" t="str">
        <f>IFERROR(HLOOKUP(C72, 'S15 Routing Clustered'!$B$2:$I$18,A72+1, 0), "")</f>
        <v/>
      </c>
      <c r="E72" s="287" t="str">
        <f t="shared" si="3"/>
        <v/>
      </c>
      <c r="F72" s="3" t="str">
        <f>IF(E72="", "", VLOOKUP(B72, 'S08 ABC Output'!$A$3:$C$18, 3, 0))</f>
        <v/>
      </c>
      <c r="I72" s="288" t="str">
        <f t="shared" si="2"/>
        <v>WS-23</v>
      </c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</row>
    <row r="73" spans="1:53" ht="17">
      <c r="A73" s="3">
        <v>2</v>
      </c>
      <c r="B73" s="196" t="str">
        <f>IFERROR(INDEX('S15 Routing Clustered'!$A$3:$A$18, A73), "")</f>
        <v>I-066</v>
      </c>
      <c r="C73" s="3">
        <v>250</v>
      </c>
      <c r="D73" s="287" t="str">
        <f>IFERROR(HLOOKUP(C73, 'S15 Routing Clustered'!$B$2:$I$18,A73+1, 0), "")</f>
        <v/>
      </c>
      <c r="E73" s="287" t="str">
        <f t="shared" si="3"/>
        <v/>
      </c>
      <c r="F73" s="3" t="str">
        <f>IF(E73="", "", VLOOKUP(B73, 'S08 ABC Output'!$A$3:$C$18, 3, 0))</f>
        <v/>
      </c>
      <c r="I73" s="288" t="str">
        <f t="shared" si="2"/>
        <v>WS-24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</row>
    <row r="74" spans="1:53" ht="17">
      <c r="A74" s="3">
        <v>2</v>
      </c>
      <c r="B74" s="196" t="str">
        <f>IFERROR(INDEX('S15 Routing Clustered'!$A$3:$A$18, A74), "")</f>
        <v>I-066</v>
      </c>
      <c r="C74" s="3">
        <v>260</v>
      </c>
      <c r="D74" s="287" t="str">
        <f>IFERROR(HLOOKUP(C74, 'S15 Routing Clustered'!$B$2:$I$18,A74+1, 0), "")</f>
        <v/>
      </c>
      <c r="E74" s="287" t="str">
        <f t="shared" si="3"/>
        <v/>
      </c>
      <c r="F74" s="3" t="str">
        <f>IF(E74="", "", VLOOKUP(B74, 'S08 ABC Output'!$A$3:$C$18, 3, 0))</f>
        <v/>
      </c>
      <c r="I74" s="288" t="str">
        <f t="shared" si="2"/>
        <v>WS-25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>
        <v>45896</v>
      </c>
      <c r="AR74" s="3"/>
      <c r="AS74" s="3"/>
      <c r="AT74" s="3"/>
      <c r="AU74" s="3"/>
      <c r="AV74" s="3"/>
      <c r="AW74" s="3"/>
      <c r="AX74" s="3"/>
      <c r="AY74" s="3"/>
      <c r="AZ74" s="3"/>
      <c r="BA74" s="3"/>
    </row>
    <row r="75" spans="1:53" ht="17">
      <c r="A75" s="3">
        <v>2</v>
      </c>
      <c r="B75" s="196" t="str">
        <f>IFERROR(INDEX('S15 Routing Clustered'!$A$3:$A$18, A75), "")</f>
        <v>I-066</v>
      </c>
      <c r="C75" s="3">
        <v>270</v>
      </c>
      <c r="D75" s="287" t="str">
        <f>IFERROR(HLOOKUP(C75, 'S15 Routing Clustered'!$B$2:$I$18,A75+1, 0), "")</f>
        <v/>
      </c>
      <c r="E75" s="287" t="str">
        <f t="shared" si="3"/>
        <v/>
      </c>
      <c r="F75" s="3" t="str">
        <f>IF(E75="", "", VLOOKUP(B75, 'S08 ABC Output'!$A$3:$C$18, 3, 0))</f>
        <v/>
      </c>
      <c r="I75" s="288" t="str">
        <f t="shared" si="2"/>
        <v>WS-26</v>
      </c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</row>
    <row r="76" spans="1:53" ht="17">
      <c r="A76" s="3">
        <v>2</v>
      </c>
      <c r="B76" s="196" t="str">
        <f>IFERROR(INDEX('S15 Routing Clustered'!$A$3:$A$18, A76), "")</f>
        <v>I-066</v>
      </c>
      <c r="C76" s="3">
        <v>280</v>
      </c>
      <c r="D76" s="287" t="str">
        <f>IFERROR(HLOOKUP(C76, 'S15 Routing Clustered'!$B$2:$I$18,A76+1, 0), "")</f>
        <v/>
      </c>
      <c r="E76" s="287" t="str">
        <f t="shared" si="3"/>
        <v/>
      </c>
      <c r="F76" s="3" t="str">
        <f>IF(E76="", "", VLOOKUP(B76, 'S08 ABC Output'!$A$3:$C$18, 3, 0))</f>
        <v/>
      </c>
      <c r="I76" s="288" t="str">
        <f t="shared" si="2"/>
        <v>WS-27</v>
      </c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</row>
    <row r="77" spans="1:53" ht="17">
      <c r="A77" s="3">
        <v>2</v>
      </c>
      <c r="B77" s="196" t="str">
        <f>IFERROR(INDEX('S15 Routing Clustered'!$A$3:$A$18, A77), "")</f>
        <v>I-066</v>
      </c>
      <c r="C77" s="3">
        <v>290</v>
      </c>
      <c r="D77" s="287" t="str">
        <f>IFERROR(HLOOKUP(C77, 'S15 Routing Clustered'!$B$2:$I$18,A77+1, 0), "")</f>
        <v/>
      </c>
      <c r="E77" s="287" t="str">
        <f t="shared" si="3"/>
        <v/>
      </c>
      <c r="F77" s="3" t="str">
        <f>IF(E77="", "", VLOOKUP(B77, 'S08 ABC Output'!$A$3:$C$18, 3, 0))</f>
        <v/>
      </c>
      <c r="I77" s="288" t="str">
        <f t="shared" si="2"/>
        <v>WS-28</v>
      </c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</row>
    <row r="78" spans="1:53" ht="17">
      <c r="A78" s="3">
        <v>2</v>
      </c>
      <c r="B78" s="196" t="str">
        <f>IFERROR(INDEX('S15 Routing Clustered'!$A$3:$A$18, A78), "")</f>
        <v>I-066</v>
      </c>
      <c r="C78" s="3">
        <v>300</v>
      </c>
      <c r="D78" s="287" t="str">
        <f>IFERROR(HLOOKUP(C78, 'S15 Routing Clustered'!$B$2:$I$18,A78+1, 0), "")</f>
        <v/>
      </c>
      <c r="E78" s="287" t="str">
        <f t="shared" si="3"/>
        <v/>
      </c>
      <c r="F78" s="3" t="str">
        <f>IF(E78="", "", VLOOKUP(B78, 'S08 ABC Output'!$A$3:$C$18, 3, 0))</f>
        <v/>
      </c>
      <c r="I78" s="288" t="str">
        <f t="shared" si="2"/>
        <v>WS-29</v>
      </c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</row>
    <row r="79" spans="1:53" ht="17">
      <c r="A79" s="3">
        <v>2</v>
      </c>
      <c r="B79" s="196" t="str">
        <f>IFERROR(INDEX('S15 Routing Clustered'!$A$3:$A$18, A79), "")</f>
        <v>I-066</v>
      </c>
      <c r="C79" s="3">
        <v>310</v>
      </c>
      <c r="D79" s="287" t="str">
        <f>IFERROR(HLOOKUP(C79, 'S15 Routing Clustered'!$B$2:$I$18,A79+1, 0), "")</f>
        <v/>
      </c>
      <c r="E79" s="287" t="str">
        <f t="shared" si="3"/>
        <v/>
      </c>
      <c r="F79" s="3" t="str">
        <f>IF(E79="", "", VLOOKUP(B79, 'S08 ABC Output'!$A$3:$C$18, 3, 0))</f>
        <v/>
      </c>
      <c r="I79" s="288" t="str">
        <f t="shared" si="2"/>
        <v>WS-30</v>
      </c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</row>
    <row r="80" spans="1:53" ht="17">
      <c r="A80" s="3">
        <v>2</v>
      </c>
      <c r="B80" s="196" t="str">
        <f>IFERROR(INDEX('S15 Routing Clustered'!$A$3:$A$18, A80), "")</f>
        <v>I-066</v>
      </c>
      <c r="C80" s="3">
        <v>320</v>
      </c>
      <c r="D80" s="287" t="str">
        <f>IFERROR(HLOOKUP(C80, 'S15 Routing Clustered'!$B$2:$I$18,A80+1, 0), "")</f>
        <v/>
      </c>
      <c r="E80" s="287" t="str">
        <f t="shared" si="3"/>
        <v/>
      </c>
      <c r="F80" s="3" t="str">
        <f>IF(E80="", "", VLOOKUP(B80, 'S08 ABC Output'!$A$3:$C$18, 3, 0))</f>
        <v/>
      </c>
      <c r="I80" s="288" t="str">
        <f t="shared" si="2"/>
        <v>WS-31</v>
      </c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</row>
    <row r="81" spans="1:53" ht="17">
      <c r="A81" s="3">
        <v>2</v>
      </c>
      <c r="B81" s="196" t="str">
        <f>IFERROR(INDEX('S15 Routing Clustered'!$A$3:$A$18, A81), "")</f>
        <v>I-066</v>
      </c>
      <c r="C81" s="3">
        <v>330</v>
      </c>
      <c r="D81" s="287" t="str">
        <f>IFERROR(HLOOKUP(C81, 'S15 Routing Clustered'!$B$2:$I$18,A81+1, 0), "")</f>
        <v/>
      </c>
      <c r="E81" s="287" t="str">
        <f t="shared" si="3"/>
        <v/>
      </c>
      <c r="F81" s="3" t="str">
        <f>IF(E81="", "", VLOOKUP(B81, 'S08 ABC Output'!$A$3:$C$18, 3, 0))</f>
        <v/>
      </c>
      <c r="I81" s="288" t="str">
        <f t="shared" si="2"/>
        <v>WS-32</v>
      </c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</row>
    <row r="82" spans="1:53" ht="17">
      <c r="A82" s="3">
        <v>2</v>
      </c>
      <c r="B82" s="196" t="str">
        <f>IFERROR(INDEX('S15 Routing Clustered'!$A$3:$A$18, A82), "")</f>
        <v>I-066</v>
      </c>
      <c r="C82" s="3">
        <v>340</v>
      </c>
      <c r="D82" s="287" t="str">
        <f>IFERROR(HLOOKUP(C82, 'S15 Routing Clustered'!$B$2:$I$18,A82+1, 0), "")</f>
        <v/>
      </c>
      <c r="E82" s="287" t="str">
        <f t="shared" si="3"/>
        <v/>
      </c>
      <c r="F82" s="3" t="str">
        <f>IF(E82="", "", VLOOKUP(B82, 'S08 ABC Output'!$A$3:$C$18, 3, 0))</f>
        <v/>
      </c>
      <c r="I82" s="288" t="str">
        <f t="shared" si="2"/>
        <v>WS-33</v>
      </c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</row>
    <row r="83" spans="1:53" ht="17">
      <c r="A83" s="3">
        <v>2</v>
      </c>
      <c r="B83" s="196" t="str">
        <f>IFERROR(INDEX('S15 Routing Clustered'!$A$3:$A$18, A83), "")</f>
        <v>I-066</v>
      </c>
      <c r="C83" s="3">
        <v>350</v>
      </c>
      <c r="D83" s="287" t="str">
        <f>IFERROR(HLOOKUP(C83, 'S15 Routing Clustered'!$B$2:$I$18,A83+1, 0), "")</f>
        <v/>
      </c>
      <c r="E83" s="287" t="str">
        <f t="shared" si="3"/>
        <v/>
      </c>
      <c r="F83" s="3" t="str">
        <f>IF(E83="", "", VLOOKUP(B83, 'S08 ABC Output'!$A$3:$C$18, 3, 0))</f>
        <v/>
      </c>
      <c r="I83" s="288" t="str">
        <f t="shared" si="2"/>
        <v>WS-34</v>
      </c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>
        <v>45896</v>
      </c>
    </row>
    <row r="84" spans="1:53" ht="17">
      <c r="A84" s="3">
        <v>2</v>
      </c>
      <c r="B84" s="196" t="str">
        <f>IFERROR(INDEX('S15 Routing Clustered'!$A$3:$A$18, A84), "")</f>
        <v>I-066</v>
      </c>
      <c r="C84" s="3">
        <v>360</v>
      </c>
      <c r="D84" s="287" t="str">
        <f>IFERROR(HLOOKUP(C84, 'S15 Routing Clustered'!$B$2:$I$18,A84+1, 0), "")</f>
        <v/>
      </c>
      <c r="E84" s="287" t="str">
        <f t="shared" si="3"/>
        <v/>
      </c>
      <c r="F84" s="3" t="str">
        <f>IF(E84="", "", VLOOKUP(B84, 'S08 ABC Output'!$A$3:$C$18, 3, 0))</f>
        <v/>
      </c>
      <c r="I84" s="288" t="str">
        <f t="shared" si="2"/>
        <v>WS-35</v>
      </c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</row>
    <row r="85" spans="1:53" ht="17">
      <c r="A85" s="3">
        <v>2</v>
      </c>
      <c r="B85" s="196" t="str">
        <f>IFERROR(INDEX('S15 Routing Clustered'!$A$3:$A$18, A85), "")</f>
        <v>I-066</v>
      </c>
      <c r="C85" s="3">
        <v>370</v>
      </c>
      <c r="D85" s="287" t="str">
        <f>IFERROR(HLOOKUP(C85, 'S15 Routing Clustered'!$B$2:$I$18,A85+1, 0), "")</f>
        <v/>
      </c>
      <c r="E85" s="287" t="str">
        <f t="shared" si="3"/>
        <v/>
      </c>
      <c r="F85" s="3" t="str">
        <f>IF(E85="", "", VLOOKUP(B85, 'S08 ABC Output'!$A$3:$C$18, 3, 0))</f>
        <v/>
      </c>
      <c r="I85" s="288" t="str">
        <f t="shared" si="2"/>
        <v>WS-36</v>
      </c>
      <c r="J85" s="3"/>
      <c r="K85" s="3"/>
      <c r="L85" s="3"/>
      <c r="M85" s="3"/>
      <c r="N85" s="3">
        <v>45896</v>
      </c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</row>
    <row r="86" spans="1:53" ht="17">
      <c r="A86" s="3">
        <v>2</v>
      </c>
      <c r="B86" s="196" t="str">
        <f>IFERROR(INDEX('S15 Routing Clustered'!$A$3:$A$18, A86), "")</f>
        <v>I-066</v>
      </c>
      <c r="C86" s="3">
        <v>380</v>
      </c>
      <c r="D86" s="287" t="str">
        <f>IFERROR(HLOOKUP(C86, 'S15 Routing Clustered'!$B$2:$I$18,A86+1, 0), "")</f>
        <v/>
      </c>
      <c r="E86" s="287" t="str">
        <f t="shared" si="3"/>
        <v/>
      </c>
      <c r="F86" s="3" t="str">
        <f>IF(E86="", "", VLOOKUP(B86, 'S08 ABC Output'!$A$3:$C$18, 3, 0))</f>
        <v/>
      </c>
      <c r="I86" s="288" t="str">
        <f t="shared" si="2"/>
        <v>WS-37</v>
      </c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</row>
    <row r="87" spans="1:53" ht="17">
      <c r="A87" s="3">
        <v>2</v>
      </c>
      <c r="B87" s="196" t="str">
        <f>IFERROR(INDEX('S15 Routing Clustered'!$A$3:$A$18, A87), "")</f>
        <v>I-066</v>
      </c>
      <c r="C87" s="3">
        <v>390</v>
      </c>
      <c r="D87" s="287" t="str">
        <f>IFERROR(HLOOKUP(C87, 'S15 Routing Clustered'!$B$2:$I$18,A87+1, 0), "")</f>
        <v/>
      </c>
      <c r="E87" s="287" t="str">
        <f t="shared" si="3"/>
        <v/>
      </c>
      <c r="F87" s="3" t="str">
        <f>IF(E87="", "", VLOOKUP(B87, 'S08 ABC Output'!$A$3:$C$18, 3, 0))</f>
        <v/>
      </c>
      <c r="I87" s="288" t="str">
        <f t="shared" si="2"/>
        <v>WS-38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</row>
    <row r="88" spans="1:53" ht="17">
      <c r="A88" s="3">
        <v>2</v>
      </c>
      <c r="B88" s="196" t="str">
        <f>IFERROR(INDEX('S15 Routing Clustered'!$A$3:$A$18, A88), "")</f>
        <v>I-066</v>
      </c>
      <c r="C88" s="3">
        <v>400</v>
      </c>
      <c r="D88" s="287" t="str">
        <f>IFERROR(HLOOKUP(C88, 'S15 Routing Clustered'!$B$2:$I$18,A88+1, 0), "")</f>
        <v/>
      </c>
      <c r="E88" s="287" t="str">
        <f t="shared" si="3"/>
        <v/>
      </c>
      <c r="F88" s="3" t="str">
        <f>IF(E88="", "", VLOOKUP(B88, 'S08 ABC Output'!$A$3:$C$18, 3, 0))</f>
        <v/>
      </c>
      <c r="I88" s="288" t="str">
        <f t="shared" si="2"/>
        <v>WS-39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</row>
    <row r="89" spans="1:53" ht="17">
      <c r="A89" s="3">
        <v>2</v>
      </c>
      <c r="B89" s="196" t="str">
        <f>IFERROR(INDEX('S15 Routing Clustered'!$A$3:$A$18, A89), "")</f>
        <v>I-066</v>
      </c>
      <c r="C89" s="3">
        <v>410</v>
      </c>
      <c r="D89" s="287" t="str">
        <f>IFERROR(HLOOKUP(C89, 'S15 Routing Clustered'!$B$2:$I$18,A89+1, 0), "")</f>
        <v/>
      </c>
      <c r="E89" s="287" t="str">
        <f t="shared" si="3"/>
        <v/>
      </c>
      <c r="F89" s="3" t="str">
        <f>IF(E89="", "", VLOOKUP(B89, 'S08 ABC Output'!$A$3:$C$18, 3, 0))</f>
        <v/>
      </c>
      <c r="I89" s="288" t="str">
        <f t="shared" si="2"/>
        <v>WS-40</v>
      </c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</row>
    <row r="90" spans="1:53" ht="17">
      <c r="A90" s="3">
        <v>2</v>
      </c>
      <c r="B90" s="196" t="str">
        <f>IFERROR(INDEX('S15 Routing Clustered'!$A$3:$A$18, A90), "")</f>
        <v>I-066</v>
      </c>
      <c r="C90" s="3">
        <v>420</v>
      </c>
      <c r="D90" s="287" t="str">
        <f>IFERROR(HLOOKUP(C90, 'S15 Routing Clustered'!$B$2:$I$18,A90+1, 0), "")</f>
        <v/>
      </c>
      <c r="E90" s="287" t="str">
        <f t="shared" si="3"/>
        <v/>
      </c>
      <c r="F90" s="3" t="str">
        <f>IF(E90="", "", VLOOKUP(B90, 'S08 ABC Output'!$A$3:$C$18, 3, 0))</f>
        <v/>
      </c>
      <c r="I90" s="288" t="str">
        <f t="shared" si="2"/>
        <v>WS-41</v>
      </c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</row>
    <row r="91" spans="1:53" ht="17">
      <c r="A91" s="3">
        <v>2</v>
      </c>
      <c r="B91" s="196" t="str">
        <f>IFERROR(INDEX('S15 Routing Clustered'!$A$3:$A$18, A91), "")</f>
        <v>I-066</v>
      </c>
      <c r="C91" s="3">
        <v>430</v>
      </c>
      <c r="D91" s="287" t="str">
        <f>IFERROR(HLOOKUP(C91, 'S15 Routing Clustered'!$B$2:$I$18,A91+1, 0), "")</f>
        <v/>
      </c>
      <c r="E91" s="287" t="str">
        <f t="shared" si="3"/>
        <v/>
      </c>
      <c r="F91" s="3" t="str">
        <f>IF(E91="", "", VLOOKUP(B91, 'S08 ABC Output'!$A$3:$C$18, 3, 0))</f>
        <v/>
      </c>
      <c r="I91" s="288" t="str">
        <f t="shared" si="2"/>
        <v>WS-42</v>
      </c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</row>
    <row r="92" spans="1:53" ht="17">
      <c r="A92" s="3">
        <v>2</v>
      </c>
      <c r="B92" s="196" t="str">
        <f>IFERROR(INDEX('S15 Routing Clustered'!$A$3:$A$18, A92), "")</f>
        <v>I-066</v>
      </c>
      <c r="C92" s="3">
        <v>440</v>
      </c>
      <c r="D92" s="287" t="str">
        <f>IFERROR(HLOOKUP(C92, 'S15 Routing Clustered'!$B$2:$I$18,A92+1, 0), "")</f>
        <v/>
      </c>
      <c r="E92" s="287" t="str">
        <f t="shared" si="3"/>
        <v/>
      </c>
      <c r="F92" s="3" t="str">
        <f>IF(E92="", "", VLOOKUP(B92, 'S08 ABC Output'!$A$3:$C$18, 3, 0))</f>
        <v/>
      </c>
      <c r="I92" s="288" t="str">
        <f t="shared" si="2"/>
        <v>WS-43</v>
      </c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>
        <v>45896</v>
      </c>
      <c r="AT92" s="3"/>
      <c r="AU92" s="3"/>
      <c r="AV92" s="3"/>
      <c r="AW92" s="3"/>
      <c r="AX92" s="3"/>
      <c r="AY92" s="3"/>
      <c r="AZ92" s="3"/>
      <c r="BA92" s="3"/>
    </row>
    <row r="93" spans="1:53" ht="17">
      <c r="A93" s="3">
        <v>2</v>
      </c>
      <c r="B93" s="196" t="str">
        <f>IFERROR(INDEX('S15 Routing Clustered'!$A$3:$A$18, A93), "")</f>
        <v>I-066</v>
      </c>
      <c r="C93" s="3">
        <v>450</v>
      </c>
      <c r="D93" s="287" t="str">
        <f>IFERROR(HLOOKUP(C93, 'S15 Routing Clustered'!$B$2:$I$18,A93+1, 0), "")</f>
        <v/>
      </c>
      <c r="E93" s="287" t="str">
        <f t="shared" si="3"/>
        <v/>
      </c>
      <c r="F93" s="3" t="str">
        <f>IF(E93="", "", VLOOKUP(B93, 'S08 ABC Output'!$A$3:$C$18, 3, 0))</f>
        <v/>
      </c>
      <c r="I93" s="288" t="str">
        <f t="shared" si="2"/>
        <v>WS-44</v>
      </c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</row>
    <row r="94" spans="1:53" ht="17">
      <c r="B94" s="196" t="str">
        <f>IFERROR(INDEX('S15 Routing Clustered'!$A$3:$A$18, A94), "")</f>
        <v/>
      </c>
      <c r="D94" s="287" t="str">
        <f>IFERROR(HLOOKUP(C94, 'S15 Routing Clustered'!$B$2:$I$18,A94+1, 0), "")</f>
        <v/>
      </c>
      <c r="E94" s="287" t="str">
        <f t="shared" si="3"/>
        <v/>
      </c>
      <c r="F94" s="3" t="str">
        <f>IF(E94="", "", VLOOKUP(B94, 'S08 ABC Output'!$A$3:$C$18, 3, 0))</f>
        <v/>
      </c>
      <c r="I94" s="288"/>
    </row>
    <row r="95" spans="1:53" ht="17">
      <c r="B95" s="196" t="str">
        <f>IFERROR(INDEX('S15 Routing Clustered'!$A$3:$A$18, A95), "")</f>
        <v/>
      </c>
      <c r="D95" s="287" t="str">
        <f>IFERROR(HLOOKUP(C95, 'S15 Routing Clustered'!$B$2:$I$18,A95+1, 0), "")</f>
        <v/>
      </c>
      <c r="E95" s="287" t="str">
        <f t="shared" si="3"/>
        <v/>
      </c>
      <c r="F95" s="3" t="str">
        <f>IF(E95="", "", VLOOKUP(B95, 'S08 ABC Output'!$A$3:$C$18, 3, 0))</f>
        <v/>
      </c>
      <c r="I95" s="288"/>
    </row>
    <row r="96" spans="1:53" ht="17">
      <c r="A96" s="3">
        <v>3</v>
      </c>
      <c r="B96" s="196" t="str">
        <f>IFERROR(INDEX('S15 Routing Clustered'!$A$3:$A$18, A96), "")</f>
        <v>I-068</v>
      </c>
      <c r="C96" s="3">
        <v>10</v>
      </c>
      <c r="D96" s="287" t="str">
        <f>IFERROR(HLOOKUP(C96, 'S15 Routing Clustered'!$B$2:$I$18,A96+1, 0), "")</f>
        <v>WS-43</v>
      </c>
      <c r="E96" s="287" t="str">
        <f t="shared" si="3"/>
        <v>WS-36</v>
      </c>
      <c r="F96" s="3">
        <f>IF(E96="", "", VLOOKUP(B96, 'S08 ABC Output'!$A$3:$C$18, 3, 0))</f>
        <v>65248</v>
      </c>
      <c r="I96" s="288"/>
      <c r="J96" s="288" t="str">
        <f>J49</f>
        <v>WS-01</v>
      </c>
      <c r="K96" s="288" t="str">
        <f t="shared" ref="K96:BA96" si="4">K49</f>
        <v>WS-02</v>
      </c>
      <c r="L96" s="288" t="str">
        <f t="shared" si="4"/>
        <v>WS-03</v>
      </c>
      <c r="M96" s="288" t="str">
        <f t="shared" si="4"/>
        <v>WS-04</v>
      </c>
      <c r="N96" s="288" t="str">
        <f t="shared" si="4"/>
        <v>WS-05</v>
      </c>
      <c r="O96" s="288" t="str">
        <f t="shared" si="4"/>
        <v>WS-06</v>
      </c>
      <c r="P96" s="288" t="str">
        <f t="shared" si="4"/>
        <v>WS-07</v>
      </c>
      <c r="Q96" s="288" t="str">
        <f t="shared" si="4"/>
        <v>WS-08</v>
      </c>
      <c r="R96" s="288" t="str">
        <f t="shared" si="4"/>
        <v>WS-09</v>
      </c>
      <c r="S96" s="288" t="str">
        <f t="shared" si="4"/>
        <v>WS-10</v>
      </c>
      <c r="T96" s="288" t="str">
        <f t="shared" si="4"/>
        <v>WS-11</v>
      </c>
      <c r="U96" s="288" t="str">
        <f t="shared" si="4"/>
        <v>WS-12</v>
      </c>
      <c r="V96" s="288" t="str">
        <f t="shared" si="4"/>
        <v>WS-13</v>
      </c>
      <c r="W96" s="288" t="str">
        <f t="shared" si="4"/>
        <v>WS-14</v>
      </c>
      <c r="X96" s="288" t="str">
        <f t="shared" si="4"/>
        <v>WS-15</v>
      </c>
      <c r="Y96" s="288" t="str">
        <f t="shared" si="4"/>
        <v>WS-16</v>
      </c>
      <c r="Z96" s="288" t="str">
        <f t="shared" si="4"/>
        <v>WS-17</v>
      </c>
      <c r="AA96" s="288" t="str">
        <f t="shared" si="4"/>
        <v>WS-18</v>
      </c>
      <c r="AB96" s="288" t="str">
        <f t="shared" si="4"/>
        <v>WS-19</v>
      </c>
      <c r="AC96" s="288" t="str">
        <f t="shared" si="4"/>
        <v>WS-20</v>
      </c>
      <c r="AD96" s="288" t="str">
        <f t="shared" si="4"/>
        <v>WS-21</v>
      </c>
      <c r="AE96" s="288" t="str">
        <f t="shared" si="4"/>
        <v>WS-22</v>
      </c>
      <c r="AF96" s="288" t="str">
        <f t="shared" si="4"/>
        <v>WS-23</v>
      </c>
      <c r="AG96" s="288" t="str">
        <f t="shared" si="4"/>
        <v>WS-24</v>
      </c>
      <c r="AH96" s="288" t="str">
        <f t="shared" si="4"/>
        <v>WS-25</v>
      </c>
      <c r="AI96" s="288" t="str">
        <f t="shared" si="4"/>
        <v>WS-26</v>
      </c>
      <c r="AJ96" s="288" t="str">
        <f t="shared" si="4"/>
        <v>WS-27</v>
      </c>
      <c r="AK96" s="288" t="str">
        <f t="shared" si="4"/>
        <v>WS-28</v>
      </c>
      <c r="AL96" s="288" t="str">
        <f t="shared" si="4"/>
        <v>WS-29</v>
      </c>
      <c r="AM96" s="288" t="str">
        <f t="shared" si="4"/>
        <v>WS-30</v>
      </c>
      <c r="AN96" s="288" t="str">
        <f t="shared" si="4"/>
        <v>WS-31</v>
      </c>
      <c r="AO96" s="288" t="str">
        <f t="shared" si="4"/>
        <v>WS-32</v>
      </c>
      <c r="AP96" s="288" t="str">
        <f t="shared" si="4"/>
        <v>WS-33</v>
      </c>
      <c r="AQ96" s="288" t="str">
        <f t="shared" si="4"/>
        <v>WS-34</v>
      </c>
      <c r="AR96" s="288" t="str">
        <f t="shared" si="4"/>
        <v>WS-35</v>
      </c>
      <c r="AS96" s="288" t="str">
        <f t="shared" si="4"/>
        <v>WS-36</v>
      </c>
      <c r="AT96" s="288" t="str">
        <f t="shared" si="4"/>
        <v>WS-37</v>
      </c>
      <c r="AU96" s="288" t="str">
        <f t="shared" si="4"/>
        <v>WS-38</v>
      </c>
      <c r="AV96" s="288" t="str">
        <f t="shared" si="4"/>
        <v>WS-39</v>
      </c>
      <c r="AW96" s="288" t="str">
        <f t="shared" si="4"/>
        <v>WS-40</v>
      </c>
      <c r="AX96" s="288" t="str">
        <f t="shared" si="4"/>
        <v>WS-41</v>
      </c>
      <c r="AY96" s="288" t="str">
        <f t="shared" si="4"/>
        <v>WS-42</v>
      </c>
      <c r="AZ96" s="288" t="str">
        <f t="shared" si="4"/>
        <v>WS-43</v>
      </c>
      <c r="BA96" s="288" t="str">
        <f t="shared" si="4"/>
        <v>WS-44</v>
      </c>
    </row>
    <row r="97" spans="1:53" ht="17">
      <c r="A97" s="3">
        <v>3</v>
      </c>
      <c r="B97" s="196" t="str">
        <f>IFERROR(INDEX('S15 Routing Clustered'!$A$3:$A$18, A97), "")</f>
        <v>I-068</v>
      </c>
      <c r="C97" s="3">
        <v>20</v>
      </c>
      <c r="D97" s="287" t="str">
        <f>IFERROR(HLOOKUP(C97, 'S15 Routing Clustered'!$B$2:$I$18,A97+1, 0), "")</f>
        <v>WS-36</v>
      </c>
      <c r="E97" s="287" t="str">
        <f t="shared" si="3"/>
        <v>WS-05</v>
      </c>
      <c r="F97" s="3">
        <f>IF(E97="", "", VLOOKUP(B97, 'S08 ABC Output'!$A$3:$C$18, 3, 0))</f>
        <v>65248</v>
      </c>
      <c r="I97" s="288" t="str">
        <f t="shared" ref="I97:I140" si="5">I50</f>
        <v>WS-01</v>
      </c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</row>
    <row r="98" spans="1:53" ht="17">
      <c r="A98" s="3">
        <v>3</v>
      </c>
      <c r="B98" s="196" t="str">
        <f>IFERROR(INDEX('S15 Routing Clustered'!$A$3:$A$18, A98), "")</f>
        <v>I-068</v>
      </c>
      <c r="C98" s="3">
        <v>30</v>
      </c>
      <c r="D98" s="287" t="str">
        <f>IFERROR(HLOOKUP(C98, 'S15 Routing Clustered'!$B$2:$I$18,A98+1, 0), "")</f>
        <v>WS-05</v>
      </c>
      <c r="E98" s="287" t="str">
        <f t="shared" si="3"/>
        <v>WS-25</v>
      </c>
      <c r="F98" s="3">
        <f>IF(E98="", "", VLOOKUP(B98, 'S08 ABC Output'!$A$3:$C$18, 3, 0))</f>
        <v>65248</v>
      </c>
      <c r="I98" s="288" t="str">
        <f t="shared" si="5"/>
        <v>WS-02</v>
      </c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</row>
    <row r="99" spans="1:53" ht="17">
      <c r="A99" s="3">
        <v>3</v>
      </c>
      <c r="B99" s="196" t="str">
        <f>IFERROR(INDEX('S15 Routing Clustered'!$A$3:$A$18, A99), "")</f>
        <v>I-068</v>
      </c>
      <c r="C99" s="3">
        <v>40</v>
      </c>
      <c r="D99" s="287" t="str">
        <f>IFERROR(HLOOKUP(C99, 'S15 Routing Clustered'!$B$2:$I$18,A99+1, 0), "")</f>
        <v>WS-25</v>
      </c>
      <c r="E99" s="287" t="str">
        <f t="shared" si="3"/>
        <v>WS-34</v>
      </c>
      <c r="F99" s="3">
        <f>IF(E99="", "", VLOOKUP(B99, 'S08 ABC Output'!$A$3:$C$18, 3, 0))</f>
        <v>65248</v>
      </c>
      <c r="I99" s="288" t="str">
        <f t="shared" si="5"/>
        <v>WS-03</v>
      </c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</row>
    <row r="100" spans="1:53" ht="17">
      <c r="A100" s="3">
        <v>3</v>
      </c>
      <c r="B100" s="196" t="str">
        <f>IFERROR(INDEX('S15 Routing Clustered'!$A$3:$A$18, A100), "")</f>
        <v>I-068</v>
      </c>
      <c r="C100" s="3">
        <v>50</v>
      </c>
      <c r="D100" s="287" t="str">
        <f>IFERROR(HLOOKUP(C100, 'S15 Routing Clustered'!$B$2:$I$18,A100+1, 0), "")</f>
        <v>WS-34</v>
      </c>
      <c r="E100" s="287" t="str">
        <f t="shared" si="3"/>
        <v>WS-44</v>
      </c>
      <c r="F100" s="3">
        <f>IF(E100="", "", VLOOKUP(B100, 'S08 ABC Output'!$A$3:$C$18, 3, 0))</f>
        <v>65248</v>
      </c>
      <c r="I100" s="288" t="str">
        <f t="shared" si="5"/>
        <v>WS-04</v>
      </c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</row>
    <row r="101" spans="1:53" ht="17">
      <c r="A101" s="3">
        <v>3</v>
      </c>
      <c r="B101" s="196" t="str">
        <f>IFERROR(INDEX('S15 Routing Clustered'!$A$3:$A$18, A101), "")</f>
        <v>I-068</v>
      </c>
      <c r="C101" s="3">
        <v>60</v>
      </c>
      <c r="D101" s="287" t="str">
        <f>IFERROR(HLOOKUP(C101, 'S15 Routing Clustered'!$B$2:$I$18,A101+1, 0), "")</f>
        <v>WS-44</v>
      </c>
      <c r="E101" s="287" t="str">
        <f t="shared" si="3"/>
        <v/>
      </c>
      <c r="F101" s="3" t="str">
        <f>IF(E101="", "", VLOOKUP(B101, 'S08 ABC Output'!$A$3:$C$18, 3, 0))</f>
        <v/>
      </c>
      <c r="I101" s="288" t="str">
        <f t="shared" si="5"/>
        <v>WS-05</v>
      </c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>
        <v>65248</v>
      </c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</row>
    <row r="102" spans="1:53" ht="17">
      <c r="A102" s="3">
        <v>3</v>
      </c>
      <c r="B102" s="196" t="str">
        <f>IFERROR(INDEX('S15 Routing Clustered'!$A$3:$A$18, A102), "")</f>
        <v>I-068</v>
      </c>
      <c r="C102" s="3">
        <v>70</v>
      </c>
      <c r="D102" s="287" t="str">
        <f>IFERROR(HLOOKUP(C102, 'S15 Routing Clustered'!$B$2:$I$18,A102+1, 0), "")</f>
        <v/>
      </c>
      <c r="E102" s="287" t="str">
        <f t="shared" si="3"/>
        <v/>
      </c>
      <c r="F102" s="3" t="str">
        <f>IF(E102="", "", VLOOKUP(B102, 'S08 ABC Output'!$A$3:$C$18, 3, 0))</f>
        <v/>
      </c>
      <c r="I102" s="288" t="str">
        <f t="shared" si="5"/>
        <v>WS-06</v>
      </c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</row>
    <row r="103" spans="1:53" ht="17">
      <c r="A103" s="3">
        <v>3</v>
      </c>
      <c r="B103" s="196" t="str">
        <f>IFERROR(INDEX('S15 Routing Clustered'!$A$3:$A$18, A103), "")</f>
        <v>I-068</v>
      </c>
      <c r="C103" s="3">
        <v>80</v>
      </c>
      <c r="D103" s="287" t="str">
        <f>IFERROR(HLOOKUP(C103, 'S15 Routing Clustered'!$B$2:$I$18,A103+1, 0), "")</f>
        <v/>
      </c>
      <c r="E103" s="287" t="str">
        <f t="shared" si="3"/>
        <v/>
      </c>
      <c r="F103" s="3" t="str">
        <f>IF(E103="", "", VLOOKUP(B103, 'S08 ABC Output'!$A$3:$C$18, 3, 0))</f>
        <v/>
      </c>
      <c r="I103" s="288" t="str">
        <f t="shared" si="5"/>
        <v>WS-07</v>
      </c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</row>
    <row r="104" spans="1:53" ht="17">
      <c r="A104" s="3">
        <v>3</v>
      </c>
      <c r="B104" s="196" t="str">
        <f>IFERROR(INDEX('S15 Routing Clustered'!$A$3:$A$18, A104), "")</f>
        <v>I-068</v>
      </c>
      <c r="C104" s="3">
        <v>90</v>
      </c>
      <c r="D104" s="287" t="str">
        <f>IFERROR(HLOOKUP(C104, 'S15 Routing Clustered'!$B$2:$I$18,A104+1, 0), "")</f>
        <v/>
      </c>
      <c r="E104" s="287" t="str">
        <f t="shared" si="3"/>
        <v/>
      </c>
      <c r="F104" s="3" t="str">
        <f>IF(E104="", "", VLOOKUP(B104, 'S08 ABC Output'!$A$3:$C$18, 3, 0))</f>
        <v/>
      </c>
      <c r="I104" s="288" t="str">
        <f t="shared" si="5"/>
        <v>WS-08</v>
      </c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</row>
    <row r="105" spans="1:53" ht="17">
      <c r="A105" s="3">
        <v>3</v>
      </c>
      <c r="B105" s="196" t="str">
        <f>IFERROR(INDEX('S15 Routing Clustered'!$A$3:$A$18, A105), "")</f>
        <v>I-068</v>
      </c>
      <c r="C105" s="3">
        <v>100</v>
      </c>
      <c r="D105" s="287" t="str">
        <f>IFERROR(HLOOKUP(C105, 'S15 Routing Clustered'!$B$2:$I$18,A105+1, 0), "")</f>
        <v/>
      </c>
      <c r="E105" s="287" t="str">
        <f t="shared" si="3"/>
        <v/>
      </c>
      <c r="F105" s="3" t="str">
        <f>IF(E105="", "", VLOOKUP(B105, 'S08 ABC Output'!$A$3:$C$18, 3, 0))</f>
        <v/>
      </c>
      <c r="I105" s="288" t="str">
        <f t="shared" si="5"/>
        <v>WS-09</v>
      </c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</row>
    <row r="106" spans="1:53" ht="17">
      <c r="A106" s="3">
        <v>3</v>
      </c>
      <c r="B106" s="196" t="str">
        <f>IFERROR(INDEX('S15 Routing Clustered'!$A$3:$A$18, A106), "")</f>
        <v>I-068</v>
      </c>
      <c r="C106" s="3">
        <v>110</v>
      </c>
      <c r="D106" s="287" t="str">
        <f>IFERROR(HLOOKUP(C106, 'S15 Routing Clustered'!$B$2:$I$18,A106+1, 0), "")</f>
        <v/>
      </c>
      <c r="E106" s="287" t="str">
        <f t="shared" si="3"/>
        <v/>
      </c>
      <c r="F106" s="3" t="str">
        <f>IF(E106="", "", VLOOKUP(B106, 'S08 ABC Output'!$A$3:$C$18, 3, 0))</f>
        <v/>
      </c>
      <c r="I106" s="288" t="str">
        <f t="shared" si="5"/>
        <v>WS-10</v>
      </c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</row>
    <row r="107" spans="1:53" ht="17">
      <c r="A107" s="3">
        <v>3</v>
      </c>
      <c r="B107" s="196" t="str">
        <f>IFERROR(INDEX('S15 Routing Clustered'!$A$3:$A$18, A107), "")</f>
        <v>I-068</v>
      </c>
      <c r="C107" s="3">
        <v>120</v>
      </c>
      <c r="D107" s="287" t="str">
        <f>IFERROR(HLOOKUP(C107, 'S15 Routing Clustered'!$B$2:$I$18,A107+1, 0), "")</f>
        <v/>
      </c>
      <c r="E107" s="287" t="str">
        <f t="shared" si="3"/>
        <v/>
      </c>
      <c r="F107" s="3" t="str">
        <f>IF(E107="", "", VLOOKUP(B107, 'S08 ABC Output'!$A$3:$C$18, 3, 0))</f>
        <v/>
      </c>
      <c r="I107" s="288" t="str">
        <f t="shared" si="5"/>
        <v>WS-11</v>
      </c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</row>
    <row r="108" spans="1:53" ht="17">
      <c r="A108" s="3">
        <v>3</v>
      </c>
      <c r="B108" s="196" t="str">
        <f>IFERROR(INDEX('S15 Routing Clustered'!$A$3:$A$18, A108), "")</f>
        <v>I-068</v>
      </c>
      <c r="C108" s="3">
        <v>130</v>
      </c>
      <c r="D108" s="287" t="str">
        <f>IFERROR(HLOOKUP(C108, 'S15 Routing Clustered'!$B$2:$I$18,A108+1, 0), "")</f>
        <v/>
      </c>
      <c r="E108" s="287" t="str">
        <f t="shared" si="3"/>
        <v/>
      </c>
      <c r="F108" s="3" t="str">
        <f>IF(E108="", "", VLOOKUP(B108, 'S08 ABC Output'!$A$3:$C$18, 3, 0))</f>
        <v/>
      </c>
      <c r="I108" s="288" t="str">
        <f t="shared" si="5"/>
        <v>WS-12</v>
      </c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</row>
    <row r="109" spans="1:53" ht="17">
      <c r="A109" s="3">
        <v>3</v>
      </c>
      <c r="B109" s="196" t="str">
        <f>IFERROR(INDEX('S15 Routing Clustered'!$A$3:$A$18, A109), "")</f>
        <v>I-068</v>
      </c>
      <c r="C109" s="3">
        <v>140</v>
      </c>
      <c r="D109" s="287" t="str">
        <f>IFERROR(HLOOKUP(C109, 'S15 Routing Clustered'!$B$2:$I$18,A109+1, 0), "")</f>
        <v/>
      </c>
      <c r="E109" s="287" t="str">
        <f t="shared" si="3"/>
        <v/>
      </c>
      <c r="F109" s="3" t="str">
        <f>IF(E109="", "", VLOOKUP(B109, 'S08 ABC Output'!$A$3:$C$18, 3, 0))</f>
        <v/>
      </c>
      <c r="I109" s="288" t="str">
        <f t="shared" si="5"/>
        <v>WS-13</v>
      </c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</row>
    <row r="110" spans="1:53" ht="17">
      <c r="A110" s="3">
        <v>3</v>
      </c>
      <c r="B110" s="196" t="str">
        <f>IFERROR(INDEX('S15 Routing Clustered'!$A$3:$A$18, A110), "")</f>
        <v>I-068</v>
      </c>
      <c r="C110" s="3">
        <v>150</v>
      </c>
      <c r="D110" s="287" t="str">
        <f>IFERROR(HLOOKUP(C110, 'S15 Routing Clustered'!$B$2:$I$18,A110+1, 0), "")</f>
        <v/>
      </c>
      <c r="E110" s="287" t="str">
        <f t="shared" si="3"/>
        <v/>
      </c>
      <c r="F110" s="3" t="str">
        <f>IF(E110="", "", VLOOKUP(B110, 'S08 ABC Output'!$A$3:$C$18, 3, 0))</f>
        <v/>
      </c>
      <c r="I110" s="288" t="str">
        <f t="shared" si="5"/>
        <v>WS-14</v>
      </c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</row>
    <row r="111" spans="1:53" ht="17">
      <c r="A111" s="3">
        <v>3</v>
      </c>
      <c r="B111" s="196" t="str">
        <f>IFERROR(INDEX('S15 Routing Clustered'!$A$3:$A$18, A111), "")</f>
        <v>I-068</v>
      </c>
      <c r="C111" s="3">
        <v>160</v>
      </c>
      <c r="D111" s="287" t="str">
        <f>IFERROR(HLOOKUP(C111, 'S15 Routing Clustered'!$B$2:$I$18,A111+1, 0), "")</f>
        <v/>
      </c>
      <c r="E111" s="287" t="str">
        <f t="shared" si="3"/>
        <v/>
      </c>
      <c r="F111" s="3" t="str">
        <f>IF(E111="", "", VLOOKUP(B111, 'S08 ABC Output'!$A$3:$C$18, 3, 0))</f>
        <v/>
      </c>
      <c r="I111" s="288" t="str">
        <f t="shared" si="5"/>
        <v>WS-15</v>
      </c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</row>
    <row r="112" spans="1:53" ht="17">
      <c r="A112" s="3">
        <v>3</v>
      </c>
      <c r="B112" s="196" t="str">
        <f>IFERROR(INDEX('S15 Routing Clustered'!$A$3:$A$18, A112), "")</f>
        <v>I-068</v>
      </c>
      <c r="C112" s="3">
        <v>170</v>
      </c>
      <c r="D112" s="287" t="str">
        <f>IFERROR(HLOOKUP(C112, 'S15 Routing Clustered'!$B$2:$I$18,A112+1, 0), "")</f>
        <v/>
      </c>
      <c r="E112" s="287" t="str">
        <f t="shared" si="3"/>
        <v/>
      </c>
      <c r="F112" s="3" t="str">
        <f>IF(E112="", "", VLOOKUP(B112, 'S08 ABC Output'!$A$3:$C$18, 3, 0))</f>
        <v/>
      </c>
      <c r="I112" s="288" t="str">
        <f t="shared" si="5"/>
        <v>WS-16</v>
      </c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</row>
    <row r="113" spans="1:53" ht="17">
      <c r="A113" s="3">
        <v>3</v>
      </c>
      <c r="B113" s="196" t="str">
        <f>IFERROR(INDEX('S15 Routing Clustered'!$A$3:$A$18, A113), "")</f>
        <v>I-068</v>
      </c>
      <c r="C113" s="3">
        <v>180</v>
      </c>
      <c r="D113" s="287" t="str">
        <f>IFERROR(HLOOKUP(C113, 'S15 Routing Clustered'!$B$2:$I$18,A113+1, 0), "")</f>
        <v/>
      </c>
      <c r="E113" s="287" t="str">
        <f t="shared" si="3"/>
        <v/>
      </c>
      <c r="F113" s="3" t="str">
        <f>IF(E113="", "", VLOOKUP(B113, 'S08 ABC Output'!$A$3:$C$18, 3, 0))</f>
        <v/>
      </c>
      <c r="I113" s="288" t="str">
        <f t="shared" si="5"/>
        <v>WS-17</v>
      </c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</row>
    <row r="114" spans="1:53" ht="17">
      <c r="A114" s="3">
        <v>3</v>
      </c>
      <c r="B114" s="196" t="str">
        <f>IFERROR(INDEX('S15 Routing Clustered'!$A$3:$A$18, A114), "")</f>
        <v>I-068</v>
      </c>
      <c r="C114" s="3">
        <v>190</v>
      </c>
      <c r="D114" s="287" t="str">
        <f>IFERROR(HLOOKUP(C114, 'S15 Routing Clustered'!$B$2:$I$18,A114+1, 0), "")</f>
        <v/>
      </c>
      <c r="E114" s="287" t="str">
        <f t="shared" si="3"/>
        <v/>
      </c>
      <c r="F114" s="3" t="str">
        <f>IF(E114="", "", VLOOKUP(B114, 'S08 ABC Output'!$A$3:$C$18, 3, 0))</f>
        <v/>
      </c>
      <c r="I114" s="288" t="str">
        <f t="shared" si="5"/>
        <v>WS-18</v>
      </c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</row>
    <row r="115" spans="1:53" ht="17">
      <c r="A115" s="3">
        <v>3</v>
      </c>
      <c r="B115" s="196" t="str">
        <f>IFERROR(INDEX('S15 Routing Clustered'!$A$3:$A$18, A115), "")</f>
        <v>I-068</v>
      </c>
      <c r="C115" s="3">
        <v>200</v>
      </c>
      <c r="D115" s="287" t="str">
        <f>IFERROR(HLOOKUP(C115, 'S15 Routing Clustered'!$B$2:$I$18,A115+1, 0), "")</f>
        <v/>
      </c>
      <c r="E115" s="287" t="str">
        <f t="shared" si="3"/>
        <v/>
      </c>
      <c r="F115" s="3" t="str">
        <f>IF(E115="", "", VLOOKUP(B115, 'S08 ABC Output'!$A$3:$C$18, 3, 0))</f>
        <v/>
      </c>
      <c r="I115" s="288" t="str">
        <f t="shared" si="5"/>
        <v>WS-19</v>
      </c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</row>
    <row r="116" spans="1:53" ht="17">
      <c r="A116" s="3">
        <v>3</v>
      </c>
      <c r="B116" s="196" t="str">
        <f>IFERROR(INDEX('S15 Routing Clustered'!$A$3:$A$18, A116), "")</f>
        <v>I-068</v>
      </c>
      <c r="C116" s="3">
        <v>210</v>
      </c>
      <c r="D116" s="287" t="str">
        <f>IFERROR(HLOOKUP(C116, 'S15 Routing Clustered'!$B$2:$I$18,A116+1, 0), "")</f>
        <v/>
      </c>
      <c r="E116" s="287" t="str">
        <f t="shared" si="3"/>
        <v/>
      </c>
      <c r="F116" s="3" t="str">
        <f>IF(E116="", "", VLOOKUP(B116, 'S08 ABC Output'!$A$3:$C$18, 3, 0))</f>
        <v/>
      </c>
      <c r="I116" s="288" t="str">
        <f t="shared" si="5"/>
        <v>WS-20</v>
      </c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</row>
    <row r="117" spans="1:53" ht="17">
      <c r="A117" s="3">
        <v>3</v>
      </c>
      <c r="B117" s="196" t="str">
        <f>IFERROR(INDEX('S15 Routing Clustered'!$A$3:$A$18, A117), "")</f>
        <v>I-068</v>
      </c>
      <c r="C117" s="3">
        <v>220</v>
      </c>
      <c r="D117" s="287" t="str">
        <f>IFERROR(HLOOKUP(C117, 'S15 Routing Clustered'!$B$2:$I$18,A117+1, 0), "")</f>
        <v/>
      </c>
      <c r="E117" s="287" t="str">
        <f t="shared" si="3"/>
        <v/>
      </c>
      <c r="F117" s="3" t="str">
        <f>IF(E117="", "", VLOOKUP(B117, 'S08 ABC Output'!$A$3:$C$18, 3, 0))</f>
        <v/>
      </c>
      <c r="I117" s="288" t="str">
        <f t="shared" si="5"/>
        <v>WS-21</v>
      </c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</row>
    <row r="118" spans="1:53" ht="17">
      <c r="A118" s="3">
        <v>3</v>
      </c>
      <c r="B118" s="196" t="str">
        <f>IFERROR(INDEX('S15 Routing Clustered'!$A$3:$A$18, A118), "")</f>
        <v>I-068</v>
      </c>
      <c r="C118" s="3">
        <v>230</v>
      </c>
      <c r="D118" s="287" t="str">
        <f>IFERROR(HLOOKUP(C118, 'S15 Routing Clustered'!$B$2:$I$18,A118+1, 0), "")</f>
        <v/>
      </c>
      <c r="E118" s="287" t="str">
        <f t="shared" si="3"/>
        <v/>
      </c>
      <c r="F118" s="3" t="str">
        <f>IF(E118="", "", VLOOKUP(B118, 'S08 ABC Output'!$A$3:$C$18, 3, 0))</f>
        <v/>
      </c>
      <c r="I118" s="288" t="str">
        <f t="shared" si="5"/>
        <v>WS-22</v>
      </c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</row>
    <row r="119" spans="1:53" ht="17">
      <c r="A119" s="3">
        <v>3</v>
      </c>
      <c r="B119" s="196" t="str">
        <f>IFERROR(INDEX('S15 Routing Clustered'!$A$3:$A$18, A119), "")</f>
        <v>I-068</v>
      </c>
      <c r="C119" s="3">
        <v>240</v>
      </c>
      <c r="D119" s="287" t="str">
        <f>IFERROR(HLOOKUP(C119, 'S15 Routing Clustered'!$B$2:$I$18,A119+1, 0), "")</f>
        <v/>
      </c>
      <c r="E119" s="287" t="str">
        <f t="shared" si="3"/>
        <v/>
      </c>
      <c r="F119" s="3" t="str">
        <f>IF(E119="", "", VLOOKUP(B119, 'S08 ABC Output'!$A$3:$C$18, 3, 0))</f>
        <v/>
      </c>
      <c r="I119" s="288" t="str">
        <f t="shared" si="5"/>
        <v>WS-23</v>
      </c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</row>
    <row r="120" spans="1:53" ht="17">
      <c r="A120" s="3">
        <v>3</v>
      </c>
      <c r="B120" s="196" t="str">
        <f>IFERROR(INDEX('S15 Routing Clustered'!$A$3:$A$18, A120), "")</f>
        <v>I-068</v>
      </c>
      <c r="C120" s="3">
        <v>250</v>
      </c>
      <c r="D120" s="287" t="str">
        <f>IFERROR(HLOOKUP(C120, 'S15 Routing Clustered'!$B$2:$I$18,A120+1, 0), "")</f>
        <v/>
      </c>
      <c r="E120" s="287" t="str">
        <f t="shared" si="3"/>
        <v/>
      </c>
      <c r="F120" s="3" t="str">
        <f>IF(E120="", "", VLOOKUP(B120, 'S08 ABC Output'!$A$3:$C$18, 3, 0))</f>
        <v/>
      </c>
      <c r="I120" s="288" t="str">
        <f t="shared" si="5"/>
        <v>WS-24</v>
      </c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</row>
    <row r="121" spans="1:53" ht="17">
      <c r="A121" s="3">
        <v>3</v>
      </c>
      <c r="B121" s="196" t="str">
        <f>IFERROR(INDEX('S15 Routing Clustered'!$A$3:$A$18, A121), "")</f>
        <v>I-068</v>
      </c>
      <c r="C121" s="3">
        <v>260</v>
      </c>
      <c r="D121" s="287" t="str">
        <f>IFERROR(HLOOKUP(C121, 'S15 Routing Clustered'!$B$2:$I$18,A121+1, 0), "")</f>
        <v/>
      </c>
      <c r="E121" s="287" t="str">
        <f t="shared" si="3"/>
        <v/>
      </c>
      <c r="F121" s="3" t="str">
        <f>IF(E121="", "", VLOOKUP(B121, 'S08 ABC Output'!$A$3:$C$18, 3, 0))</f>
        <v/>
      </c>
      <c r="I121" s="288" t="str">
        <f t="shared" si="5"/>
        <v>WS-25</v>
      </c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>
        <v>65248</v>
      </c>
      <c r="AR121" s="3"/>
      <c r="AS121" s="3"/>
      <c r="AT121" s="3"/>
      <c r="AU121" s="3"/>
      <c r="AV121" s="3"/>
      <c r="AW121" s="3"/>
      <c r="AX121" s="3"/>
      <c r="AY121" s="3"/>
      <c r="AZ121" s="3"/>
      <c r="BA121" s="3"/>
    </row>
    <row r="122" spans="1:53" ht="17">
      <c r="A122" s="3">
        <v>3</v>
      </c>
      <c r="B122" s="196" t="str">
        <f>IFERROR(INDEX('S15 Routing Clustered'!$A$3:$A$18, A122), "")</f>
        <v>I-068</v>
      </c>
      <c r="C122" s="3">
        <v>270</v>
      </c>
      <c r="D122" s="287" t="str">
        <f>IFERROR(HLOOKUP(C122, 'S15 Routing Clustered'!$B$2:$I$18,A122+1, 0), "")</f>
        <v/>
      </c>
      <c r="E122" s="287" t="str">
        <f t="shared" si="3"/>
        <v/>
      </c>
      <c r="F122" s="3" t="str">
        <f>IF(E122="", "", VLOOKUP(B122, 'S08 ABC Output'!$A$3:$C$18, 3, 0))</f>
        <v/>
      </c>
      <c r="I122" s="288" t="str">
        <f t="shared" si="5"/>
        <v>WS-26</v>
      </c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</row>
    <row r="123" spans="1:53" ht="17">
      <c r="A123" s="3">
        <v>3</v>
      </c>
      <c r="B123" s="196" t="str">
        <f>IFERROR(INDEX('S15 Routing Clustered'!$A$3:$A$18, A123), "")</f>
        <v>I-068</v>
      </c>
      <c r="C123" s="3">
        <v>280</v>
      </c>
      <c r="D123" s="287" t="str">
        <f>IFERROR(HLOOKUP(C123, 'S15 Routing Clustered'!$B$2:$I$18,A123+1, 0), "")</f>
        <v/>
      </c>
      <c r="E123" s="287" t="str">
        <f t="shared" si="3"/>
        <v/>
      </c>
      <c r="F123" s="3" t="str">
        <f>IF(E123="", "", VLOOKUP(B123, 'S08 ABC Output'!$A$3:$C$18, 3, 0))</f>
        <v/>
      </c>
      <c r="I123" s="288" t="str">
        <f t="shared" si="5"/>
        <v>WS-27</v>
      </c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</row>
    <row r="124" spans="1:53" ht="17">
      <c r="A124" s="3">
        <v>3</v>
      </c>
      <c r="B124" s="196" t="str">
        <f>IFERROR(INDEX('S15 Routing Clustered'!$A$3:$A$18, A124), "")</f>
        <v>I-068</v>
      </c>
      <c r="C124" s="3">
        <v>290</v>
      </c>
      <c r="D124" s="287" t="str">
        <f>IFERROR(HLOOKUP(C124, 'S15 Routing Clustered'!$B$2:$I$18,A124+1, 0), "")</f>
        <v/>
      </c>
      <c r="E124" s="287" t="str">
        <f t="shared" si="3"/>
        <v/>
      </c>
      <c r="F124" s="3" t="str">
        <f>IF(E124="", "", VLOOKUP(B124, 'S08 ABC Output'!$A$3:$C$18, 3, 0))</f>
        <v/>
      </c>
      <c r="I124" s="288" t="str">
        <f t="shared" si="5"/>
        <v>WS-28</v>
      </c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</row>
    <row r="125" spans="1:53" ht="17">
      <c r="A125" s="3">
        <v>3</v>
      </c>
      <c r="B125" s="196" t="str">
        <f>IFERROR(INDEX('S15 Routing Clustered'!$A$3:$A$18, A125), "")</f>
        <v>I-068</v>
      </c>
      <c r="C125" s="3">
        <v>300</v>
      </c>
      <c r="D125" s="287" t="str">
        <f>IFERROR(HLOOKUP(C125, 'S15 Routing Clustered'!$B$2:$I$18,A125+1, 0), "")</f>
        <v/>
      </c>
      <c r="E125" s="287" t="str">
        <f t="shared" si="3"/>
        <v/>
      </c>
      <c r="F125" s="3" t="str">
        <f>IF(E125="", "", VLOOKUP(B125, 'S08 ABC Output'!$A$3:$C$18, 3, 0))</f>
        <v/>
      </c>
      <c r="I125" s="288" t="str">
        <f t="shared" si="5"/>
        <v>WS-29</v>
      </c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</row>
    <row r="126" spans="1:53" ht="17">
      <c r="A126" s="3">
        <v>3</v>
      </c>
      <c r="B126" s="196" t="str">
        <f>IFERROR(INDEX('S15 Routing Clustered'!$A$3:$A$18, A126), "")</f>
        <v>I-068</v>
      </c>
      <c r="C126" s="3">
        <v>310</v>
      </c>
      <c r="D126" s="287" t="str">
        <f>IFERROR(HLOOKUP(C126, 'S15 Routing Clustered'!$B$2:$I$18,A126+1, 0), "")</f>
        <v/>
      </c>
      <c r="E126" s="287" t="str">
        <f t="shared" si="3"/>
        <v/>
      </c>
      <c r="F126" s="3" t="str">
        <f>IF(E126="", "", VLOOKUP(B126, 'S08 ABC Output'!$A$3:$C$18, 3, 0))</f>
        <v/>
      </c>
      <c r="I126" s="288" t="str">
        <f t="shared" si="5"/>
        <v>WS-30</v>
      </c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</row>
    <row r="127" spans="1:53" ht="17">
      <c r="A127" s="3">
        <v>3</v>
      </c>
      <c r="B127" s="196" t="str">
        <f>IFERROR(INDEX('S15 Routing Clustered'!$A$3:$A$18, A127), "")</f>
        <v>I-068</v>
      </c>
      <c r="C127" s="3">
        <v>320</v>
      </c>
      <c r="D127" s="287" t="str">
        <f>IFERROR(HLOOKUP(C127, 'S15 Routing Clustered'!$B$2:$I$18,A127+1, 0), "")</f>
        <v/>
      </c>
      <c r="E127" s="287" t="str">
        <f t="shared" si="3"/>
        <v/>
      </c>
      <c r="F127" s="3" t="str">
        <f>IF(E127="", "", VLOOKUP(B127, 'S08 ABC Output'!$A$3:$C$18, 3, 0))</f>
        <v/>
      </c>
      <c r="I127" s="288" t="str">
        <f t="shared" si="5"/>
        <v>WS-31</v>
      </c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</row>
    <row r="128" spans="1:53" ht="17">
      <c r="A128" s="3">
        <v>3</v>
      </c>
      <c r="B128" s="196" t="str">
        <f>IFERROR(INDEX('S15 Routing Clustered'!$A$3:$A$18, A128), "")</f>
        <v>I-068</v>
      </c>
      <c r="C128" s="3">
        <v>330</v>
      </c>
      <c r="D128" s="287" t="str">
        <f>IFERROR(HLOOKUP(C128, 'S15 Routing Clustered'!$B$2:$I$18,A128+1, 0), "")</f>
        <v/>
      </c>
      <c r="E128" s="287" t="str">
        <f t="shared" si="3"/>
        <v/>
      </c>
      <c r="F128" s="3" t="str">
        <f>IF(E128="", "", VLOOKUP(B128, 'S08 ABC Output'!$A$3:$C$18, 3, 0))</f>
        <v/>
      </c>
      <c r="I128" s="288" t="str">
        <f t="shared" si="5"/>
        <v>WS-32</v>
      </c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</row>
    <row r="129" spans="1:53" ht="17">
      <c r="A129" s="3">
        <v>3</v>
      </c>
      <c r="B129" s="196" t="str">
        <f>IFERROR(INDEX('S15 Routing Clustered'!$A$3:$A$18, A129), "")</f>
        <v>I-068</v>
      </c>
      <c r="C129" s="3">
        <v>340</v>
      </c>
      <c r="D129" s="287" t="str">
        <f>IFERROR(HLOOKUP(C129, 'S15 Routing Clustered'!$B$2:$I$18,A129+1, 0), "")</f>
        <v/>
      </c>
      <c r="E129" s="287" t="str">
        <f t="shared" si="3"/>
        <v/>
      </c>
      <c r="F129" s="3" t="str">
        <f>IF(E129="", "", VLOOKUP(B129, 'S08 ABC Output'!$A$3:$C$18, 3, 0))</f>
        <v/>
      </c>
      <c r="I129" s="288" t="str">
        <f t="shared" si="5"/>
        <v>WS-33</v>
      </c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</row>
    <row r="130" spans="1:53" ht="17">
      <c r="A130" s="3">
        <v>3</v>
      </c>
      <c r="B130" s="196" t="str">
        <f>IFERROR(INDEX('S15 Routing Clustered'!$A$3:$A$18, A130), "")</f>
        <v>I-068</v>
      </c>
      <c r="C130" s="3">
        <v>350</v>
      </c>
      <c r="D130" s="287" t="str">
        <f>IFERROR(HLOOKUP(C130, 'S15 Routing Clustered'!$B$2:$I$18,A130+1, 0), "")</f>
        <v/>
      </c>
      <c r="E130" s="287" t="str">
        <f t="shared" si="3"/>
        <v/>
      </c>
      <c r="F130" s="3" t="str">
        <f>IF(E130="", "", VLOOKUP(B130, 'S08 ABC Output'!$A$3:$C$18, 3, 0))</f>
        <v/>
      </c>
      <c r="I130" s="288" t="str">
        <f t="shared" si="5"/>
        <v>WS-34</v>
      </c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>
        <v>65248</v>
      </c>
    </row>
    <row r="131" spans="1:53" ht="17">
      <c r="A131" s="3">
        <v>3</v>
      </c>
      <c r="B131" s="196" t="str">
        <f>IFERROR(INDEX('S15 Routing Clustered'!$A$3:$A$18, A131), "")</f>
        <v>I-068</v>
      </c>
      <c r="C131" s="3">
        <v>360</v>
      </c>
      <c r="D131" s="287" t="str">
        <f>IFERROR(HLOOKUP(C131, 'S15 Routing Clustered'!$B$2:$I$18,A131+1, 0), "")</f>
        <v/>
      </c>
      <c r="E131" s="287" t="str">
        <f t="shared" ref="E131:E194" si="6">IF(D131="", "", D132)</f>
        <v/>
      </c>
      <c r="F131" s="3" t="str">
        <f>IF(E131="", "", VLOOKUP(B131, 'S08 ABC Output'!$A$3:$C$18, 3, 0))</f>
        <v/>
      </c>
      <c r="I131" s="288" t="str">
        <f t="shared" si="5"/>
        <v>WS-35</v>
      </c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</row>
    <row r="132" spans="1:53" ht="17">
      <c r="A132" s="3">
        <v>3</v>
      </c>
      <c r="B132" s="196" t="str">
        <f>IFERROR(INDEX('S15 Routing Clustered'!$A$3:$A$18, A132), "")</f>
        <v>I-068</v>
      </c>
      <c r="C132" s="3">
        <v>370</v>
      </c>
      <c r="D132" s="287" t="str">
        <f>IFERROR(HLOOKUP(C132, 'S15 Routing Clustered'!$B$2:$I$18,A132+1, 0), "")</f>
        <v/>
      </c>
      <c r="E132" s="287" t="str">
        <f t="shared" si="6"/>
        <v/>
      </c>
      <c r="F132" s="3" t="str">
        <f>IF(E132="", "", VLOOKUP(B132, 'S08 ABC Output'!$A$3:$C$18, 3, 0))</f>
        <v/>
      </c>
      <c r="I132" s="288" t="str">
        <f t="shared" si="5"/>
        <v>WS-36</v>
      </c>
      <c r="J132" s="3"/>
      <c r="K132" s="3"/>
      <c r="L132" s="3"/>
      <c r="M132" s="3"/>
      <c r="N132" s="3">
        <v>65248</v>
      </c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</row>
    <row r="133" spans="1:53" ht="17">
      <c r="A133" s="3">
        <v>3</v>
      </c>
      <c r="B133" s="196" t="str">
        <f>IFERROR(INDEX('S15 Routing Clustered'!$A$3:$A$18, A133), "")</f>
        <v>I-068</v>
      </c>
      <c r="C133" s="3">
        <v>380</v>
      </c>
      <c r="D133" s="287" t="str">
        <f>IFERROR(HLOOKUP(C133, 'S15 Routing Clustered'!$B$2:$I$18,A133+1, 0), "")</f>
        <v/>
      </c>
      <c r="E133" s="287" t="str">
        <f t="shared" si="6"/>
        <v/>
      </c>
      <c r="F133" s="3" t="str">
        <f>IF(E133="", "", VLOOKUP(B133, 'S08 ABC Output'!$A$3:$C$18, 3, 0))</f>
        <v/>
      </c>
      <c r="I133" s="288" t="str">
        <f t="shared" si="5"/>
        <v>WS-37</v>
      </c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</row>
    <row r="134" spans="1:53" ht="17">
      <c r="A134" s="3">
        <v>3</v>
      </c>
      <c r="B134" s="196" t="str">
        <f>IFERROR(INDEX('S15 Routing Clustered'!$A$3:$A$18, A134), "")</f>
        <v>I-068</v>
      </c>
      <c r="C134" s="3">
        <v>390</v>
      </c>
      <c r="D134" s="287" t="str">
        <f>IFERROR(HLOOKUP(C134, 'S15 Routing Clustered'!$B$2:$I$18,A134+1, 0), "")</f>
        <v/>
      </c>
      <c r="E134" s="287" t="str">
        <f t="shared" si="6"/>
        <v/>
      </c>
      <c r="F134" s="3" t="str">
        <f>IF(E134="", "", VLOOKUP(B134, 'S08 ABC Output'!$A$3:$C$18, 3, 0))</f>
        <v/>
      </c>
      <c r="I134" s="288" t="str">
        <f t="shared" si="5"/>
        <v>WS-38</v>
      </c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</row>
    <row r="135" spans="1:53" ht="17">
      <c r="A135" s="3">
        <v>3</v>
      </c>
      <c r="B135" s="196" t="str">
        <f>IFERROR(INDEX('S15 Routing Clustered'!$A$3:$A$18, A135), "")</f>
        <v>I-068</v>
      </c>
      <c r="C135" s="3">
        <v>400</v>
      </c>
      <c r="D135" s="287" t="str">
        <f>IFERROR(HLOOKUP(C135, 'S15 Routing Clustered'!$B$2:$I$18,A135+1, 0), "")</f>
        <v/>
      </c>
      <c r="E135" s="287" t="str">
        <f t="shared" si="6"/>
        <v/>
      </c>
      <c r="F135" s="3" t="str">
        <f>IF(E135="", "", VLOOKUP(B135, 'S08 ABC Output'!$A$3:$C$18, 3, 0))</f>
        <v/>
      </c>
      <c r="I135" s="288" t="str">
        <f t="shared" si="5"/>
        <v>WS-39</v>
      </c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</row>
    <row r="136" spans="1:53" ht="17">
      <c r="A136" s="3">
        <v>3</v>
      </c>
      <c r="B136" s="196" t="str">
        <f>IFERROR(INDEX('S15 Routing Clustered'!$A$3:$A$18, A136), "")</f>
        <v>I-068</v>
      </c>
      <c r="C136" s="3">
        <v>410</v>
      </c>
      <c r="D136" s="287" t="str">
        <f>IFERROR(HLOOKUP(C136, 'S15 Routing Clustered'!$B$2:$I$18,A136+1, 0), "")</f>
        <v/>
      </c>
      <c r="E136" s="287" t="str">
        <f t="shared" si="6"/>
        <v/>
      </c>
      <c r="F136" s="3" t="str">
        <f>IF(E136="", "", VLOOKUP(B136, 'S08 ABC Output'!$A$3:$C$18, 3, 0))</f>
        <v/>
      </c>
      <c r="I136" s="288" t="str">
        <f t="shared" si="5"/>
        <v>WS-40</v>
      </c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</row>
    <row r="137" spans="1:53" ht="17">
      <c r="A137" s="3">
        <v>3</v>
      </c>
      <c r="B137" s="196" t="str">
        <f>IFERROR(INDEX('S15 Routing Clustered'!$A$3:$A$18, A137), "")</f>
        <v>I-068</v>
      </c>
      <c r="C137" s="3">
        <v>420</v>
      </c>
      <c r="D137" s="287" t="str">
        <f>IFERROR(HLOOKUP(C137, 'S15 Routing Clustered'!$B$2:$I$18,A137+1, 0), "")</f>
        <v/>
      </c>
      <c r="E137" s="287" t="str">
        <f t="shared" si="6"/>
        <v/>
      </c>
      <c r="F137" s="3" t="str">
        <f>IF(E137="", "", VLOOKUP(B137, 'S08 ABC Output'!$A$3:$C$18, 3, 0))</f>
        <v/>
      </c>
      <c r="I137" s="288" t="str">
        <f t="shared" si="5"/>
        <v>WS-41</v>
      </c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</row>
    <row r="138" spans="1:53" ht="17">
      <c r="A138" s="3">
        <v>3</v>
      </c>
      <c r="B138" s="196" t="str">
        <f>IFERROR(INDEX('S15 Routing Clustered'!$A$3:$A$18, A138), "")</f>
        <v>I-068</v>
      </c>
      <c r="C138" s="3">
        <v>430</v>
      </c>
      <c r="D138" s="287" t="str">
        <f>IFERROR(HLOOKUP(C138, 'S15 Routing Clustered'!$B$2:$I$18,A138+1, 0), "")</f>
        <v/>
      </c>
      <c r="E138" s="287" t="str">
        <f t="shared" si="6"/>
        <v/>
      </c>
      <c r="F138" s="3" t="str">
        <f>IF(E138="", "", VLOOKUP(B138, 'S08 ABC Output'!$A$3:$C$18, 3, 0))</f>
        <v/>
      </c>
      <c r="I138" s="288" t="str">
        <f t="shared" si="5"/>
        <v>WS-42</v>
      </c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</row>
    <row r="139" spans="1:53" ht="17">
      <c r="A139" s="3">
        <v>3</v>
      </c>
      <c r="B139" s="196" t="str">
        <f>IFERROR(INDEX('S15 Routing Clustered'!$A$3:$A$18, A139), "")</f>
        <v>I-068</v>
      </c>
      <c r="C139" s="3">
        <v>440</v>
      </c>
      <c r="D139" s="287" t="str">
        <f>IFERROR(HLOOKUP(C139, 'S15 Routing Clustered'!$B$2:$I$18,A139+1, 0), "")</f>
        <v/>
      </c>
      <c r="E139" s="287" t="str">
        <f t="shared" si="6"/>
        <v/>
      </c>
      <c r="F139" s="3" t="str">
        <f>IF(E139="", "", VLOOKUP(B139, 'S08 ABC Output'!$A$3:$C$18, 3, 0))</f>
        <v/>
      </c>
      <c r="I139" s="288" t="str">
        <f t="shared" si="5"/>
        <v>WS-43</v>
      </c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>
        <v>65248</v>
      </c>
      <c r="AT139" s="3"/>
      <c r="AU139" s="3"/>
      <c r="AV139" s="3"/>
      <c r="AW139" s="3"/>
      <c r="AX139" s="3"/>
      <c r="AY139" s="3"/>
      <c r="AZ139" s="3"/>
      <c r="BA139" s="3"/>
    </row>
    <row r="140" spans="1:53" ht="17">
      <c r="A140" s="3">
        <v>3</v>
      </c>
      <c r="B140" s="196" t="str">
        <f>IFERROR(INDEX('S15 Routing Clustered'!$A$3:$A$18, A140), "")</f>
        <v>I-068</v>
      </c>
      <c r="C140" s="3">
        <v>450</v>
      </c>
      <c r="D140" s="287" t="str">
        <f>IFERROR(HLOOKUP(C140, 'S15 Routing Clustered'!$B$2:$I$18,A140+1, 0), "")</f>
        <v/>
      </c>
      <c r="E140" s="287" t="str">
        <f t="shared" si="6"/>
        <v/>
      </c>
      <c r="F140" s="3" t="str">
        <f>IF(E140="", "", VLOOKUP(B140, 'S08 ABC Output'!$A$3:$C$18, 3, 0))</f>
        <v/>
      </c>
      <c r="I140" s="288" t="str">
        <f t="shared" si="5"/>
        <v>WS-44</v>
      </c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</row>
    <row r="141" spans="1:53" ht="17">
      <c r="B141" s="196" t="str">
        <f>IFERROR(INDEX('S15 Routing Clustered'!$A$3:$A$18, A141), "")</f>
        <v/>
      </c>
      <c r="D141" s="287" t="str">
        <f>IFERROR(HLOOKUP(C141, 'S15 Routing Clustered'!$B$2:$I$18,A141+1, 0), "")</f>
        <v/>
      </c>
      <c r="E141" s="287" t="str">
        <f t="shared" si="6"/>
        <v/>
      </c>
      <c r="F141" s="3" t="str">
        <f>IF(E141="", "", VLOOKUP(B141, 'S08 ABC Output'!$A$3:$C$18, 3, 0))</f>
        <v/>
      </c>
      <c r="I141" s="288"/>
    </row>
    <row r="142" spans="1:53" ht="17">
      <c r="B142" s="196" t="str">
        <f>IFERROR(INDEX('S15 Routing Clustered'!$A$3:$A$18, A142), "")</f>
        <v/>
      </c>
      <c r="D142" s="287" t="str">
        <f>IFERROR(HLOOKUP(C142, 'S15 Routing Clustered'!$B$2:$I$18,A142+1, 0), "")</f>
        <v/>
      </c>
      <c r="E142" s="287" t="str">
        <f t="shared" si="6"/>
        <v/>
      </c>
      <c r="F142" s="3" t="str">
        <f>IF(E142="", "", VLOOKUP(B142, 'S08 ABC Output'!$A$3:$C$18, 3, 0))</f>
        <v/>
      </c>
      <c r="I142" s="288"/>
    </row>
    <row r="143" spans="1:53" ht="17">
      <c r="A143" s="3">
        <v>4</v>
      </c>
      <c r="B143" s="196" t="str">
        <f>IFERROR(INDEX('S15 Routing Clustered'!$A$3:$A$18, A143), "")</f>
        <v>I-069</v>
      </c>
      <c r="C143" s="3">
        <v>10</v>
      </c>
      <c r="D143" s="287" t="str">
        <f>IFERROR(HLOOKUP(C143, 'S15 Routing Clustered'!$B$2:$I$18,A143+1, 0), "")</f>
        <v>WS-43</v>
      </c>
      <c r="E143" s="287" t="str">
        <f t="shared" si="6"/>
        <v>WS-36</v>
      </c>
      <c r="F143" s="3">
        <f>IF(E143="", "", VLOOKUP(B143, 'S08 ABC Output'!$A$3:$C$18, 3, 0))</f>
        <v>36524</v>
      </c>
      <c r="I143" s="288"/>
      <c r="J143" s="288" t="str">
        <f>J96</f>
        <v>WS-01</v>
      </c>
      <c r="K143" s="288" t="str">
        <f t="shared" ref="K143:BA143" si="7">K96</f>
        <v>WS-02</v>
      </c>
      <c r="L143" s="288" t="str">
        <f t="shared" si="7"/>
        <v>WS-03</v>
      </c>
      <c r="M143" s="288" t="str">
        <f t="shared" si="7"/>
        <v>WS-04</v>
      </c>
      <c r="N143" s="288" t="str">
        <f t="shared" si="7"/>
        <v>WS-05</v>
      </c>
      <c r="O143" s="288" t="str">
        <f t="shared" si="7"/>
        <v>WS-06</v>
      </c>
      <c r="P143" s="288" t="str">
        <f t="shared" si="7"/>
        <v>WS-07</v>
      </c>
      <c r="Q143" s="288" t="str">
        <f t="shared" si="7"/>
        <v>WS-08</v>
      </c>
      <c r="R143" s="288" t="str">
        <f t="shared" si="7"/>
        <v>WS-09</v>
      </c>
      <c r="S143" s="288" t="str">
        <f t="shared" si="7"/>
        <v>WS-10</v>
      </c>
      <c r="T143" s="288" t="str">
        <f t="shared" si="7"/>
        <v>WS-11</v>
      </c>
      <c r="U143" s="288" t="str">
        <f t="shared" si="7"/>
        <v>WS-12</v>
      </c>
      <c r="V143" s="288" t="str">
        <f t="shared" si="7"/>
        <v>WS-13</v>
      </c>
      <c r="W143" s="288" t="str">
        <f t="shared" si="7"/>
        <v>WS-14</v>
      </c>
      <c r="X143" s="288" t="str">
        <f t="shared" si="7"/>
        <v>WS-15</v>
      </c>
      <c r="Y143" s="288" t="str">
        <f t="shared" si="7"/>
        <v>WS-16</v>
      </c>
      <c r="Z143" s="288" t="str">
        <f t="shared" si="7"/>
        <v>WS-17</v>
      </c>
      <c r="AA143" s="288" t="str">
        <f t="shared" si="7"/>
        <v>WS-18</v>
      </c>
      <c r="AB143" s="288" t="str">
        <f t="shared" si="7"/>
        <v>WS-19</v>
      </c>
      <c r="AC143" s="288" t="str">
        <f t="shared" si="7"/>
        <v>WS-20</v>
      </c>
      <c r="AD143" s="288" t="str">
        <f t="shared" si="7"/>
        <v>WS-21</v>
      </c>
      <c r="AE143" s="288" t="str">
        <f t="shared" si="7"/>
        <v>WS-22</v>
      </c>
      <c r="AF143" s="288" t="str">
        <f t="shared" si="7"/>
        <v>WS-23</v>
      </c>
      <c r="AG143" s="288" t="str">
        <f t="shared" si="7"/>
        <v>WS-24</v>
      </c>
      <c r="AH143" s="288" t="str">
        <f t="shared" si="7"/>
        <v>WS-25</v>
      </c>
      <c r="AI143" s="288" t="str">
        <f t="shared" si="7"/>
        <v>WS-26</v>
      </c>
      <c r="AJ143" s="288" t="str">
        <f t="shared" si="7"/>
        <v>WS-27</v>
      </c>
      <c r="AK143" s="288" t="str">
        <f t="shared" si="7"/>
        <v>WS-28</v>
      </c>
      <c r="AL143" s="288" t="str">
        <f t="shared" si="7"/>
        <v>WS-29</v>
      </c>
      <c r="AM143" s="288" t="str">
        <f t="shared" si="7"/>
        <v>WS-30</v>
      </c>
      <c r="AN143" s="288" t="str">
        <f t="shared" si="7"/>
        <v>WS-31</v>
      </c>
      <c r="AO143" s="288" t="str">
        <f t="shared" si="7"/>
        <v>WS-32</v>
      </c>
      <c r="AP143" s="288" t="str">
        <f t="shared" si="7"/>
        <v>WS-33</v>
      </c>
      <c r="AQ143" s="288" t="str">
        <f t="shared" si="7"/>
        <v>WS-34</v>
      </c>
      <c r="AR143" s="288" t="str">
        <f t="shared" si="7"/>
        <v>WS-35</v>
      </c>
      <c r="AS143" s="288" t="str">
        <f t="shared" si="7"/>
        <v>WS-36</v>
      </c>
      <c r="AT143" s="288" t="str">
        <f t="shared" si="7"/>
        <v>WS-37</v>
      </c>
      <c r="AU143" s="288" t="str">
        <f t="shared" si="7"/>
        <v>WS-38</v>
      </c>
      <c r="AV143" s="288" t="str">
        <f t="shared" si="7"/>
        <v>WS-39</v>
      </c>
      <c r="AW143" s="288" t="str">
        <f t="shared" si="7"/>
        <v>WS-40</v>
      </c>
      <c r="AX143" s="288" t="str">
        <f t="shared" si="7"/>
        <v>WS-41</v>
      </c>
      <c r="AY143" s="288" t="str">
        <f t="shared" si="7"/>
        <v>WS-42</v>
      </c>
      <c r="AZ143" s="288" t="str">
        <f t="shared" si="7"/>
        <v>WS-43</v>
      </c>
      <c r="BA143" s="288" t="str">
        <f t="shared" si="7"/>
        <v>WS-44</v>
      </c>
    </row>
    <row r="144" spans="1:53" ht="17">
      <c r="A144" s="3">
        <v>4</v>
      </c>
      <c r="B144" s="196" t="str">
        <f>IFERROR(INDEX('S15 Routing Clustered'!$A$3:$A$18, A144), "")</f>
        <v>I-069</v>
      </c>
      <c r="C144" s="3">
        <v>20</v>
      </c>
      <c r="D144" s="287" t="str">
        <f>IFERROR(HLOOKUP(C144, 'S15 Routing Clustered'!$B$2:$I$18,A144+1, 0), "")</f>
        <v>WS-36</v>
      </c>
      <c r="E144" s="287" t="str">
        <f t="shared" si="6"/>
        <v>WS-05</v>
      </c>
      <c r="F144" s="3">
        <f>IF(E144="", "", VLOOKUP(B144, 'S08 ABC Output'!$A$3:$C$18, 3, 0))</f>
        <v>36524</v>
      </c>
      <c r="I144" s="288" t="str">
        <f>I97</f>
        <v>WS-01</v>
      </c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</row>
    <row r="145" spans="1:53" ht="17">
      <c r="A145" s="3">
        <v>4</v>
      </c>
      <c r="B145" s="196" t="str">
        <f>IFERROR(INDEX('S15 Routing Clustered'!$A$3:$A$18, A145), "")</f>
        <v>I-069</v>
      </c>
      <c r="C145" s="3">
        <v>30</v>
      </c>
      <c r="D145" s="287" t="str">
        <f>IFERROR(HLOOKUP(C145, 'S15 Routing Clustered'!$B$2:$I$18,A145+1, 0), "")</f>
        <v>WS-05</v>
      </c>
      <c r="E145" s="287" t="str">
        <f t="shared" si="6"/>
        <v>WS-25</v>
      </c>
      <c r="F145" s="3">
        <f>IF(E145="", "", VLOOKUP(B145, 'S08 ABC Output'!$A$3:$C$18, 3, 0))</f>
        <v>36524</v>
      </c>
      <c r="I145" s="288" t="str">
        <f t="shared" ref="I145:I187" si="8">I98</f>
        <v>WS-02</v>
      </c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</row>
    <row r="146" spans="1:53" ht="17">
      <c r="A146" s="3">
        <v>4</v>
      </c>
      <c r="B146" s="196" t="str">
        <f>IFERROR(INDEX('S15 Routing Clustered'!$A$3:$A$18, A146), "")</f>
        <v>I-069</v>
      </c>
      <c r="C146" s="3">
        <v>40</v>
      </c>
      <c r="D146" s="287" t="str">
        <f>IFERROR(HLOOKUP(C146, 'S15 Routing Clustered'!$B$2:$I$18,A146+1, 0), "")</f>
        <v>WS-25</v>
      </c>
      <c r="E146" s="287" t="str">
        <f t="shared" si="6"/>
        <v>WS-34</v>
      </c>
      <c r="F146" s="3">
        <f>IF(E146="", "", VLOOKUP(B146, 'S08 ABC Output'!$A$3:$C$18, 3, 0))</f>
        <v>36524</v>
      </c>
      <c r="I146" s="288" t="str">
        <f t="shared" si="8"/>
        <v>WS-03</v>
      </c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</row>
    <row r="147" spans="1:53" ht="17">
      <c r="A147" s="3">
        <v>4</v>
      </c>
      <c r="B147" s="196" t="str">
        <f>IFERROR(INDEX('S15 Routing Clustered'!$A$3:$A$18, A147), "")</f>
        <v>I-069</v>
      </c>
      <c r="C147" s="3">
        <v>50</v>
      </c>
      <c r="D147" s="287" t="str">
        <f>IFERROR(HLOOKUP(C147, 'S15 Routing Clustered'!$B$2:$I$18,A147+1, 0), "")</f>
        <v>WS-34</v>
      </c>
      <c r="E147" s="287" t="str">
        <f t="shared" si="6"/>
        <v>WS-44</v>
      </c>
      <c r="F147" s="3">
        <f>IF(E147="", "", VLOOKUP(B147, 'S08 ABC Output'!$A$3:$C$18, 3, 0))</f>
        <v>36524</v>
      </c>
      <c r="I147" s="288" t="str">
        <f t="shared" si="8"/>
        <v>WS-04</v>
      </c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</row>
    <row r="148" spans="1:53" ht="17">
      <c r="A148" s="3">
        <v>4</v>
      </c>
      <c r="B148" s="196" t="str">
        <f>IFERROR(INDEX('S15 Routing Clustered'!$A$3:$A$18, A148), "")</f>
        <v>I-069</v>
      </c>
      <c r="C148" s="3">
        <v>60</v>
      </c>
      <c r="D148" s="287" t="str">
        <f>IFERROR(HLOOKUP(C148, 'S15 Routing Clustered'!$B$2:$I$18,A148+1, 0), "")</f>
        <v>WS-44</v>
      </c>
      <c r="E148" s="287" t="str">
        <f t="shared" si="6"/>
        <v/>
      </c>
      <c r="F148" s="3" t="str">
        <f>IF(E148="", "", VLOOKUP(B148, 'S08 ABC Output'!$A$3:$C$18, 3, 0))</f>
        <v/>
      </c>
      <c r="I148" s="288" t="str">
        <f t="shared" si="8"/>
        <v>WS-05</v>
      </c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>
        <v>36524</v>
      </c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</row>
    <row r="149" spans="1:53" ht="17">
      <c r="A149" s="3">
        <v>4</v>
      </c>
      <c r="B149" s="196" t="str">
        <f>IFERROR(INDEX('S15 Routing Clustered'!$A$3:$A$18, A149), "")</f>
        <v>I-069</v>
      </c>
      <c r="C149" s="3">
        <v>70</v>
      </c>
      <c r="D149" s="287" t="str">
        <f>IFERROR(HLOOKUP(C149, 'S15 Routing Clustered'!$B$2:$I$18,A149+1, 0), "")</f>
        <v/>
      </c>
      <c r="E149" s="287" t="str">
        <f t="shared" si="6"/>
        <v/>
      </c>
      <c r="F149" s="3" t="str">
        <f>IF(E149="", "", VLOOKUP(B149, 'S08 ABC Output'!$A$3:$C$18, 3, 0))</f>
        <v/>
      </c>
      <c r="I149" s="288" t="str">
        <f t="shared" si="8"/>
        <v>WS-06</v>
      </c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</row>
    <row r="150" spans="1:53" ht="17">
      <c r="A150" s="3">
        <v>4</v>
      </c>
      <c r="B150" s="196" t="str">
        <f>IFERROR(INDEX('S15 Routing Clustered'!$A$3:$A$18, A150), "")</f>
        <v>I-069</v>
      </c>
      <c r="C150" s="3">
        <v>80</v>
      </c>
      <c r="D150" s="287" t="str">
        <f>IFERROR(HLOOKUP(C150, 'S15 Routing Clustered'!$B$2:$I$18,A150+1, 0), "")</f>
        <v/>
      </c>
      <c r="E150" s="287" t="str">
        <f t="shared" si="6"/>
        <v/>
      </c>
      <c r="F150" s="3" t="str">
        <f>IF(E150="", "", VLOOKUP(B150, 'S08 ABC Output'!$A$3:$C$18, 3, 0))</f>
        <v/>
      </c>
      <c r="I150" s="288" t="str">
        <f t="shared" si="8"/>
        <v>WS-07</v>
      </c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</row>
    <row r="151" spans="1:53" ht="17">
      <c r="A151" s="3">
        <v>4</v>
      </c>
      <c r="B151" s="196" t="str">
        <f>IFERROR(INDEX('S15 Routing Clustered'!$A$3:$A$18, A151), "")</f>
        <v>I-069</v>
      </c>
      <c r="C151" s="3">
        <v>90</v>
      </c>
      <c r="D151" s="287" t="str">
        <f>IFERROR(HLOOKUP(C151, 'S15 Routing Clustered'!$B$2:$I$18,A151+1, 0), "")</f>
        <v/>
      </c>
      <c r="E151" s="287" t="str">
        <f t="shared" si="6"/>
        <v/>
      </c>
      <c r="F151" s="3" t="str">
        <f>IF(E151="", "", VLOOKUP(B151, 'S08 ABC Output'!$A$3:$C$18, 3, 0))</f>
        <v/>
      </c>
      <c r="I151" s="288" t="str">
        <f t="shared" si="8"/>
        <v>WS-08</v>
      </c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</row>
    <row r="152" spans="1:53" ht="17">
      <c r="A152" s="3">
        <v>4</v>
      </c>
      <c r="B152" s="196" t="str">
        <f>IFERROR(INDEX('S15 Routing Clustered'!$A$3:$A$18, A152), "")</f>
        <v>I-069</v>
      </c>
      <c r="C152" s="3">
        <v>100</v>
      </c>
      <c r="D152" s="287" t="str">
        <f>IFERROR(HLOOKUP(C152, 'S15 Routing Clustered'!$B$2:$I$18,A152+1, 0), "")</f>
        <v/>
      </c>
      <c r="E152" s="287" t="str">
        <f t="shared" si="6"/>
        <v/>
      </c>
      <c r="F152" s="3" t="str">
        <f>IF(E152="", "", VLOOKUP(B152, 'S08 ABC Output'!$A$3:$C$18, 3, 0))</f>
        <v/>
      </c>
      <c r="I152" s="288" t="str">
        <f t="shared" si="8"/>
        <v>WS-09</v>
      </c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</row>
    <row r="153" spans="1:53" ht="17">
      <c r="A153" s="3">
        <v>4</v>
      </c>
      <c r="B153" s="196" t="str">
        <f>IFERROR(INDEX('S15 Routing Clustered'!$A$3:$A$18, A153), "")</f>
        <v>I-069</v>
      </c>
      <c r="C153" s="3">
        <v>110</v>
      </c>
      <c r="D153" s="287" t="str">
        <f>IFERROR(HLOOKUP(C153, 'S15 Routing Clustered'!$B$2:$I$18,A153+1, 0), "")</f>
        <v/>
      </c>
      <c r="E153" s="287" t="str">
        <f t="shared" si="6"/>
        <v/>
      </c>
      <c r="F153" s="3" t="str">
        <f>IF(E153="", "", VLOOKUP(B153, 'S08 ABC Output'!$A$3:$C$18, 3, 0))</f>
        <v/>
      </c>
      <c r="I153" s="288" t="str">
        <f t="shared" si="8"/>
        <v>WS-10</v>
      </c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</row>
    <row r="154" spans="1:53" ht="17">
      <c r="A154" s="3">
        <v>4</v>
      </c>
      <c r="B154" s="196" t="str">
        <f>IFERROR(INDEX('S15 Routing Clustered'!$A$3:$A$18, A154), "")</f>
        <v>I-069</v>
      </c>
      <c r="C154" s="3">
        <v>120</v>
      </c>
      <c r="D154" s="287" t="str">
        <f>IFERROR(HLOOKUP(C154, 'S15 Routing Clustered'!$B$2:$I$18,A154+1, 0), "")</f>
        <v/>
      </c>
      <c r="E154" s="287" t="str">
        <f t="shared" si="6"/>
        <v/>
      </c>
      <c r="F154" s="3" t="str">
        <f>IF(E154="", "", VLOOKUP(B154, 'S08 ABC Output'!$A$3:$C$18, 3, 0))</f>
        <v/>
      </c>
      <c r="I154" s="288" t="str">
        <f t="shared" si="8"/>
        <v>WS-11</v>
      </c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</row>
    <row r="155" spans="1:53" ht="17">
      <c r="A155" s="3">
        <v>4</v>
      </c>
      <c r="B155" s="196" t="str">
        <f>IFERROR(INDEX('S15 Routing Clustered'!$A$3:$A$18, A155), "")</f>
        <v>I-069</v>
      </c>
      <c r="C155" s="3">
        <v>130</v>
      </c>
      <c r="D155" s="287" t="str">
        <f>IFERROR(HLOOKUP(C155, 'S15 Routing Clustered'!$B$2:$I$18,A155+1, 0), "")</f>
        <v/>
      </c>
      <c r="E155" s="287" t="str">
        <f t="shared" si="6"/>
        <v/>
      </c>
      <c r="F155" s="3" t="str">
        <f>IF(E155="", "", VLOOKUP(B155, 'S08 ABC Output'!$A$3:$C$18, 3, 0))</f>
        <v/>
      </c>
      <c r="I155" s="288" t="str">
        <f t="shared" si="8"/>
        <v>WS-12</v>
      </c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</row>
    <row r="156" spans="1:53" ht="17">
      <c r="A156" s="3">
        <v>4</v>
      </c>
      <c r="B156" s="196" t="str">
        <f>IFERROR(INDEX('S15 Routing Clustered'!$A$3:$A$18, A156), "")</f>
        <v>I-069</v>
      </c>
      <c r="C156" s="3">
        <v>140</v>
      </c>
      <c r="D156" s="287" t="str">
        <f>IFERROR(HLOOKUP(C156, 'S15 Routing Clustered'!$B$2:$I$18,A156+1, 0), "")</f>
        <v/>
      </c>
      <c r="E156" s="287" t="str">
        <f t="shared" si="6"/>
        <v/>
      </c>
      <c r="F156" s="3" t="str">
        <f>IF(E156="", "", VLOOKUP(B156, 'S08 ABC Output'!$A$3:$C$18, 3, 0))</f>
        <v/>
      </c>
      <c r="I156" s="288" t="str">
        <f t="shared" si="8"/>
        <v>WS-13</v>
      </c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</row>
    <row r="157" spans="1:53" ht="17">
      <c r="A157" s="3">
        <v>4</v>
      </c>
      <c r="B157" s="196" t="str">
        <f>IFERROR(INDEX('S15 Routing Clustered'!$A$3:$A$18, A157), "")</f>
        <v>I-069</v>
      </c>
      <c r="C157" s="3">
        <v>150</v>
      </c>
      <c r="D157" s="287" t="str">
        <f>IFERROR(HLOOKUP(C157, 'S15 Routing Clustered'!$B$2:$I$18,A157+1, 0), "")</f>
        <v/>
      </c>
      <c r="E157" s="287" t="str">
        <f t="shared" si="6"/>
        <v/>
      </c>
      <c r="F157" s="3" t="str">
        <f>IF(E157="", "", VLOOKUP(B157, 'S08 ABC Output'!$A$3:$C$18, 3, 0))</f>
        <v/>
      </c>
      <c r="I157" s="288" t="str">
        <f t="shared" si="8"/>
        <v>WS-14</v>
      </c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</row>
    <row r="158" spans="1:53" ht="17">
      <c r="A158" s="3">
        <v>4</v>
      </c>
      <c r="B158" s="196" t="str">
        <f>IFERROR(INDEX('S15 Routing Clustered'!$A$3:$A$18, A158), "")</f>
        <v>I-069</v>
      </c>
      <c r="C158" s="3">
        <v>160</v>
      </c>
      <c r="D158" s="287" t="str">
        <f>IFERROR(HLOOKUP(C158, 'S15 Routing Clustered'!$B$2:$I$18,A158+1, 0), "")</f>
        <v/>
      </c>
      <c r="E158" s="287" t="str">
        <f t="shared" si="6"/>
        <v/>
      </c>
      <c r="F158" s="3" t="str">
        <f>IF(E158="", "", VLOOKUP(B158, 'S08 ABC Output'!$A$3:$C$18, 3, 0))</f>
        <v/>
      </c>
      <c r="I158" s="288" t="str">
        <f t="shared" si="8"/>
        <v>WS-15</v>
      </c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</row>
    <row r="159" spans="1:53" ht="17">
      <c r="A159" s="3">
        <v>4</v>
      </c>
      <c r="B159" s="196" t="str">
        <f>IFERROR(INDEX('S15 Routing Clustered'!$A$3:$A$18, A159), "")</f>
        <v>I-069</v>
      </c>
      <c r="C159" s="3">
        <v>170</v>
      </c>
      <c r="D159" s="287" t="str">
        <f>IFERROR(HLOOKUP(C159, 'S15 Routing Clustered'!$B$2:$I$18,A159+1, 0), "")</f>
        <v/>
      </c>
      <c r="E159" s="287" t="str">
        <f t="shared" si="6"/>
        <v/>
      </c>
      <c r="F159" s="3" t="str">
        <f>IF(E159="", "", VLOOKUP(B159, 'S08 ABC Output'!$A$3:$C$18, 3, 0))</f>
        <v/>
      </c>
      <c r="I159" s="288" t="str">
        <f t="shared" si="8"/>
        <v>WS-16</v>
      </c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</row>
    <row r="160" spans="1:53" ht="17">
      <c r="A160" s="3">
        <v>4</v>
      </c>
      <c r="B160" s="196" t="str">
        <f>IFERROR(INDEX('S15 Routing Clustered'!$A$3:$A$18, A160), "")</f>
        <v>I-069</v>
      </c>
      <c r="C160" s="3">
        <v>180</v>
      </c>
      <c r="D160" s="287" t="str">
        <f>IFERROR(HLOOKUP(C160, 'S15 Routing Clustered'!$B$2:$I$18,A160+1, 0), "")</f>
        <v/>
      </c>
      <c r="E160" s="287" t="str">
        <f t="shared" si="6"/>
        <v/>
      </c>
      <c r="F160" s="3" t="str">
        <f>IF(E160="", "", VLOOKUP(B160, 'S08 ABC Output'!$A$3:$C$18, 3, 0))</f>
        <v/>
      </c>
      <c r="I160" s="288" t="str">
        <f t="shared" si="8"/>
        <v>WS-17</v>
      </c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</row>
    <row r="161" spans="1:53" ht="17">
      <c r="A161" s="3">
        <v>4</v>
      </c>
      <c r="B161" s="196" t="str">
        <f>IFERROR(INDEX('S15 Routing Clustered'!$A$3:$A$18, A161), "")</f>
        <v>I-069</v>
      </c>
      <c r="C161" s="3">
        <v>190</v>
      </c>
      <c r="D161" s="287" t="str">
        <f>IFERROR(HLOOKUP(C161, 'S15 Routing Clustered'!$B$2:$I$18,A161+1, 0), "")</f>
        <v/>
      </c>
      <c r="E161" s="287" t="str">
        <f t="shared" si="6"/>
        <v/>
      </c>
      <c r="F161" s="3" t="str">
        <f>IF(E161="", "", VLOOKUP(B161, 'S08 ABC Output'!$A$3:$C$18, 3, 0))</f>
        <v/>
      </c>
      <c r="I161" s="288" t="str">
        <f t="shared" si="8"/>
        <v>WS-18</v>
      </c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</row>
    <row r="162" spans="1:53" ht="17">
      <c r="A162" s="3">
        <v>4</v>
      </c>
      <c r="B162" s="196" t="str">
        <f>IFERROR(INDEX('S15 Routing Clustered'!$A$3:$A$18, A162), "")</f>
        <v>I-069</v>
      </c>
      <c r="C162" s="3">
        <v>200</v>
      </c>
      <c r="D162" s="287" t="str">
        <f>IFERROR(HLOOKUP(C162, 'S15 Routing Clustered'!$B$2:$I$18,A162+1, 0), "")</f>
        <v/>
      </c>
      <c r="E162" s="287" t="str">
        <f t="shared" si="6"/>
        <v/>
      </c>
      <c r="F162" s="3" t="str">
        <f>IF(E162="", "", VLOOKUP(B162, 'S08 ABC Output'!$A$3:$C$18, 3, 0))</f>
        <v/>
      </c>
      <c r="I162" s="288" t="str">
        <f t="shared" si="8"/>
        <v>WS-19</v>
      </c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</row>
    <row r="163" spans="1:53" ht="17">
      <c r="A163" s="3">
        <v>4</v>
      </c>
      <c r="B163" s="196" t="str">
        <f>IFERROR(INDEX('S15 Routing Clustered'!$A$3:$A$18, A163), "")</f>
        <v>I-069</v>
      </c>
      <c r="C163" s="3">
        <v>210</v>
      </c>
      <c r="D163" s="287" t="str">
        <f>IFERROR(HLOOKUP(C163, 'S15 Routing Clustered'!$B$2:$I$18,A163+1, 0), "")</f>
        <v/>
      </c>
      <c r="E163" s="287" t="str">
        <f t="shared" si="6"/>
        <v/>
      </c>
      <c r="F163" s="3" t="str">
        <f>IF(E163="", "", VLOOKUP(B163, 'S08 ABC Output'!$A$3:$C$18, 3, 0))</f>
        <v/>
      </c>
      <c r="I163" s="288" t="str">
        <f t="shared" si="8"/>
        <v>WS-20</v>
      </c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</row>
    <row r="164" spans="1:53" ht="17">
      <c r="A164" s="3">
        <v>4</v>
      </c>
      <c r="B164" s="196" t="str">
        <f>IFERROR(INDEX('S15 Routing Clustered'!$A$3:$A$18, A164), "")</f>
        <v>I-069</v>
      </c>
      <c r="C164" s="3">
        <v>220</v>
      </c>
      <c r="D164" s="287" t="str">
        <f>IFERROR(HLOOKUP(C164, 'S15 Routing Clustered'!$B$2:$I$18,A164+1, 0), "")</f>
        <v/>
      </c>
      <c r="E164" s="287" t="str">
        <f t="shared" si="6"/>
        <v/>
      </c>
      <c r="F164" s="3" t="str">
        <f>IF(E164="", "", VLOOKUP(B164, 'S08 ABC Output'!$A$3:$C$18, 3, 0))</f>
        <v/>
      </c>
      <c r="I164" s="288" t="str">
        <f t="shared" si="8"/>
        <v>WS-21</v>
      </c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</row>
    <row r="165" spans="1:53" ht="17">
      <c r="A165" s="3">
        <v>4</v>
      </c>
      <c r="B165" s="196" t="str">
        <f>IFERROR(INDEX('S15 Routing Clustered'!$A$3:$A$18, A165), "")</f>
        <v>I-069</v>
      </c>
      <c r="C165" s="3">
        <v>230</v>
      </c>
      <c r="D165" s="287" t="str">
        <f>IFERROR(HLOOKUP(C165, 'S15 Routing Clustered'!$B$2:$I$18,A165+1, 0), "")</f>
        <v/>
      </c>
      <c r="E165" s="287" t="str">
        <f t="shared" si="6"/>
        <v/>
      </c>
      <c r="F165" s="3" t="str">
        <f>IF(E165="", "", VLOOKUP(B165, 'S08 ABC Output'!$A$3:$C$18, 3, 0))</f>
        <v/>
      </c>
      <c r="I165" s="288" t="str">
        <f t="shared" si="8"/>
        <v>WS-22</v>
      </c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</row>
    <row r="166" spans="1:53" ht="17">
      <c r="A166" s="3">
        <v>4</v>
      </c>
      <c r="B166" s="196" t="str">
        <f>IFERROR(INDEX('S15 Routing Clustered'!$A$3:$A$18, A166), "")</f>
        <v>I-069</v>
      </c>
      <c r="C166" s="3">
        <v>240</v>
      </c>
      <c r="D166" s="287" t="str">
        <f>IFERROR(HLOOKUP(C166, 'S15 Routing Clustered'!$B$2:$I$18,A166+1, 0), "")</f>
        <v/>
      </c>
      <c r="E166" s="287" t="str">
        <f t="shared" si="6"/>
        <v/>
      </c>
      <c r="F166" s="3" t="str">
        <f>IF(E166="", "", VLOOKUP(B166, 'S08 ABC Output'!$A$3:$C$18, 3, 0))</f>
        <v/>
      </c>
      <c r="I166" s="288" t="str">
        <f t="shared" si="8"/>
        <v>WS-23</v>
      </c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</row>
    <row r="167" spans="1:53" ht="17">
      <c r="A167" s="3">
        <v>4</v>
      </c>
      <c r="B167" s="196" t="str">
        <f>IFERROR(INDEX('S15 Routing Clustered'!$A$3:$A$18, A167), "")</f>
        <v>I-069</v>
      </c>
      <c r="C167" s="3">
        <v>250</v>
      </c>
      <c r="D167" s="287" t="str">
        <f>IFERROR(HLOOKUP(C167, 'S15 Routing Clustered'!$B$2:$I$18,A167+1, 0), "")</f>
        <v/>
      </c>
      <c r="E167" s="287" t="str">
        <f t="shared" si="6"/>
        <v/>
      </c>
      <c r="F167" s="3" t="str">
        <f>IF(E167="", "", VLOOKUP(B167, 'S08 ABC Output'!$A$3:$C$18, 3, 0))</f>
        <v/>
      </c>
      <c r="I167" s="288" t="str">
        <f t="shared" si="8"/>
        <v>WS-24</v>
      </c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</row>
    <row r="168" spans="1:53" ht="17">
      <c r="A168" s="3">
        <v>4</v>
      </c>
      <c r="B168" s="196" t="str">
        <f>IFERROR(INDEX('S15 Routing Clustered'!$A$3:$A$18, A168), "")</f>
        <v>I-069</v>
      </c>
      <c r="C168" s="3">
        <v>260</v>
      </c>
      <c r="D168" s="287" t="str">
        <f>IFERROR(HLOOKUP(C168, 'S15 Routing Clustered'!$B$2:$I$18,A168+1, 0), "")</f>
        <v/>
      </c>
      <c r="E168" s="287" t="str">
        <f t="shared" si="6"/>
        <v/>
      </c>
      <c r="F168" s="3" t="str">
        <f>IF(E168="", "", VLOOKUP(B168, 'S08 ABC Output'!$A$3:$C$18, 3, 0))</f>
        <v/>
      </c>
      <c r="I168" s="288" t="str">
        <f t="shared" si="8"/>
        <v>WS-25</v>
      </c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>
        <v>36524</v>
      </c>
      <c r="AR168" s="3"/>
      <c r="AS168" s="3"/>
      <c r="AT168" s="3"/>
      <c r="AU168" s="3"/>
      <c r="AV168" s="3"/>
      <c r="AW168" s="3"/>
      <c r="AX168" s="3"/>
      <c r="AY168" s="3"/>
      <c r="AZ168" s="3"/>
      <c r="BA168" s="3"/>
    </row>
    <row r="169" spans="1:53" ht="17">
      <c r="A169" s="3">
        <v>4</v>
      </c>
      <c r="B169" s="196" t="str">
        <f>IFERROR(INDEX('S15 Routing Clustered'!$A$3:$A$18, A169), "")</f>
        <v>I-069</v>
      </c>
      <c r="C169" s="3">
        <v>270</v>
      </c>
      <c r="D169" s="287" t="str">
        <f>IFERROR(HLOOKUP(C169, 'S15 Routing Clustered'!$B$2:$I$18,A169+1, 0), "")</f>
        <v/>
      </c>
      <c r="E169" s="287" t="str">
        <f t="shared" si="6"/>
        <v/>
      </c>
      <c r="F169" s="3" t="str">
        <f>IF(E169="", "", VLOOKUP(B169, 'S08 ABC Output'!$A$3:$C$18, 3, 0))</f>
        <v/>
      </c>
      <c r="I169" s="288" t="str">
        <f t="shared" si="8"/>
        <v>WS-26</v>
      </c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</row>
    <row r="170" spans="1:53" ht="17">
      <c r="A170" s="3">
        <v>4</v>
      </c>
      <c r="B170" s="196" t="str">
        <f>IFERROR(INDEX('S15 Routing Clustered'!$A$3:$A$18, A170), "")</f>
        <v>I-069</v>
      </c>
      <c r="C170" s="3">
        <v>280</v>
      </c>
      <c r="D170" s="287" t="str">
        <f>IFERROR(HLOOKUP(C170, 'S15 Routing Clustered'!$B$2:$I$18,A170+1, 0), "")</f>
        <v/>
      </c>
      <c r="E170" s="287" t="str">
        <f t="shared" si="6"/>
        <v/>
      </c>
      <c r="F170" s="3" t="str">
        <f>IF(E170="", "", VLOOKUP(B170, 'S08 ABC Output'!$A$3:$C$18, 3, 0))</f>
        <v/>
      </c>
      <c r="I170" s="288" t="str">
        <f t="shared" si="8"/>
        <v>WS-27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</row>
    <row r="171" spans="1:53" ht="17">
      <c r="A171" s="3">
        <v>4</v>
      </c>
      <c r="B171" s="196" t="str">
        <f>IFERROR(INDEX('S15 Routing Clustered'!$A$3:$A$18, A171), "")</f>
        <v>I-069</v>
      </c>
      <c r="C171" s="3">
        <v>290</v>
      </c>
      <c r="D171" s="287" t="str">
        <f>IFERROR(HLOOKUP(C171, 'S15 Routing Clustered'!$B$2:$I$18,A171+1, 0), "")</f>
        <v/>
      </c>
      <c r="E171" s="287" t="str">
        <f t="shared" si="6"/>
        <v/>
      </c>
      <c r="F171" s="3" t="str">
        <f>IF(E171="", "", VLOOKUP(B171, 'S08 ABC Output'!$A$3:$C$18, 3, 0))</f>
        <v/>
      </c>
      <c r="I171" s="288" t="str">
        <f t="shared" si="8"/>
        <v>WS-28</v>
      </c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</row>
    <row r="172" spans="1:53" ht="17">
      <c r="A172" s="3">
        <v>4</v>
      </c>
      <c r="B172" s="196" t="str">
        <f>IFERROR(INDEX('S15 Routing Clustered'!$A$3:$A$18, A172), "")</f>
        <v>I-069</v>
      </c>
      <c r="C172" s="3">
        <v>300</v>
      </c>
      <c r="D172" s="287" t="str">
        <f>IFERROR(HLOOKUP(C172, 'S15 Routing Clustered'!$B$2:$I$18,A172+1, 0), "")</f>
        <v/>
      </c>
      <c r="E172" s="287" t="str">
        <f t="shared" si="6"/>
        <v/>
      </c>
      <c r="F172" s="3" t="str">
        <f>IF(E172="", "", VLOOKUP(B172, 'S08 ABC Output'!$A$3:$C$18, 3, 0))</f>
        <v/>
      </c>
      <c r="I172" s="288" t="str">
        <f t="shared" si="8"/>
        <v>WS-29</v>
      </c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</row>
    <row r="173" spans="1:53" ht="17">
      <c r="A173" s="3">
        <v>4</v>
      </c>
      <c r="B173" s="196" t="str">
        <f>IFERROR(INDEX('S15 Routing Clustered'!$A$3:$A$18, A173), "")</f>
        <v>I-069</v>
      </c>
      <c r="C173" s="3">
        <v>310</v>
      </c>
      <c r="D173" s="287" t="str">
        <f>IFERROR(HLOOKUP(C173, 'S15 Routing Clustered'!$B$2:$I$18,A173+1, 0), "")</f>
        <v/>
      </c>
      <c r="E173" s="287" t="str">
        <f t="shared" si="6"/>
        <v/>
      </c>
      <c r="F173" s="3" t="str">
        <f>IF(E173="", "", VLOOKUP(B173, 'S08 ABC Output'!$A$3:$C$18, 3, 0))</f>
        <v/>
      </c>
      <c r="I173" s="288" t="str">
        <f t="shared" si="8"/>
        <v>WS-30</v>
      </c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</row>
    <row r="174" spans="1:53" ht="17">
      <c r="A174" s="3">
        <v>4</v>
      </c>
      <c r="B174" s="196" t="str">
        <f>IFERROR(INDEX('S15 Routing Clustered'!$A$3:$A$18, A174), "")</f>
        <v>I-069</v>
      </c>
      <c r="C174" s="3">
        <v>320</v>
      </c>
      <c r="D174" s="287" t="str">
        <f>IFERROR(HLOOKUP(C174, 'S15 Routing Clustered'!$B$2:$I$18,A174+1, 0), "")</f>
        <v/>
      </c>
      <c r="E174" s="287" t="str">
        <f t="shared" si="6"/>
        <v/>
      </c>
      <c r="F174" s="3" t="str">
        <f>IF(E174="", "", VLOOKUP(B174, 'S08 ABC Output'!$A$3:$C$18, 3, 0))</f>
        <v/>
      </c>
      <c r="I174" s="288" t="str">
        <f t="shared" si="8"/>
        <v>WS-31</v>
      </c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</row>
    <row r="175" spans="1:53" ht="17">
      <c r="A175" s="3">
        <v>4</v>
      </c>
      <c r="B175" s="196" t="str">
        <f>IFERROR(INDEX('S15 Routing Clustered'!$A$3:$A$18, A175), "")</f>
        <v>I-069</v>
      </c>
      <c r="C175" s="3">
        <v>330</v>
      </c>
      <c r="D175" s="287" t="str">
        <f>IFERROR(HLOOKUP(C175, 'S15 Routing Clustered'!$B$2:$I$18,A175+1, 0), "")</f>
        <v/>
      </c>
      <c r="E175" s="287" t="str">
        <f t="shared" si="6"/>
        <v/>
      </c>
      <c r="F175" s="3" t="str">
        <f>IF(E175="", "", VLOOKUP(B175, 'S08 ABC Output'!$A$3:$C$18, 3, 0))</f>
        <v/>
      </c>
      <c r="I175" s="288" t="str">
        <f t="shared" si="8"/>
        <v>WS-32</v>
      </c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</row>
    <row r="176" spans="1:53" ht="17">
      <c r="A176" s="3">
        <v>4</v>
      </c>
      <c r="B176" s="196" t="str">
        <f>IFERROR(INDEX('S15 Routing Clustered'!$A$3:$A$18, A176), "")</f>
        <v>I-069</v>
      </c>
      <c r="C176" s="3">
        <v>340</v>
      </c>
      <c r="D176" s="287" t="str">
        <f>IFERROR(HLOOKUP(C176, 'S15 Routing Clustered'!$B$2:$I$18,A176+1, 0), "")</f>
        <v/>
      </c>
      <c r="E176" s="287" t="str">
        <f t="shared" si="6"/>
        <v/>
      </c>
      <c r="F176" s="3" t="str">
        <f>IF(E176="", "", VLOOKUP(B176, 'S08 ABC Output'!$A$3:$C$18, 3, 0))</f>
        <v/>
      </c>
      <c r="I176" s="288" t="str">
        <f t="shared" si="8"/>
        <v>WS-33</v>
      </c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</row>
    <row r="177" spans="1:53" ht="17">
      <c r="A177" s="3">
        <v>4</v>
      </c>
      <c r="B177" s="196" t="str">
        <f>IFERROR(INDEX('S15 Routing Clustered'!$A$3:$A$18, A177), "")</f>
        <v>I-069</v>
      </c>
      <c r="C177" s="3">
        <v>350</v>
      </c>
      <c r="D177" s="287" t="str">
        <f>IFERROR(HLOOKUP(C177, 'S15 Routing Clustered'!$B$2:$I$18,A177+1, 0), "")</f>
        <v/>
      </c>
      <c r="E177" s="287" t="str">
        <f t="shared" si="6"/>
        <v/>
      </c>
      <c r="F177" s="3" t="str">
        <f>IF(E177="", "", VLOOKUP(B177, 'S08 ABC Output'!$A$3:$C$18, 3, 0))</f>
        <v/>
      </c>
      <c r="I177" s="288" t="str">
        <f t="shared" si="8"/>
        <v>WS-34</v>
      </c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>
        <v>36524</v>
      </c>
    </row>
    <row r="178" spans="1:53" ht="17">
      <c r="A178" s="3">
        <v>4</v>
      </c>
      <c r="B178" s="196" t="str">
        <f>IFERROR(INDEX('S15 Routing Clustered'!$A$3:$A$18, A178), "")</f>
        <v>I-069</v>
      </c>
      <c r="C178" s="3">
        <v>360</v>
      </c>
      <c r="D178" s="287" t="str">
        <f>IFERROR(HLOOKUP(C178, 'S15 Routing Clustered'!$B$2:$I$18,A178+1, 0), "")</f>
        <v/>
      </c>
      <c r="E178" s="287" t="str">
        <f t="shared" si="6"/>
        <v/>
      </c>
      <c r="F178" s="3" t="str">
        <f>IF(E178="", "", VLOOKUP(B178, 'S08 ABC Output'!$A$3:$C$18, 3, 0))</f>
        <v/>
      </c>
      <c r="I178" s="288" t="str">
        <f t="shared" si="8"/>
        <v>WS-35</v>
      </c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</row>
    <row r="179" spans="1:53" ht="17">
      <c r="A179" s="3">
        <v>4</v>
      </c>
      <c r="B179" s="196" t="str">
        <f>IFERROR(INDEX('S15 Routing Clustered'!$A$3:$A$18, A179), "")</f>
        <v>I-069</v>
      </c>
      <c r="C179" s="3">
        <v>370</v>
      </c>
      <c r="D179" s="287" t="str">
        <f>IFERROR(HLOOKUP(C179, 'S15 Routing Clustered'!$B$2:$I$18,A179+1, 0), "")</f>
        <v/>
      </c>
      <c r="E179" s="287" t="str">
        <f t="shared" si="6"/>
        <v/>
      </c>
      <c r="F179" s="3" t="str">
        <f>IF(E179="", "", VLOOKUP(B179, 'S08 ABC Output'!$A$3:$C$18, 3, 0))</f>
        <v/>
      </c>
      <c r="I179" s="288" t="str">
        <f t="shared" si="8"/>
        <v>WS-36</v>
      </c>
      <c r="J179" s="3"/>
      <c r="K179" s="3"/>
      <c r="L179" s="3"/>
      <c r="M179" s="3"/>
      <c r="N179" s="3">
        <v>36524</v>
      </c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</row>
    <row r="180" spans="1:53" ht="17">
      <c r="A180" s="3">
        <v>4</v>
      </c>
      <c r="B180" s="196" t="str">
        <f>IFERROR(INDEX('S15 Routing Clustered'!$A$3:$A$18, A180), "")</f>
        <v>I-069</v>
      </c>
      <c r="C180" s="3">
        <v>380</v>
      </c>
      <c r="D180" s="287" t="str">
        <f>IFERROR(HLOOKUP(C180, 'S15 Routing Clustered'!$B$2:$I$18,A180+1, 0), "")</f>
        <v/>
      </c>
      <c r="E180" s="287" t="str">
        <f t="shared" si="6"/>
        <v/>
      </c>
      <c r="F180" s="3" t="str">
        <f>IF(E180="", "", VLOOKUP(B180, 'S08 ABC Output'!$A$3:$C$18, 3, 0))</f>
        <v/>
      </c>
      <c r="I180" s="288" t="str">
        <f t="shared" si="8"/>
        <v>WS-37</v>
      </c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</row>
    <row r="181" spans="1:53" ht="17">
      <c r="A181" s="3">
        <v>4</v>
      </c>
      <c r="B181" s="196" t="str">
        <f>IFERROR(INDEX('S15 Routing Clustered'!$A$3:$A$18, A181), "")</f>
        <v>I-069</v>
      </c>
      <c r="C181" s="3">
        <v>390</v>
      </c>
      <c r="D181" s="287" t="str">
        <f>IFERROR(HLOOKUP(C181, 'S15 Routing Clustered'!$B$2:$I$18,A181+1, 0), "")</f>
        <v/>
      </c>
      <c r="E181" s="287" t="str">
        <f t="shared" si="6"/>
        <v/>
      </c>
      <c r="F181" s="3" t="str">
        <f>IF(E181="", "", VLOOKUP(B181, 'S08 ABC Output'!$A$3:$C$18, 3, 0))</f>
        <v/>
      </c>
      <c r="I181" s="288" t="str">
        <f t="shared" si="8"/>
        <v>WS-38</v>
      </c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</row>
    <row r="182" spans="1:53" ht="17">
      <c r="A182" s="3">
        <v>4</v>
      </c>
      <c r="B182" s="196" t="str">
        <f>IFERROR(INDEX('S15 Routing Clustered'!$A$3:$A$18, A182), "")</f>
        <v>I-069</v>
      </c>
      <c r="C182" s="3">
        <v>400</v>
      </c>
      <c r="D182" s="287" t="str">
        <f>IFERROR(HLOOKUP(C182, 'S15 Routing Clustered'!$B$2:$I$18,A182+1, 0), "")</f>
        <v/>
      </c>
      <c r="E182" s="287" t="str">
        <f t="shared" si="6"/>
        <v/>
      </c>
      <c r="F182" s="3" t="str">
        <f>IF(E182="", "", VLOOKUP(B182, 'S08 ABC Output'!$A$3:$C$18, 3, 0))</f>
        <v/>
      </c>
      <c r="I182" s="288" t="str">
        <f t="shared" si="8"/>
        <v>WS-39</v>
      </c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</row>
    <row r="183" spans="1:53" ht="17">
      <c r="A183" s="3">
        <v>4</v>
      </c>
      <c r="B183" s="196" t="str">
        <f>IFERROR(INDEX('S15 Routing Clustered'!$A$3:$A$18, A183), "")</f>
        <v>I-069</v>
      </c>
      <c r="C183" s="3">
        <v>410</v>
      </c>
      <c r="D183" s="287" t="str">
        <f>IFERROR(HLOOKUP(C183, 'S15 Routing Clustered'!$B$2:$I$18,A183+1, 0), "")</f>
        <v/>
      </c>
      <c r="E183" s="287" t="str">
        <f t="shared" si="6"/>
        <v/>
      </c>
      <c r="F183" s="3" t="str">
        <f>IF(E183="", "", VLOOKUP(B183, 'S08 ABC Output'!$A$3:$C$18, 3, 0))</f>
        <v/>
      </c>
      <c r="I183" s="288" t="str">
        <f t="shared" si="8"/>
        <v>WS-40</v>
      </c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</row>
    <row r="184" spans="1:53" ht="17">
      <c r="A184" s="3">
        <v>4</v>
      </c>
      <c r="B184" s="196" t="str">
        <f>IFERROR(INDEX('S15 Routing Clustered'!$A$3:$A$18, A184), "")</f>
        <v>I-069</v>
      </c>
      <c r="C184" s="3">
        <v>420</v>
      </c>
      <c r="D184" s="287" t="str">
        <f>IFERROR(HLOOKUP(C184, 'S15 Routing Clustered'!$B$2:$I$18,A184+1, 0), "")</f>
        <v/>
      </c>
      <c r="E184" s="287" t="str">
        <f t="shared" si="6"/>
        <v/>
      </c>
      <c r="F184" s="3" t="str">
        <f>IF(E184="", "", VLOOKUP(B184, 'S08 ABC Output'!$A$3:$C$18, 3, 0))</f>
        <v/>
      </c>
      <c r="I184" s="288" t="str">
        <f t="shared" si="8"/>
        <v>WS-41</v>
      </c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</row>
    <row r="185" spans="1:53" ht="17">
      <c r="A185" s="3">
        <v>4</v>
      </c>
      <c r="B185" s="196" t="str">
        <f>IFERROR(INDEX('S15 Routing Clustered'!$A$3:$A$18, A185), "")</f>
        <v>I-069</v>
      </c>
      <c r="C185" s="3">
        <v>430</v>
      </c>
      <c r="D185" s="287" t="str">
        <f>IFERROR(HLOOKUP(C185, 'S15 Routing Clustered'!$B$2:$I$18,A185+1, 0), "")</f>
        <v/>
      </c>
      <c r="E185" s="287" t="str">
        <f t="shared" si="6"/>
        <v/>
      </c>
      <c r="F185" s="3" t="str">
        <f>IF(E185="", "", VLOOKUP(B185, 'S08 ABC Output'!$A$3:$C$18, 3, 0))</f>
        <v/>
      </c>
      <c r="I185" s="288" t="str">
        <f t="shared" si="8"/>
        <v>WS-42</v>
      </c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</row>
    <row r="186" spans="1:53" ht="17">
      <c r="A186" s="3">
        <v>4</v>
      </c>
      <c r="B186" s="196" t="str">
        <f>IFERROR(INDEX('S15 Routing Clustered'!$A$3:$A$18, A186), "")</f>
        <v>I-069</v>
      </c>
      <c r="C186" s="3">
        <v>440</v>
      </c>
      <c r="D186" s="287" t="str">
        <f>IFERROR(HLOOKUP(C186, 'S15 Routing Clustered'!$B$2:$I$18,A186+1, 0), "")</f>
        <v/>
      </c>
      <c r="E186" s="287" t="str">
        <f t="shared" si="6"/>
        <v/>
      </c>
      <c r="F186" s="3" t="str">
        <f>IF(E186="", "", VLOOKUP(B186, 'S08 ABC Output'!$A$3:$C$18, 3, 0))</f>
        <v/>
      </c>
      <c r="I186" s="288" t="str">
        <f t="shared" si="8"/>
        <v>WS-43</v>
      </c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>
        <v>36524</v>
      </c>
      <c r="AT186" s="3"/>
      <c r="AU186" s="3"/>
      <c r="AV186" s="3"/>
      <c r="AW186" s="3"/>
      <c r="AX186" s="3"/>
      <c r="AY186" s="3"/>
      <c r="AZ186" s="3"/>
      <c r="BA186" s="3"/>
    </row>
    <row r="187" spans="1:53" ht="17">
      <c r="A187" s="3">
        <v>4</v>
      </c>
      <c r="B187" s="196" t="str">
        <f>IFERROR(INDEX('S15 Routing Clustered'!$A$3:$A$18, A187), "")</f>
        <v>I-069</v>
      </c>
      <c r="C187" s="3">
        <v>450</v>
      </c>
      <c r="D187" s="287" t="str">
        <f>IFERROR(HLOOKUP(C187, 'S15 Routing Clustered'!$B$2:$I$18,A187+1, 0), "")</f>
        <v/>
      </c>
      <c r="E187" s="287" t="str">
        <f t="shared" si="6"/>
        <v/>
      </c>
      <c r="F187" s="3" t="str">
        <f>IF(E187="", "", VLOOKUP(B187, 'S08 ABC Output'!$A$3:$C$18, 3, 0))</f>
        <v/>
      </c>
      <c r="I187" s="288" t="str">
        <f t="shared" si="8"/>
        <v>WS-44</v>
      </c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</row>
    <row r="188" spans="1:53" ht="17">
      <c r="B188" s="196" t="str">
        <f>IFERROR(INDEX('S15 Routing Clustered'!$A$3:$A$18, A188), "")</f>
        <v/>
      </c>
      <c r="D188" s="287" t="str">
        <f>IFERROR(HLOOKUP(C188, 'S15 Routing Clustered'!$B$2:$I$18,A188+1, 0), "")</f>
        <v/>
      </c>
      <c r="E188" s="287" t="str">
        <f t="shared" si="6"/>
        <v/>
      </c>
      <c r="F188" s="3" t="str">
        <f>IF(E188="", "", VLOOKUP(B188, 'S08 ABC Output'!$A$3:$C$18, 3, 0))</f>
        <v/>
      </c>
      <c r="I188" s="288"/>
    </row>
    <row r="189" spans="1:53" ht="17">
      <c r="B189" s="196" t="str">
        <f>IFERROR(INDEX('S15 Routing Clustered'!$A$3:$A$18, A189), "")</f>
        <v/>
      </c>
      <c r="D189" s="287" t="str">
        <f>IFERROR(HLOOKUP(C189, 'S15 Routing Clustered'!$B$2:$I$18,A189+1, 0), "")</f>
        <v/>
      </c>
      <c r="E189" s="287" t="str">
        <f t="shared" si="6"/>
        <v/>
      </c>
      <c r="F189" s="3" t="str">
        <f>IF(E189="", "", VLOOKUP(B189, 'S08 ABC Output'!$A$3:$C$18, 3, 0))</f>
        <v/>
      </c>
      <c r="I189" s="288"/>
    </row>
    <row r="190" spans="1:53" ht="17">
      <c r="A190" s="3">
        <v>5</v>
      </c>
      <c r="B190" s="196" t="str">
        <f>IFERROR(INDEX('S15 Routing Clustered'!$A$3:$A$18, A190), "")</f>
        <v>I-070</v>
      </c>
      <c r="C190" s="3">
        <v>10</v>
      </c>
      <c r="D190" s="287" t="str">
        <f>IFERROR(HLOOKUP(C190, 'S15 Routing Clustered'!$B$2:$I$18,A190+1, 0), "")</f>
        <v>WS-43</v>
      </c>
      <c r="E190" s="287" t="str">
        <f t="shared" si="6"/>
        <v>WS-36</v>
      </c>
      <c r="F190" s="3">
        <f>IF(E190="", "", VLOOKUP(B190, 'S08 ABC Output'!$A$3:$C$18, 3, 0))</f>
        <v>36502</v>
      </c>
      <c r="I190" s="288"/>
      <c r="J190" s="288" t="str">
        <f>J143</f>
        <v>WS-01</v>
      </c>
      <c r="K190" s="288" t="str">
        <f t="shared" ref="K190:BA190" si="9">K143</f>
        <v>WS-02</v>
      </c>
      <c r="L190" s="288" t="str">
        <f t="shared" si="9"/>
        <v>WS-03</v>
      </c>
      <c r="M190" s="288" t="str">
        <f t="shared" si="9"/>
        <v>WS-04</v>
      </c>
      <c r="N190" s="288" t="str">
        <f t="shared" si="9"/>
        <v>WS-05</v>
      </c>
      <c r="O190" s="288" t="str">
        <f t="shared" si="9"/>
        <v>WS-06</v>
      </c>
      <c r="P190" s="288" t="str">
        <f t="shared" si="9"/>
        <v>WS-07</v>
      </c>
      <c r="Q190" s="288" t="str">
        <f t="shared" si="9"/>
        <v>WS-08</v>
      </c>
      <c r="R190" s="288" t="str">
        <f t="shared" si="9"/>
        <v>WS-09</v>
      </c>
      <c r="S190" s="288" t="str">
        <f t="shared" si="9"/>
        <v>WS-10</v>
      </c>
      <c r="T190" s="288" t="str">
        <f t="shared" si="9"/>
        <v>WS-11</v>
      </c>
      <c r="U190" s="288" t="str">
        <f t="shared" si="9"/>
        <v>WS-12</v>
      </c>
      <c r="V190" s="288" t="str">
        <f t="shared" si="9"/>
        <v>WS-13</v>
      </c>
      <c r="W190" s="288" t="str">
        <f t="shared" si="9"/>
        <v>WS-14</v>
      </c>
      <c r="X190" s="288" t="str">
        <f t="shared" si="9"/>
        <v>WS-15</v>
      </c>
      <c r="Y190" s="288" t="str">
        <f t="shared" si="9"/>
        <v>WS-16</v>
      </c>
      <c r="Z190" s="288" t="str">
        <f t="shared" si="9"/>
        <v>WS-17</v>
      </c>
      <c r="AA190" s="288" t="str">
        <f t="shared" si="9"/>
        <v>WS-18</v>
      </c>
      <c r="AB190" s="288" t="str">
        <f t="shared" si="9"/>
        <v>WS-19</v>
      </c>
      <c r="AC190" s="288" t="str">
        <f t="shared" si="9"/>
        <v>WS-20</v>
      </c>
      <c r="AD190" s="288" t="str">
        <f t="shared" si="9"/>
        <v>WS-21</v>
      </c>
      <c r="AE190" s="288" t="str">
        <f t="shared" si="9"/>
        <v>WS-22</v>
      </c>
      <c r="AF190" s="288" t="str">
        <f t="shared" si="9"/>
        <v>WS-23</v>
      </c>
      <c r="AG190" s="288" t="str">
        <f t="shared" si="9"/>
        <v>WS-24</v>
      </c>
      <c r="AH190" s="288" t="str">
        <f t="shared" si="9"/>
        <v>WS-25</v>
      </c>
      <c r="AI190" s="288" t="str">
        <f t="shared" si="9"/>
        <v>WS-26</v>
      </c>
      <c r="AJ190" s="288" t="str">
        <f t="shared" si="9"/>
        <v>WS-27</v>
      </c>
      <c r="AK190" s="288" t="str">
        <f t="shared" si="9"/>
        <v>WS-28</v>
      </c>
      <c r="AL190" s="288" t="str">
        <f t="shared" si="9"/>
        <v>WS-29</v>
      </c>
      <c r="AM190" s="288" t="str">
        <f t="shared" si="9"/>
        <v>WS-30</v>
      </c>
      <c r="AN190" s="288" t="str">
        <f t="shared" si="9"/>
        <v>WS-31</v>
      </c>
      <c r="AO190" s="288" t="str">
        <f t="shared" si="9"/>
        <v>WS-32</v>
      </c>
      <c r="AP190" s="288" t="str">
        <f t="shared" si="9"/>
        <v>WS-33</v>
      </c>
      <c r="AQ190" s="288" t="str">
        <f t="shared" si="9"/>
        <v>WS-34</v>
      </c>
      <c r="AR190" s="288" t="str">
        <f t="shared" si="9"/>
        <v>WS-35</v>
      </c>
      <c r="AS190" s="288" t="str">
        <f t="shared" si="9"/>
        <v>WS-36</v>
      </c>
      <c r="AT190" s="288" t="str">
        <f t="shared" si="9"/>
        <v>WS-37</v>
      </c>
      <c r="AU190" s="288" t="str">
        <f t="shared" si="9"/>
        <v>WS-38</v>
      </c>
      <c r="AV190" s="288" t="str">
        <f t="shared" si="9"/>
        <v>WS-39</v>
      </c>
      <c r="AW190" s="288" t="str">
        <f t="shared" si="9"/>
        <v>WS-40</v>
      </c>
      <c r="AX190" s="288" t="str">
        <f t="shared" si="9"/>
        <v>WS-41</v>
      </c>
      <c r="AY190" s="288" t="str">
        <f t="shared" si="9"/>
        <v>WS-42</v>
      </c>
      <c r="AZ190" s="288" t="str">
        <f t="shared" si="9"/>
        <v>WS-43</v>
      </c>
      <c r="BA190" s="288" t="str">
        <f t="shared" si="9"/>
        <v>WS-44</v>
      </c>
    </row>
    <row r="191" spans="1:53" ht="17">
      <c r="A191" s="3">
        <v>5</v>
      </c>
      <c r="B191" s="196" t="str">
        <f>IFERROR(INDEX('S15 Routing Clustered'!$A$3:$A$18, A191), "")</f>
        <v>I-070</v>
      </c>
      <c r="C191" s="3">
        <v>20</v>
      </c>
      <c r="D191" s="287" t="str">
        <f>IFERROR(HLOOKUP(C191, 'S15 Routing Clustered'!$B$2:$I$18,A191+1, 0), "")</f>
        <v>WS-36</v>
      </c>
      <c r="E191" s="287" t="str">
        <f t="shared" si="6"/>
        <v>WS-05</v>
      </c>
      <c r="F191" s="3">
        <f>IF(E191="", "", VLOOKUP(B191, 'S08 ABC Output'!$A$3:$C$18, 3, 0))</f>
        <v>36502</v>
      </c>
      <c r="I191" s="288" t="str">
        <f>I144</f>
        <v>WS-01</v>
      </c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</row>
    <row r="192" spans="1:53" ht="17">
      <c r="A192" s="3">
        <v>5</v>
      </c>
      <c r="B192" s="196" t="str">
        <f>IFERROR(INDEX('S15 Routing Clustered'!$A$3:$A$18, A192), "")</f>
        <v>I-070</v>
      </c>
      <c r="C192" s="3">
        <v>30</v>
      </c>
      <c r="D192" s="287" t="str">
        <f>IFERROR(HLOOKUP(C192, 'S15 Routing Clustered'!$B$2:$I$18,A192+1, 0), "")</f>
        <v>WS-05</v>
      </c>
      <c r="E192" s="287" t="str">
        <f t="shared" si="6"/>
        <v>WS-25</v>
      </c>
      <c r="F192" s="3">
        <f>IF(E192="", "", VLOOKUP(B192, 'S08 ABC Output'!$A$3:$C$18, 3, 0))</f>
        <v>36502</v>
      </c>
      <c r="I192" s="288" t="str">
        <f t="shared" ref="I192:I234" si="10">I145</f>
        <v>WS-02</v>
      </c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</row>
    <row r="193" spans="1:53" ht="17">
      <c r="A193" s="3">
        <v>5</v>
      </c>
      <c r="B193" s="196" t="str">
        <f>IFERROR(INDEX('S15 Routing Clustered'!$A$3:$A$18, A193), "")</f>
        <v>I-070</v>
      </c>
      <c r="C193" s="3">
        <v>40</v>
      </c>
      <c r="D193" s="287" t="str">
        <f>IFERROR(HLOOKUP(C193, 'S15 Routing Clustered'!$B$2:$I$18,A193+1, 0), "")</f>
        <v>WS-25</v>
      </c>
      <c r="E193" s="287" t="str">
        <f t="shared" si="6"/>
        <v>WS-34</v>
      </c>
      <c r="F193" s="3">
        <f>IF(E193="", "", VLOOKUP(B193, 'S08 ABC Output'!$A$3:$C$18, 3, 0))</f>
        <v>36502</v>
      </c>
      <c r="I193" s="288" t="str">
        <f t="shared" si="10"/>
        <v>WS-03</v>
      </c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</row>
    <row r="194" spans="1:53" ht="17">
      <c r="A194" s="3">
        <v>5</v>
      </c>
      <c r="B194" s="196" t="str">
        <f>IFERROR(INDEX('S15 Routing Clustered'!$A$3:$A$18, A194), "")</f>
        <v>I-070</v>
      </c>
      <c r="C194" s="3">
        <v>50</v>
      </c>
      <c r="D194" s="287" t="str">
        <f>IFERROR(HLOOKUP(C194, 'S15 Routing Clustered'!$B$2:$I$18,A194+1, 0), "")</f>
        <v>WS-34</v>
      </c>
      <c r="E194" s="287" t="str">
        <f t="shared" si="6"/>
        <v>WS-44</v>
      </c>
      <c r="F194" s="3">
        <f>IF(E194="", "", VLOOKUP(B194, 'S08 ABC Output'!$A$3:$C$18, 3, 0))</f>
        <v>36502</v>
      </c>
      <c r="I194" s="288" t="str">
        <f t="shared" si="10"/>
        <v>WS-04</v>
      </c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</row>
    <row r="195" spans="1:53" ht="17">
      <c r="A195" s="3">
        <v>5</v>
      </c>
      <c r="B195" s="196" t="str">
        <f>IFERROR(INDEX('S15 Routing Clustered'!$A$3:$A$18, A195), "")</f>
        <v>I-070</v>
      </c>
      <c r="C195" s="3">
        <v>60</v>
      </c>
      <c r="D195" s="287" t="str">
        <f>IFERROR(HLOOKUP(C195, 'S15 Routing Clustered'!$B$2:$I$18,A195+1, 0), "")</f>
        <v>WS-44</v>
      </c>
      <c r="E195" s="287" t="str">
        <f t="shared" ref="E195:E258" si="11">IF(D195="", "", D196)</f>
        <v/>
      </c>
      <c r="F195" s="3" t="str">
        <f>IF(E195="", "", VLOOKUP(B195, 'S08 ABC Output'!$A$3:$C$18, 3, 0))</f>
        <v/>
      </c>
      <c r="I195" s="288" t="str">
        <f t="shared" si="10"/>
        <v>WS-05</v>
      </c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>
        <v>36502</v>
      </c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</row>
    <row r="196" spans="1:53" ht="17">
      <c r="A196" s="3">
        <v>5</v>
      </c>
      <c r="B196" s="196" t="str">
        <f>IFERROR(INDEX('S15 Routing Clustered'!$A$3:$A$18, A196), "")</f>
        <v>I-070</v>
      </c>
      <c r="C196" s="3">
        <v>70</v>
      </c>
      <c r="D196" s="287" t="str">
        <f>IFERROR(HLOOKUP(C196, 'S15 Routing Clustered'!$B$2:$I$18,A196+1, 0), "")</f>
        <v/>
      </c>
      <c r="E196" s="287" t="str">
        <f t="shared" si="11"/>
        <v/>
      </c>
      <c r="F196" s="3" t="str">
        <f>IF(E196="", "", VLOOKUP(B196, 'S08 ABC Output'!$A$3:$C$18, 3, 0))</f>
        <v/>
      </c>
      <c r="I196" s="288" t="str">
        <f t="shared" si="10"/>
        <v>WS-06</v>
      </c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</row>
    <row r="197" spans="1:53" ht="17">
      <c r="A197" s="3">
        <v>5</v>
      </c>
      <c r="B197" s="196" t="str">
        <f>IFERROR(INDEX('S15 Routing Clustered'!$A$3:$A$18, A197), "")</f>
        <v>I-070</v>
      </c>
      <c r="C197" s="3">
        <v>80</v>
      </c>
      <c r="D197" s="287" t="str">
        <f>IFERROR(HLOOKUP(C197, 'S15 Routing Clustered'!$B$2:$I$18,A197+1, 0), "")</f>
        <v/>
      </c>
      <c r="E197" s="287" t="str">
        <f t="shared" si="11"/>
        <v/>
      </c>
      <c r="F197" s="3" t="str">
        <f>IF(E197="", "", VLOOKUP(B197, 'S08 ABC Output'!$A$3:$C$18, 3, 0))</f>
        <v/>
      </c>
      <c r="I197" s="288" t="str">
        <f t="shared" si="10"/>
        <v>WS-07</v>
      </c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</row>
    <row r="198" spans="1:53" ht="17">
      <c r="A198" s="3">
        <v>5</v>
      </c>
      <c r="B198" s="196" t="str">
        <f>IFERROR(INDEX('S15 Routing Clustered'!$A$3:$A$18, A198), "")</f>
        <v>I-070</v>
      </c>
      <c r="C198" s="3">
        <v>90</v>
      </c>
      <c r="D198" s="287" t="str">
        <f>IFERROR(HLOOKUP(C198, 'S15 Routing Clustered'!$B$2:$I$18,A198+1, 0), "")</f>
        <v/>
      </c>
      <c r="E198" s="287" t="str">
        <f t="shared" si="11"/>
        <v/>
      </c>
      <c r="F198" s="3" t="str">
        <f>IF(E198="", "", VLOOKUP(B198, 'S08 ABC Output'!$A$3:$C$18, 3, 0))</f>
        <v/>
      </c>
      <c r="I198" s="288" t="str">
        <f t="shared" si="10"/>
        <v>WS-08</v>
      </c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</row>
    <row r="199" spans="1:53" ht="17">
      <c r="A199" s="3">
        <v>5</v>
      </c>
      <c r="B199" s="196" t="str">
        <f>IFERROR(INDEX('S15 Routing Clustered'!$A$3:$A$18, A199), "")</f>
        <v>I-070</v>
      </c>
      <c r="C199" s="3">
        <v>100</v>
      </c>
      <c r="D199" s="287" t="str">
        <f>IFERROR(HLOOKUP(C199, 'S15 Routing Clustered'!$B$2:$I$18,A199+1, 0), "")</f>
        <v/>
      </c>
      <c r="E199" s="287" t="str">
        <f t="shared" si="11"/>
        <v/>
      </c>
      <c r="F199" s="3" t="str">
        <f>IF(E199="", "", VLOOKUP(B199, 'S08 ABC Output'!$A$3:$C$18, 3, 0))</f>
        <v/>
      </c>
      <c r="I199" s="288" t="str">
        <f t="shared" si="10"/>
        <v>WS-09</v>
      </c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</row>
    <row r="200" spans="1:53" ht="17">
      <c r="A200" s="3">
        <v>5</v>
      </c>
      <c r="B200" s="196" t="str">
        <f>IFERROR(INDEX('S15 Routing Clustered'!$A$3:$A$18, A200), "")</f>
        <v>I-070</v>
      </c>
      <c r="C200" s="3">
        <v>110</v>
      </c>
      <c r="D200" s="287" t="str">
        <f>IFERROR(HLOOKUP(C200, 'S15 Routing Clustered'!$B$2:$I$18,A200+1, 0), "")</f>
        <v/>
      </c>
      <c r="E200" s="287" t="str">
        <f t="shared" si="11"/>
        <v/>
      </c>
      <c r="F200" s="3" t="str">
        <f>IF(E200="", "", VLOOKUP(B200, 'S08 ABC Output'!$A$3:$C$18, 3, 0))</f>
        <v/>
      </c>
      <c r="I200" s="288" t="str">
        <f t="shared" si="10"/>
        <v>WS-10</v>
      </c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</row>
    <row r="201" spans="1:53" ht="17">
      <c r="A201" s="3">
        <v>5</v>
      </c>
      <c r="B201" s="196" t="str">
        <f>IFERROR(INDEX('S15 Routing Clustered'!$A$3:$A$18, A201), "")</f>
        <v>I-070</v>
      </c>
      <c r="C201" s="3">
        <v>120</v>
      </c>
      <c r="D201" s="287" t="str">
        <f>IFERROR(HLOOKUP(C201, 'S15 Routing Clustered'!$B$2:$I$18,A201+1, 0), "")</f>
        <v/>
      </c>
      <c r="E201" s="287" t="str">
        <f t="shared" si="11"/>
        <v/>
      </c>
      <c r="F201" s="3" t="str">
        <f>IF(E201="", "", VLOOKUP(B201, 'S08 ABC Output'!$A$3:$C$18, 3, 0))</f>
        <v/>
      </c>
      <c r="I201" s="288" t="str">
        <f t="shared" si="10"/>
        <v>WS-11</v>
      </c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</row>
    <row r="202" spans="1:53" ht="17">
      <c r="A202" s="3">
        <v>5</v>
      </c>
      <c r="B202" s="196" t="str">
        <f>IFERROR(INDEX('S15 Routing Clustered'!$A$3:$A$18, A202), "")</f>
        <v>I-070</v>
      </c>
      <c r="C202" s="3">
        <v>130</v>
      </c>
      <c r="D202" s="287" t="str">
        <f>IFERROR(HLOOKUP(C202, 'S15 Routing Clustered'!$B$2:$I$18,A202+1, 0), "")</f>
        <v/>
      </c>
      <c r="E202" s="287" t="str">
        <f t="shared" si="11"/>
        <v/>
      </c>
      <c r="F202" s="3" t="str">
        <f>IF(E202="", "", VLOOKUP(B202, 'S08 ABC Output'!$A$3:$C$18, 3, 0))</f>
        <v/>
      </c>
      <c r="I202" s="288" t="str">
        <f t="shared" si="10"/>
        <v>WS-12</v>
      </c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</row>
    <row r="203" spans="1:53" ht="17">
      <c r="A203" s="3">
        <v>5</v>
      </c>
      <c r="B203" s="196" t="str">
        <f>IFERROR(INDEX('S15 Routing Clustered'!$A$3:$A$18, A203), "")</f>
        <v>I-070</v>
      </c>
      <c r="C203" s="3">
        <v>140</v>
      </c>
      <c r="D203" s="287" t="str">
        <f>IFERROR(HLOOKUP(C203, 'S15 Routing Clustered'!$B$2:$I$18,A203+1, 0), "")</f>
        <v/>
      </c>
      <c r="E203" s="287" t="str">
        <f t="shared" si="11"/>
        <v/>
      </c>
      <c r="F203" s="3" t="str">
        <f>IF(E203="", "", VLOOKUP(B203, 'S08 ABC Output'!$A$3:$C$18, 3, 0))</f>
        <v/>
      </c>
      <c r="I203" s="288" t="str">
        <f t="shared" si="10"/>
        <v>WS-13</v>
      </c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</row>
    <row r="204" spans="1:53" ht="17">
      <c r="A204" s="3">
        <v>5</v>
      </c>
      <c r="B204" s="196" t="str">
        <f>IFERROR(INDEX('S15 Routing Clustered'!$A$3:$A$18, A204), "")</f>
        <v>I-070</v>
      </c>
      <c r="C204" s="3">
        <v>150</v>
      </c>
      <c r="D204" s="287" t="str">
        <f>IFERROR(HLOOKUP(C204, 'S15 Routing Clustered'!$B$2:$I$18,A204+1, 0), "")</f>
        <v/>
      </c>
      <c r="E204" s="287" t="str">
        <f t="shared" si="11"/>
        <v/>
      </c>
      <c r="F204" s="3" t="str">
        <f>IF(E204="", "", VLOOKUP(B204, 'S08 ABC Output'!$A$3:$C$18, 3, 0))</f>
        <v/>
      </c>
      <c r="I204" s="288" t="str">
        <f t="shared" si="10"/>
        <v>WS-14</v>
      </c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</row>
    <row r="205" spans="1:53" ht="17">
      <c r="A205" s="3">
        <v>5</v>
      </c>
      <c r="B205" s="196" t="str">
        <f>IFERROR(INDEX('S15 Routing Clustered'!$A$3:$A$18, A205), "")</f>
        <v>I-070</v>
      </c>
      <c r="C205" s="3">
        <v>160</v>
      </c>
      <c r="D205" s="287" t="str">
        <f>IFERROR(HLOOKUP(C205, 'S15 Routing Clustered'!$B$2:$I$18,A205+1, 0), "")</f>
        <v/>
      </c>
      <c r="E205" s="287" t="str">
        <f t="shared" si="11"/>
        <v/>
      </c>
      <c r="F205" s="3" t="str">
        <f>IF(E205="", "", VLOOKUP(B205, 'S08 ABC Output'!$A$3:$C$18, 3, 0))</f>
        <v/>
      </c>
      <c r="I205" s="288" t="str">
        <f t="shared" si="10"/>
        <v>WS-15</v>
      </c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</row>
    <row r="206" spans="1:53" ht="17">
      <c r="A206" s="3">
        <v>5</v>
      </c>
      <c r="B206" s="196" t="str">
        <f>IFERROR(INDEX('S15 Routing Clustered'!$A$3:$A$18, A206), "")</f>
        <v>I-070</v>
      </c>
      <c r="C206" s="3">
        <v>170</v>
      </c>
      <c r="D206" s="287" t="str">
        <f>IFERROR(HLOOKUP(C206, 'S15 Routing Clustered'!$B$2:$I$18,A206+1, 0), "")</f>
        <v/>
      </c>
      <c r="E206" s="287" t="str">
        <f t="shared" si="11"/>
        <v/>
      </c>
      <c r="F206" s="3" t="str">
        <f>IF(E206="", "", VLOOKUP(B206, 'S08 ABC Output'!$A$3:$C$18, 3, 0))</f>
        <v/>
      </c>
      <c r="I206" s="288" t="str">
        <f t="shared" si="10"/>
        <v>WS-16</v>
      </c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</row>
    <row r="207" spans="1:53" ht="17">
      <c r="A207" s="3">
        <v>5</v>
      </c>
      <c r="B207" s="196" t="str">
        <f>IFERROR(INDEX('S15 Routing Clustered'!$A$3:$A$18, A207), "")</f>
        <v>I-070</v>
      </c>
      <c r="C207" s="3">
        <v>180</v>
      </c>
      <c r="D207" s="287" t="str">
        <f>IFERROR(HLOOKUP(C207, 'S15 Routing Clustered'!$B$2:$I$18,A207+1, 0), "")</f>
        <v/>
      </c>
      <c r="E207" s="287" t="str">
        <f t="shared" si="11"/>
        <v/>
      </c>
      <c r="F207" s="3" t="str">
        <f>IF(E207="", "", VLOOKUP(B207, 'S08 ABC Output'!$A$3:$C$18, 3, 0))</f>
        <v/>
      </c>
      <c r="I207" s="288" t="str">
        <f t="shared" si="10"/>
        <v>WS-17</v>
      </c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</row>
    <row r="208" spans="1:53" ht="17">
      <c r="A208" s="3">
        <v>5</v>
      </c>
      <c r="B208" s="196" t="str">
        <f>IFERROR(INDEX('S15 Routing Clustered'!$A$3:$A$18, A208), "")</f>
        <v>I-070</v>
      </c>
      <c r="C208" s="3">
        <v>190</v>
      </c>
      <c r="D208" s="287" t="str">
        <f>IFERROR(HLOOKUP(C208, 'S15 Routing Clustered'!$B$2:$I$18,A208+1, 0), "")</f>
        <v/>
      </c>
      <c r="E208" s="287" t="str">
        <f t="shared" si="11"/>
        <v/>
      </c>
      <c r="F208" s="3" t="str">
        <f>IF(E208="", "", VLOOKUP(B208, 'S08 ABC Output'!$A$3:$C$18, 3, 0))</f>
        <v/>
      </c>
      <c r="I208" s="288" t="str">
        <f t="shared" si="10"/>
        <v>WS-18</v>
      </c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</row>
    <row r="209" spans="1:53" ht="17">
      <c r="A209" s="3">
        <v>5</v>
      </c>
      <c r="B209" s="196" t="str">
        <f>IFERROR(INDEX('S15 Routing Clustered'!$A$3:$A$18, A209), "")</f>
        <v>I-070</v>
      </c>
      <c r="C209" s="3">
        <v>200</v>
      </c>
      <c r="D209" s="287" t="str">
        <f>IFERROR(HLOOKUP(C209, 'S15 Routing Clustered'!$B$2:$I$18,A209+1, 0), "")</f>
        <v/>
      </c>
      <c r="E209" s="287" t="str">
        <f t="shared" si="11"/>
        <v/>
      </c>
      <c r="F209" s="3" t="str">
        <f>IF(E209="", "", VLOOKUP(B209, 'S08 ABC Output'!$A$3:$C$18, 3, 0))</f>
        <v/>
      </c>
      <c r="I209" s="288" t="str">
        <f t="shared" si="10"/>
        <v>WS-19</v>
      </c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</row>
    <row r="210" spans="1:53" ht="17">
      <c r="A210" s="3">
        <v>5</v>
      </c>
      <c r="B210" s="196" t="str">
        <f>IFERROR(INDEX('S15 Routing Clustered'!$A$3:$A$18, A210), "")</f>
        <v>I-070</v>
      </c>
      <c r="C210" s="3">
        <v>210</v>
      </c>
      <c r="D210" s="287" t="str">
        <f>IFERROR(HLOOKUP(C210, 'S15 Routing Clustered'!$B$2:$I$18,A210+1, 0), "")</f>
        <v/>
      </c>
      <c r="E210" s="287" t="str">
        <f t="shared" si="11"/>
        <v/>
      </c>
      <c r="F210" s="3" t="str">
        <f>IF(E210="", "", VLOOKUP(B210, 'S08 ABC Output'!$A$3:$C$18, 3, 0))</f>
        <v/>
      </c>
      <c r="I210" s="288" t="str">
        <f t="shared" si="10"/>
        <v>WS-20</v>
      </c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</row>
    <row r="211" spans="1:53" ht="17">
      <c r="A211" s="3">
        <v>5</v>
      </c>
      <c r="B211" s="196" t="str">
        <f>IFERROR(INDEX('S15 Routing Clustered'!$A$3:$A$18, A211), "")</f>
        <v>I-070</v>
      </c>
      <c r="C211" s="3">
        <v>220</v>
      </c>
      <c r="D211" s="287" t="str">
        <f>IFERROR(HLOOKUP(C211, 'S15 Routing Clustered'!$B$2:$I$18,A211+1, 0), "")</f>
        <v/>
      </c>
      <c r="E211" s="287" t="str">
        <f t="shared" si="11"/>
        <v/>
      </c>
      <c r="F211" s="3" t="str">
        <f>IF(E211="", "", VLOOKUP(B211, 'S08 ABC Output'!$A$3:$C$18, 3, 0))</f>
        <v/>
      </c>
      <c r="I211" s="288" t="str">
        <f t="shared" si="10"/>
        <v>WS-21</v>
      </c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</row>
    <row r="212" spans="1:53" ht="17">
      <c r="A212" s="3">
        <v>5</v>
      </c>
      <c r="B212" s="196" t="str">
        <f>IFERROR(INDEX('S15 Routing Clustered'!$A$3:$A$18, A212), "")</f>
        <v>I-070</v>
      </c>
      <c r="C212" s="3">
        <v>230</v>
      </c>
      <c r="D212" s="287" t="str">
        <f>IFERROR(HLOOKUP(C212, 'S15 Routing Clustered'!$B$2:$I$18,A212+1, 0), "")</f>
        <v/>
      </c>
      <c r="E212" s="287" t="str">
        <f t="shared" si="11"/>
        <v/>
      </c>
      <c r="F212" s="3" t="str">
        <f>IF(E212="", "", VLOOKUP(B212, 'S08 ABC Output'!$A$3:$C$18, 3, 0))</f>
        <v/>
      </c>
      <c r="I212" s="288" t="str">
        <f t="shared" si="10"/>
        <v>WS-22</v>
      </c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</row>
    <row r="213" spans="1:53" ht="17">
      <c r="A213" s="3">
        <v>5</v>
      </c>
      <c r="B213" s="196" t="str">
        <f>IFERROR(INDEX('S15 Routing Clustered'!$A$3:$A$18, A213), "")</f>
        <v>I-070</v>
      </c>
      <c r="C213" s="3">
        <v>240</v>
      </c>
      <c r="D213" s="287" t="str">
        <f>IFERROR(HLOOKUP(C213, 'S15 Routing Clustered'!$B$2:$I$18,A213+1, 0), "")</f>
        <v/>
      </c>
      <c r="E213" s="287" t="str">
        <f t="shared" si="11"/>
        <v/>
      </c>
      <c r="F213" s="3" t="str">
        <f>IF(E213="", "", VLOOKUP(B213, 'S08 ABC Output'!$A$3:$C$18, 3, 0))</f>
        <v/>
      </c>
      <c r="I213" s="288" t="str">
        <f t="shared" si="10"/>
        <v>WS-23</v>
      </c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</row>
    <row r="214" spans="1:53" ht="17">
      <c r="A214" s="3">
        <v>5</v>
      </c>
      <c r="B214" s="196" t="str">
        <f>IFERROR(INDEX('S15 Routing Clustered'!$A$3:$A$18, A214), "")</f>
        <v>I-070</v>
      </c>
      <c r="C214" s="3">
        <v>250</v>
      </c>
      <c r="D214" s="287" t="str">
        <f>IFERROR(HLOOKUP(C214, 'S15 Routing Clustered'!$B$2:$I$18,A214+1, 0), "")</f>
        <v/>
      </c>
      <c r="E214" s="287" t="str">
        <f t="shared" si="11"/>
        <v/>
      </c>
      <c r="F214" s="3" t="str">
        <f>IF(E214="", "", VLOOKUP(B214, 'S08 ABC Output'!$A$3:$C$18, 3, 0))</f>
        <v/>
      </c>
      <c r="I214" s="288" t="str">
        <f t="shared" si="10"/>
        <v>WS-24</v>
      </c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</row>
    <row r="215" spans="1:53" ht="17">
      <c r="A215" s="3">
        <v>5</v>
      </c>
      <c r="B215" s="196" t="str">
        <f>IFERROR(INDEX('S15 Routing Clustered'!$A$3:$A$18, A215), "")</f>
        <v>I-070</v>
      </c>
      <c r="C215" s="3">
        <v>260</v>
      </c>
      <c r="D215" s="287" t="str">
        <f>IFERROR(HLOOKUP(C215, 'S15 Routing Clustered'!$B$2:$I$18,A215+1, 0), "")</f>
        <v/>
      </c>
      <c r="E215" s="287" t="str">
        <f t="shared" si="11"/>
        <v/>
      </c>
      <c r="F215" s="3" t="str">
        <f>IF(E215="", "", VLOOKUP(B215, 'S08 ABC Output'!$A$3:$C$18, 3, 0))</f>
        <v/>
      </c>
      <c r="I215" s="288" t="str">
        <f t="shared" si="10"/>
        <v>WS-25</v>
      </c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>
        <v>36502</v>
      </c>
      <c r="AR215" s="3"/>
      <c r="AS215" s="3"/>
      <c r="AT215" s="3"/>
      <c r="AU215" s="3"/>
      <c r="AV215" s="3"/>
      <c r="AW215" s="3"/>
      <c r="AX215" s="3"/>
      <c r="AY215" s="3"/>
      <c r="AZ215" s="3"/>
      <c r="BA215" s="3"/>
    </row>
    <row r="216" spans="1:53" ht="17">
      <c r="A216" s="3">
        <v>5</v>
      </c>
      <c r="B216" s="196" t="str">
        <f>IFERROR(INDEX('S15 Routing Clustered'!$A$3:$A$18, A216), "")</f>
        <v>I-070</v>
      </c>
      <c r="C216" s="3">
        <v>270</v>
      </c>
      <c r="D216" s="287" t="str">
        <f>IFERROR(HLOOKUP(C216, 'S15 Routing Clustered'!$B$2:$I$18,A216+1, 0), "")</f>
        <v/>
      </c>
      <c r="E216" s="287" t="str">
        <f t="shared" si="11"/>
        <v/>
      </c>
      <c r="F216" s="3" t="str">
        <f>IF(E216="", "", VLOOKUP(B216, 'S08 ABC Output'!$A$3:$C$18, 3, 0))</f>
        <v/>
      </c>
      <c r="I216" s="288" t="str">
        <f t="shared" si="10"/>
        <v>WS-26</v>
      </c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</row>
    <row r="217" spans="1:53" ht="17">
      <c r="A217" s="3">
        <v>5</v>
      </c>
      <c r="B217" s="196" t="str">
        <f>IFERROR(INDEX('S15 Routing Clustered'!$A$3:$A$18, A217), "")</f>
        <v>I-070</v>
      </c>
      <c r="C217" s="3">
        <v>280</v>
      </c>
      <c r="D217" s="287" t="str">
        <f>IFERROR(HLOOKUP(C217, 'S15 Routing Clustered'!$B$2:$I$18,A217+1, 0), "")</f>
        <v/>
      </c>
      <c r="E217" s="287" t="str">
        <f t="shared" si="11"/>
        <v/>
      </c>
      <c r="F217" s="3" t="str">
        <f>IF(E217="", "", VLOOKUP(B217, 'S08 ABC Output'!$A$3:$C$18, 3, 0))</f>
        <v/>
      </c>
      <c r="I217" s="288" t="str">
        <f t="shared" si="10"/>
        <v>WS-27</v>
      </c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</row>
    <row r="218" spans="1:53" ht="17">
      <c r="A218" s="3">
        <v>5</v>
      </c>
      <c r="B218" s="196" t="str">
        <f>IFERROR(INDEX('S15 Routing Clustered'!$A$3:$A$18, A218), "")</f>
        <v>I-070</v>
      </c>
      <c r="C218" s="3">
        <v>290</v>
      </c>
      <c r="D218" s="287" t="str">
        <f>IFERROR(HLOOKUP(C218, 'S15 Routing Clustered'!$B$2:$I$18,A218+1, 0), "")</f>
        <v/>
      </c>
      <c r="E218" s="287" t="str">
        <f t="shared" si="11"/>
        <v/>
      </c>
      <c r="F218" s="3" t="str">
        <f>IF(E218="", "", VLOOKUP(B218, 'S08 ABC Output'!$A$3:$C$18, 3, 0))</f>
        <v/>
      </c>
      <c r="I218" s="288" t="str">
        <f t="shared" si="10"/>
        <v>WS-28</v>
      </c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</row>
    <row r="219" spans="1:53" ht="17">
      <c r="A219" s="3">
        <v>5</v>
      </c>
      <c r="B219" s="196" t="str">
        <f>IFERROR(INDEX('S15 Routing Clustered'!$A$3:$A$18, A219), "")</f>
        <v>I-070</v>
      </c>
      <c r="C219" s="3">
        <v>300</v>
      </c>
      <c r="D219" s="287" t="str">
        <f>IFERROR(HLOOKUP(C219, 'S15 Routing Clustered'!$B$2:$I$18,A219+1, 0), "")</f>
        <v/>
      </c>
      <c r="E219" s="287" t="str">
        <f t="shared" si="11"/>
        <v/>
      </c>
      <c r="F219" s="3" t="str">
        <f>IF(E219="", "", VLOOKUP(B219, 'S08 ABC Output'!$A$3:$C$18, 3, 0))</f>
        <v/>
      </c>
      <c r="I219" s="288" t="str">
        <f t="shared" si="10"/>
        <v>WS-29</v>
      </c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</row>
    <row r="220" spans="1:53" ht="17">
      <c r="A220" s="3">
        <v>5</v>
      </c>
      <c r="B220" s="196" t="str">
        <f>IFERROR(INDEX('S15 Routing Clustered'!$A$3:$A$18, A220), "")</f>
        <v>I-070</v>
      </c>
      <c r="C220" s="3">
        <v>310</v>
      </c>
      <c r="D220" s="287" t="str">
        <f>IFERROR(HLOOKUP(C220, 'S15 Routing Clustered'!$B$2:$I$18,A220+1, 0), "")</f>
        <v/>
      </c>
      <c r="E220" s="287" t="str">
        <f t="shared" si="11"/>
        <v/>
      </c>
      <c r="F220" s="3" t="str">
        <f>IF(E220="", "", VLOOKUP(B220, 'S08 ABC Output'!$A$3:$C$18, 3, 0))</f>
        <v/>
      </c>
      <c r="I220" s="288" t="str">
        <f t="shared" si="10"/>
        <v>WS-30</v>
      </c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</row>
    <row r="221" spans="1:53" ht="17">
      <c r="A221" s="3">
        <v>5</v>
      </c>
      <c r="B221" s="196" t="str">
        <f>IFERROR(INDEX('S15 Routing Clustered'!$A$3:$A$18, A221), "")</f>
        <v>I-070</v>
      </c>
      <c r="C221" s="3">
        <v>320</v>
      </c>
      <c r="D221" s="287" t="str">
        <f>IFERROR(HLOOKUP(C221, 'S15 Routing Clustered'!$B$2:$I$18,A221+1, 0), "")</f>
        <v/>
      </c>
      <c r="E221" s="287" t="str">
        <f t="shared" si="11"/>
        <v/>
      </c>
      <c r="F221" s="3" t="str">
        <f>IF(E221="", "", VLOOKUP(B221, 'S08 ABC Output'!$A$3:$C$18, 3, 0))</f>
        <v/>
      </c>
      <c r="I221" s="288" t="str">
        <f t="shared" si="10"/>
        <v>WS-31</v>
      </c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</row>
    <row r="222" spans="1:53" ht="17">
      <c r="A222" s="3">
        <v>5</v>
      </c>
      <c r="B222" s="196" t="str">
        <f>IFERROR(INDEX('S15 Routing Clustered'!$A$3:$A$18, A222), "")</f>
        <v>I-070</v>
      </c>
      <c r="C222" s="3">
        <v>330</v>
      </c>
      <c r="D222" s="287" t="str">
        <f>IFERROR(HLOOKUP(C222, 'S15 Routing Clustered'!$B$2:$I$18,A222+1, 0), "")</f>
        <v/>
      </c>
      <c r="E222" s="287" t="str">
        <f t="shared" si="11"/>
        <v/>
      </c>
      <c r="F222" s="3" t="str">
        <f>IF(E222="", "", VLOOKUP(B222, 'S08 ABC Output'!$A$3:$C$18, 3, 0))</f>
        <v/>
      </c>
      <c r="I222" s="288" t="str">
        <f t="shared" si="10"/>
        <v>WS-32</v>
      </c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</row>
    <row r="223" spans="1:53" ht="17">
      <c r="A223" s="3">
        <v>5</v>
      </c>
      <c r="B223" s="196" t="str">
        <f>IFERROR(INDEX('S15 Routing Clustered'!$A$3:$A$18, A223), "")</f>
        <v>I-070</v>
      </c>
      <c r="C223" s="3">
        <v>340</v>
      </c>
      <c r="D223" s="287" t="str">
        <f>IFERROR(HLOOKUP(C223, 'S15 Routing Clustered'!$B$2:$I$18,A223+1, 0), "")</f>
        <v/>
      </c>
      <c r="E223" s="287" t="str">
        <f t="shared" si="11"/>
        <v/>
      </c>
      <c r="F223" s="3" t="str">
        <f>IF(E223="", "", VLOOKUP(B223, 'S08 ABC Output'!$A$3:$C$18, 3, 0))</f>
        <v/>
      </c>
      <c r="I223" s="288" t="str">
        <f t="shared" si="10"/>
        <v>WS-33</v>
      </c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</row>
    <row r="224" spans="1:53" ht="17">
      <c r="A224" s="3">
        <v>5</v>
      </c>
      <c r="B224" s="196" t="str">
        <f>IFERROR(INDEX('S15 Routing Clustered'!$A$3:$A$18, A224), "")</f>
        <v>I-070</v>
      </c>
      <c r="C224" s="3">
        <v>350</v>
      </c>
      <c r="D224" s="287" t="str">
        <f>IFERROR(HLOOKUP(C224, 'S15 Routing Clustered'!$B$2:$I$18,A224+1, 0), "")</f>
        <v/>
      </c>
      <c r="E224" s="287" t="str">
        <f t="shared" si="11"/>
        <v/>
      </c>
      <c r="F224" s="3" t="str">
        <f>IF(E224="", "", VLOOKUP(B224, 'S08 ABC Output'!$A$3:$C$18, 3, 0))</f>
        <v/>
      </c>
      <c r="I224" s="288" t="str">
        <f t="shared" si="10"/>
        <v>WS-34</v>
      </c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>
        <v>36502</v>
      </c>
    </row>
    <row r="225" spans="1:53" ht="17">
      <c r="A225" s="3">
        <v>5</v>
      </c>
      <c r="B225" s="196" t="str">
        <f>IFERROR(INDEX('S15 Routing Clustered'!$A$3:$A$18, A225), "")</f>
        <v>I-070</v>
      </c>
      <c r="C225" s="3">
        <v>360</v>
      </c>
      <c r="D225" s="287" t="str">
        <f>IFERROR(HLOOKUP(C225, 'S15 Routing Clustered'!$B$2:$I$18,A225+1, 0), "")</f>
        <v/>
      </c>
      <c r="E225" s="287" t="str">
        <f t="shared" si="11"/>
        <v/>
      </c>
      <c r="F225" s="3" t="str">
        <f>IF(E225="", "", VLOOKUP(B225, 'S08 ABC Output'!$A$3:$C$18, 3, 0))</f>
        <v/>
      </c>
      <c r="I225" s="288" t="str">
        <f t="shared" si="10"/>
        <v>WS-35</v>
      </c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</row>
    <row r="226" spans="1:53" ht="17">
      <c r="A226" s="3">
        <v>5</v>
      </c>
      <c r="B226" s="196" t="str">
        <f>IFERROR(INDEX('S15 Routing Clustered'!$A$3:$A$18, A226), "")</f>
        <v>I-070</v>
      </c>
      <c r="C226" s="3">
        <v>370</v>
      </c>
      <c r="D226" s="287" t="str">
        <f>IFERROR(HLOOKUP(C226, 'S15 Routing Clustered'!$B$2:$I$18,A226+1, 0), "")</f>
        <v/>
      </c>
      <c r="E226" s="287" t="str">
        <f t="shared" si="11"/>
        <v/>
      </c>
      <c r="F226" s="3" t="str">
        <f>IF(E226="", "", VLOOKUP(B226, 'S08 ABC Output'!$A$3:$C$18, 3, 0))</f>
        <v/>
      </c>
      <c r="I226" s="288" t="str">
        <f t="shared" si="10"/>
        <v>WS-36</v>
      </c>
      <c r="J226" s="3"/>
      <c r="K226" s="3"/>
      <c r="L226" s="3"/>
      <c r="M226" s="3"/>
      <c r="N226" s="3">
        <v>36502</v>
      </c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</row>
    <row r="227" spans="1:53" ht="17">
      <c r="A227" s="3">
        <v>5</v>
      </c>
      <c r="B227" s="196" t="str">
        <f>IFERROR(INDEX('S15 Routing Clustered'!$A$3:$A$18, A227), "")</f>
        <v>I-070</v>
      </c>
      <c r="C227" s="3">
        <v>380</v>
      </c>
      <c r="D227" s="287" t="str">
        <f>IFERROR(HLOOKUP(C227, 'S15 Routing Clustered'!$B$2:$I$18,A227+1, 0), "")</f>
        <v/>
      </c>
      <c r="E227" s="287" t="str">
        <f t="shared" si="11"/>
        <v/>
      </c>
      <c r="F227" s="3" t="str">
        <f>IF(E227="", "", VLOOKUP(B227, 'S08 ABC Output'!$A$3:$C$18, 3, 0))</f>
        <v/>
      </c>
      <c r="I227" s="288" t="str">
        <f t="shared" si="10"/>
        <v>WS-37</v>
      </c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</row>
    <row r="228" spans="1:53" ht="17">
      <c r="A228" s="3">
        <v>5</v>
      </c>
      <c r="B228" s="196" t="str">
        <f>IFERROR(INDEX('S15 Routing Clustered'!$A$3:$A$18, A228), "")</f>
        <v>I-070</v>
      </c>
      <c r="C228" s="3">
        <v>390</v>
      </c>
      <c r="D228" s="287" t="str">
        <f>IFERROR(HLOOKUP(C228, 'S15 Routing Clustered'!$B$2:$I$18,A228+1, 0), "")</f>
        <v/>
      </c>
      <c r="E228" s="287" t="str">
        <f t="shared" si="11"/>
        <v/>
      </c>
      <c r="F228" s="3" t="str">
        <f>IF(E228="", "", VLOOKUP(B228, 'S08 ABC Output'!$A$3:$C$18, 3, 0))</f>
        <v/>
      </c>
      <c r="I228" s="288" t="str">
        <f t="shared" si="10"/>
        <v>WS-38</v>
      </c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</row>
    <row r="229" spans="1:53" ht="17">
      <c r="A229" s="3">
        <v>5</v>
      </c>
      <c r="B229" s="196" t="str">
        <f>IFERROR(INDEX('S15 Routing Clustered'!$A$3:$A$18, A229), "")</f>
        <v>I-070</v>
      </c>
      <c r="C229" s="3">
        <v>400</v>
      </c>
      <c r="D229" s="287" t="str">
        <f>IFERROR(HLOOKUP(C229, 'S15 Routing Clustered'!$B$2:$I$18,A229+1, 0), "")</f>
        <v/>
      </c>
      <c r="E229" s="287" t="str">
        <f t="shared" si="11"/>
        <v/>
      </c>
      <c r="F229" s="3" t="str">
        <f>IF(E229="", "", VLOOKUP(B229, 'S08 ABC Output'!$A$3:$C$18, 3, 0))</f>
        <v/>
      </c>
      <c r="I229" s="288" t="str">
        <f t="shared" si="10"/>
        <v>WS-39</v>
      </c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</row>
    <row r="230" spans="1:53" ht="17">
      <c r="A230" s="3">
        <v>5</v>
      </c>
      <c r="B230" s="196" t="str">
        <f>IFERROR(INDEX('S15 Routing Clustered'!$A$3:$A$18, A230), "")</f>
        <v>I-070</v>
      </c>
      <c r="C230" s="3">
        <v>410</v>
      </c>
      <c r="D230" s="287" t="str">
        <f>IFERROR(HLOOKUP(C230, 'S15 Routing Clustered'!$B$2:$I$18,A230+1, 0), "")</f>
        <v/>
      </c>
      <c r="E230" s="287" t="str">
        <f t="shared" si="11"/>
        <v/>
      </c>
      <c r="F230" s="3" t="str">
        <f>IF(E230="", "", VLOOKUP(B230, 'S08 ABC Output'!$A$3:$C$18, 3, 0))</f>
        <v/>
      </c>
      <c r="I230" s="288" t="str">
        <f t="shared" si="10"/>
        <v>WS-40</v>
      </c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</row>
    <row r="231" spans="1:53" ht="17">
      <c r="A231" s="3">
        <v>5</v>
      </c>
      <c r="B231" s="196" t="str">
        <f>IFERROR(INDEX('S15 Routing Clustered'!$A$3:$A$18, A231), "")</f>
        <v>I-070</v>
      </c>
      <c r="C231" s="3">
        <v>420</v>
      </c>
      <c r="D231" s="287" t="str">
        <f>IFERROR(HLOOKUP(C231, 'S15 Routing Clustered'!$B$2:$I$18,A231+1, 0), "")</f>
        <v/>
      </c>
      <c r="E231" s="287" t="str">
        <f t="shared" si="11"/>
        <v/>
      </c>
      <c r="F231" s="3" t="str">
        <f>IF(E231="", "", VLOOKUP(B231, 'S08 ABC Output'!$A$3:$C$18, 3, 0))</f>
        <v/>
      </c>
      <c r="I231" s="288" t="str">
        <f t="shared" si="10"/>
        <v>WS-41</v>
      </c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</row>
    <row r="232" spans="1:53" ht="17">
      <c r="A232" s="3">
        <v>5</v>
      </c>
      <c r="B232" s="196" t="str">
        <f>IFERROR(INDEX('S15 Routing Clustered'!$A$3:$A$18, A232), "")</f>
        <v>I-070</v>
      </c>
      <c r="C232" s="3">
        <v>430</v>
      </c>
      <c r="D232" s="287" t="str">
        <f>IFERROR(HLOOKUP(C232, 'S15 Routing Clustered'!$B$2:$I$18,A232+1, 0), "")</f>
        <v/>
      </c>
      <c r="E232" s="287" t="str">
        <f t="shared" si="11"/>
        <v/>
      </c>
      <c r="F232" s="3" t="str">
        <f>IF(E232="", "", VLOOKUP(B232, 'S08 ABC Output'!$A$3:$C$18, 3, 0))</f>
        <v/>
      </c>
      <c r="I232" s="288" t="str">
        <f t="shared" si="10"/>
        <v>WS-42</v>
      </c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</row>
    <row r="233" spans="1:53" ht="17">
      <c r="A233" s="3">
        <v>5</v>
      </c>
      <c r="B233" s="196" t="str">
        <f>IFERROR(INDEX('S15 Routing Clustered'!$A$3:$A$18, A233), "")</f>
        <v>I-070</v>
      </c>
      <c r="C233" s="3">
        <v>440</v>
      </c>
      <c r="D233" s="287" t="str">
        <f>IFERROR(HLOOKUP(C233, 'S15 Routing Clustered'!$B$2:$I$18,A233+1, 0), "")</f>
        <v/>
      </c>
      <c r="E233" s="287" t="str">
        <f t="shared" si="11"/>
        <v/>
      </c>
      <c r="F233" s="3" t="str">
        <f>IF(E233="", "", VLOOKUP(B233, 'S08 ABC Output'!$A$3:$C$18, 3, 0))</f>
        <v/>
      </c>
      <c r="I233" s="288" t="str">
        <f t="shared" si="10"/>
        <v>WS-43</v>
      </c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>
        <v>36502</v>
      </c>
      <c r="AT233" s="3"/>
      <c r="AU233" s="3"/>
      <c r="AV233" s="3"/>
      <c r="AW233" s="3"/>
      <c r="AX233" s="3"/>
      <c r="AY233" s="3"/>
      <c r="AZ233" s="3"/>
      <c r="BA233" s="3"/>
    </row>
    <row r="234" spans="1:53" ht="17">
      <c r="A234" s="3">
        <v>5</v>
      </c>
      <c r="B234" s="196" t="str">
        <f>IFERROR(INDEX('S15 Routing Clustered'!$A$3:$A$18, A234), "")</f>
        <v>I-070</v>
      </c>
      <c r="C234" s="3">
        <v>450</v>
      </c>
      <c r="D234" s="287" t="str">
        <f>IFERROR(HLOOKUP(C234, 'S15 Routing Clustered'!$B$2:$I$18,A234+1, 0), "")</f>
        <v/>
      </c>
      <c r="E234" s="287" t="str">
        <f t="shared" si="11"/>
        <v/>
      </c>
      <c r="F234" s="3" t="str">
        <f>IF(E234="", "", VLOOKUP(B234, 'S08 ABC Output'!$A$3:$C$18, 3, 0))</f>
        <v/>
      </c>
      <c r="I234" s="288" t="str">
        <f t="shared" si="10"/>
        <v>WS-44</v>
      </c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</row>
    <row r="235" spans="1:53" ht="17">
      <c r="B235" s="196" t="str">
        <f>IFERROR(INDEX('S15 Routing Clustered'!$A$3:$A$18, A235), "")</f>
        <v/>
      </c>
      <c r="D235" s="287" t="str">
        <f>IFERROR(HLOOKUP(C235, 'S15 Routing Clustered'!$B$2:$I$18,A235+1, 0), "")</f>
        <v/>
      </c>
      <c r="E235" s="287" t="str">
        <f t="shared" si="11"/>
        <v/>
      </c>
      <c r="F235" s="3" t="str">
        <f>IF(E235="", "", VLOOKUP(B235, 'S08 ABC Output'!$A$3:$C$18, 3, 0))</f>
        <v/>
      </c>
      <c r="I235" s="288"/>
    </row>
    <row r="236" spans="1:53" ht="17">
      <c r="B236" s="196" t="str">
        <f>IFERROR(INDEX('S15 Routing Clustered'!$A$3:$A$18, A236), "")</f>
        <v/>
      </c>
      <c r="D236" s="287" t="str">
        <f>IFERROR(HLOOKUP(C236, 'S15 Routing Clustered'!$B$2:$I$18,A236+1, 0), "")</f>
        <v/>
      </c>
      <c r="E236" s="287" t="str">
        <f t="shared" si="11"/>
        <v/>
      </c>
      <c r="F236" s="3" t="str">
        <f>IF(E236="", "", VLOOKUP(B236, 'S08 ABC Output'!$A$3:$C$18, 3, 0))</f>
        <v/>
      </c>
      <c r="I236" s="288"/>
    </row>
    <row r="237" spans="1:53" ht="17">
      <c r="A237" s="3">
        <v>6</v>
      </c>
      <c r="B237" s="196" t="str">
        <f>IFERROR(INDEX('S15 Routing Clustered'!$A$3:$A$18, A237), "")</f>
        <v>I-071</v>
      </c>
      <c r="C237" s="3">
        <v>10</v>
      </c>
      <c r="D237" s="287" t="str">
        <f>IFERROR(HLOOKUP(C237, 'S15 Routing Clustered'!$B$2:$I$18,A237+1, 0), "")</f>
        <v>WS-43</v>
      </c>
      <c r="E237" s="287" t="str">
        <f t="shared" si="11"/>
        <v>WS-36</v>
      </c>
      <c r="F237" s="3">
        <f>IF(E237="", "", VLOOKUP(B237, 'S08 ABC Output'!$A$3:$C$18, 3, 0))</f>
        <v>25649</v>
      </c>
      <c r="I237" s="288"/>
      <c r="J237" s="288" t="str">
        <f>J190</f>
        <v>WS-01</v>
      </c>
      <c r="K237" s="288" t="str">
        <f t="shared" ref="K237:BA237" si="12">K190</f>
        <v>WS-02</v>
      </c>
      <c r="L237" s="288" t="str">
        <f t="shared" si="12"/>
        <v>WS-03</v>
      </c>
      <c r="M237" s="288" t="str">
        <f t="shared" si="12"/>
        <v>WS-04</v>
      </c>
      <c r="N237" s="288" t="str">
        <f t="shared" si="12"/>
        <v>WS-05</v>
      </c>
      <c r="O237" s="288" t="str">
        <f t="shared" si="12"/>
        <v>WS-06</v>
      </c>
      <c r="P237" s="288" t="str">
        <f t="shared" si="12"/>
        <v>WS-07</v>
      </c>
      <c r="Q237" s="288" t="str">
        <f t="shared" si="12"/>
        <v>WS-08</v>
      </c>
      <c r="R237" s="288" t="str">
        <f t="shared" si="12"/>
        <v>WS-09</v>
      </c>
      <c r="S237" s="288" t="str">
        <f t="shared" si="12"/>
        <v>WS-10</v>
      </c>
      <c r="T237" s="288" t="str">
        <f t="shared" si="12"/>
        <v>WS-11</v>
      </c>
      <c r="U237" s="288" t="str">
        <f t="shared" si="12"/>
        <v>WS-12</v>
      </c>
      <c r="V237" s="288" t="str">
        <f t="shared" si="12"/>
        <v>WS-13</v>
      </c>
      <c r="W237" s="288" t="str">
        <f t="shared" si="12"/>
        <v>WS-14</v>
      </c>
      <c r="X237" s="288" t="str">
        <f t="shared" si="12"/>
        <v>WS-15</v>
      </c>
      <c r="Y237" s="288" t="str">
        <f t="shared" si="12"/>
        <v>WS-16</v>
      </c>
      <c r="Z237" s="288" t="str">
        <f t="shared" si="12"/>
        <v>WS-17</v>
      </c>
      <c r="AA237" s="288" t="str">
        <f t="shared" si="12"/>
        <v>WS-18</v>
      </c>
      <c r="AB237" s="288" t="str">
        <f t="shared" si="12"/>
        <v>WS-19</v>
      </c>
      <c r="AC237" s="288" t="str">
        <f t="shared" si="12"/>
        <v>WS-20</v>
      </c>
      <c r="AD237" s="288" t="str">
        <f t="shared" si="12"/>
        <v>WS-21</v>
      </c>
      <c r="AE237" s="288" t="str">
        <f t="shared" si="12"/>
        <v>WS-22</v>
      </c>
      <c r="AF237" s="288" t="str">
        <f t="shared" si="12"/>
        <v>WS-23</v>
      </c>
      <c r="AG237" s="288" t="str">
        <f t="shared" si="12"/>
        <v>WS-24</v>
      </c>
      <c r="AH237" s="288" t="str">
        <f t="shared" si="12"/>
        <v>WS-25</v>
      </c>
      <c r="AI237" s="288" t="str">
        <f t="shared" si="12"/>
        <v>WS-26</v>
      </c>
      <c r="AJ237" s="288" t="str">
        <f t="shared" si="12"/>
        <v>WS-27</v>
      </c>
      <c r="AK237" s="288" t="str">
        <f t="shared" si="12"/>
        <v>WS-28</v>
      </c>
      <c r="AL237" s="288" t="str">
        <f t="shared" si="12"/>
        <v>WS-29</v>
      </c>
      <c r="AM237" s="288" t="str">
        <f t="shared" si="12"/>
        <v>WS-30</v>
      </c>
      <c r="AN237" s="288" t="str">
        <f t="shared" si="12"/>
        <v>WS-31</v>
      </c>
      <c r="AO237" s="288" t="str">
        <f t="shared" si="12"/>
        <v>WS-32</v>
      </c>
      <c r="AP237" s="288" t="str">
        <f t="shared" si="12"/>
        <v>WS-33</v>
      </c>
      <c r="AQ237" s="288" t="str">
        <f t="shared" si="12"/>
        <v>WS-34</v>
      </c>
      <c r="AR237" s="288" t="str">
        <f t="shared" si="12"/>
        <v>WS-35</v>
      </c>
      <c r="AS237" s="288" t="str">
        <f t="shared" si="12"/>
        <v>WS-36</v>
      </c>
      <c r="AT237" s="288" t="str">
        <f t="shared" si="12"/>
        <v>WS-37</v>
      </c>
      <c r="AU237" s="288" t="str">
        <f t="shared" si="12"/>
        <v>WS-38</v>
      </c>
      <c r="AV237" s="288" t="str">
        <f>AV190</f>
        <v>WS-39</v>
      </c>
      <c r="AW237" s="288" t="str">
        <f t="shared" si="12"/>
        <v>WS-40</v>
      </c>
      <c r="AX237" s="288" t="str">
        <f t="shared" si="12"/>
        <v>WS-41</v>
      </c>
      <c r="AY237" s="288" t="str">
        <f t="shared" si="12"/>
        <v>WS-42</v>
      </c>
      <c r="AZ237" s="288" t="str">
        <f t="shared" si="12"/>
        <v>WS-43</v>
      </c>
      <c r="BA237" s="288" t="str">
        <f t="shared" si="12"/>
        <v>WS-44</v>
      </c>
    </row>
    <row r="238" spans="1:53" ht="17">
      <c r="A238" s="3">
        <v>6</v>
      </c>
      <c r="B238" s="196" t="str">
        <f>IFERROR(INDEX('S15 Routing Clustered'!$A$3:$A$18, A238), "")</f>
        <v>I-071</v>
      </c>
      <c r="C238" s="3">
        <v>20</v>
      </c>
      <c r="D238" s="287" t="str">
        <f>IFERROR(HLOOKUP(C238, 'S15 Routing Clustered'!$B$2:$I$18,A238+1, 0), "")</f>
        <v>WS-36</v>
      </c>
      <c r="E238" s="287" t="str">
        <f t="shared" si="11"/>
        <v>WS-05</v>
      </c>
      <c r="F238" s="3">
        <f>IF(E238="", "", VLOOKUP(B238, 'S08 ABC Output'!$A$3:$C$18, 3, 0))</f>
        <v>25649</v>
      </c>
      <c r="I238" s="288" t="str">
        <f>I191</f>
        <v>WS-01</v>
      </c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</row>
    <row r="239" spans="1:53" ht="17">
      <c r="A239" s="3">
        <v>6</v>
      </c>
      <c r="B239" s="196" t="str">
        <f>IFERROR(INDEX('S15 Routing Clustered'!$A$3:$A$18, A239), "")</f>
        <v>I-071</v>
      </c>
      <c r="C239" s="3">
        <v>30</v>
      </c>
      <c r="D239" s="287" t="str">
        <f>IFERROR(HLOOKUP(C239, 'S15 Routing Clustered'!$B$2:$I$18,A239+1, 0), "")</f>
        <v>WS-05</v>
      </c>
      <c r="E239" s="287" t="str">
        <f t="shared" si="11"/>
        <v>WS-25</v>
      </c>
      <c r="F239" s="3">
        <f>IF(E239="", "", VLOOKUP(B239, 'S08 ABC Output'!$A$3:$C$18, 3, 0))</f>
        <v>25649</v>
      </c>
      <c r="I239" s="288" t="str">
        <f t="shared" ref="I239:I281" si="13">I192</f>
        <v>WS-02</v>
      </c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</row>
    <row r="240" spans="1:53" ht="17">
      <c r="A240" s="3">
        <v>6</v>
      </c>
      <c r="B240" s="196" t="str">
        <f>IFERROR(INDEX('S15 Routing Clustered'!$A$3:$A$18, A240), "")</f>
        <v>I-071</v>
      </c>
      <c r="C240" s="3">
        <v>40</v>
      </c>
      <c r="D240" s="287" t="str">
        <f>IFERROR(HLOOKUP(C240, 'S15 Routing Clustered'!$B$2:$I$18,A240+1, 0), "")</f>
        <v>WS-25</v>
      </c>
      <c r="E240" s="287" t="str">
        <f t="shared" si="11"/>
        <v>WS-34</v>
      </c>
      <c r="F240" s="3">
        <f>IF(E240="", "", VLOOKUP(B240, 'S08 ABC Output'!$A$3:$C$18, 3, 0))</f>
        <v>25649</v>
      </c>
      <c r="I240" s="288" t="str">
        <f t="shared" si="13"/>
        <v>WS-03</v>
      </c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</row>
    <row r="241" spans="1:53" ht="17">
      <c r="A241" s="3">
        <v>6</v>
      </c>
      <c r="B241" s="196" t="str">
        <f>IFERROR(INDEX('S15 Routing Clustered'!$A$3:$A$18, A241), "")</f>
        <v>I-071</v>
      </c>
      <c r="C241" s="3">
        <v>50</v>
      </c>
      <c r="D241" s="287" t="str">
        <f>IFERROR(HLOOKUP(C241, 'S15 Routing Clustered'!$B$2:$I$18,A241+1, 0), "")</f>
        <v>WS-34</v>
      </c>
      <c r="E241" s="287" t="str">
        <f t="shared" si="11"/>
        <v>WS-44</v>
      </c>
      <c r="F241" s="3">
        <f>IF(E241="", "", VLOOKUP(B241, 'S08 ABC Output'!$A$3:$C$18, 3, 0))</f>
        <v>25649</v>
      </c>
      <c r="I241" s="288" t="str">
        <f t="shared" si="13"/>
        <v>WS-04</v>
      </c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</row>
    <row r="242" spans="1:53" ht="17">
      <c r="A242" s="3">
        <v>6</v>
      </c>
      <c r="B242" s="196" t="str">
        <f>IFERROR(INDEX('S15 Routing Clustered'!$A$3:$A$18, A242), "")</f>
        <v>I-071</v>
      </c>
      <c r="C242" s="3">
        <v>60</v>
      </c>
      <c r="D242" s="287" t="str">
        <f>IFERROR(HLOOKUP(C242, 'S15 Routing Clustered'!$B$2:$I$18,A242+1, 0), "")</f>
        <v>WS-44</v>
      </c>
      <c r="E242" s="287" t="str">
        <f t="shared" si="11"/>
        <v/>
      </c>
      <c r="F242" s="3" t="str">
        <f>IF(E242="", "", VLOOKUP(B242, 'S08 ABC Output'!$A$3:$C$18, 3, 0))</f>
        <v/>
      </c>
      <c r="I242" s="288" t="str">
        <f t="shared" si="13"/>
        <v>WS-05</v>
      </c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>
        <v>25649</v>
      </c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</row>
    <row r="243" spans="1:53" ht="17">
      <c r="A243" s="3">
        <v>6</v>
      </c>
      <c r="B243" s="196" t="str">
        <f>IFERROR(INDEX('S15 Routing Clustered'!$A$3:$A$18, A243), "")</f>
        <v>I-071</v>
      </c>
      <c r="C243" s="3">
        <v>70</v>
      </c>
      <c r="D243" s="287" t="str">
        <f>IFERROR(HLOOKUP(C243, 'S15 Routing Clustered'!$B$2:$I$18,A243+1, 0), "")</f>
        <v/>
      </c>
      <c r="E243" s="287" t="str">
        <f t="shared" si="11"/>
        <v/>
      </c>
      <c r="F243" s="3" t="str">
        <f>IF(E243="", "", VLOOKUP(B243, 'S08 ABC Output'!$A$3:$C$18, 3, 0))</f>
        <v/>
      </c>
      <c r="I243" s="288" t="str">
        <f t="shared" si="13"/>
        <v>WS-06</v>
      </c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</row>
    <row r="244" spans="1:53" ht="17">
      <c r="A244" s="3">
        <v>6</v>
      </c>
      <c r="B244" s="196" t="str">
        <f>IFERROR(INDEX('S15 Routing Clustered'!$A$3:$A$18, A244), "")</f>
        <v>I-071</v>
      </c>
      <c r="C244" s="3">
        <v>80</v>
      </c>
      <c r="D244" s="287" t="str">
        <f>IFERROR(HLOOKUP(C244, 'S15 Routing Clustered'!$B$2:$I$18,A244+1, 0), "")</f>
        <v/>
      </c>
      <c r="E244" s="287" t="str">
        <f t="shared" si="11"/>
        <v/>
      </c>
      <c r="F244" s="3" t="str">
        <f>IF(E244="", "", VLOOKUP(B244, 'S08 ABC Output'!$A$3:$C$18, 3, 0))</f>
        <v/>
      </c>
      <c r="I244" s="288" t="str">
        <f t="shared" si="13"/>
        <v>WS-07</v>
      </c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</row>
    <row r="245" spans="1:53" ht="17">
      <c r="A245" s="3">
        <v>6</v>
      </c>
      <c r="B245" s="196" t="str">
        <f>IFERROR(INDEX('S15 Routing Clustered'!$A$3:$A$18, A245), "")</f>
        <v>I-071</v>
      </c>
      <c r="C245" s="3">
        <v>90</v>
      </c>
      <c r="D245" s="287" t="str">
        <f>IFERROR(HLOOKUP(C245, 'S15 Routing Clustered'!$B$2:$I$18,A245+1, 0), "")</f>
        <v/>
      </c>
      <c r="E245" s="287" t="str">
        <f t="shared" si="11"/>
        <v/>
      </c>
      <c r="F245" s="3" t="str">
        <f>IF(E245="", "", VLOOKUP(B245, 'S08 ABC Output'!$A$3:$C$18, 3, 0))</f>
        <v/>
      </c>
      <c r="I245" s="288" t="str">
        <f t="shared" si="13"/>
        <v>WS-08</v>
      </c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</row>
    <row r="246" spans="1:53" ht="17">
      <c r="A246" s="3">
        <v>6</v>
      </c>
      <c r="B246" s="196" t="str">
        <f>IFERROR(INDEX('S15 Routing Clustered'!$A$3:$A$18, A246), "")</f>
        <v>I-071</v>
      </c>
      <c r="C246" s="3">
        <v>100</v>
      </c>
      <c r="D246" s="287" t="str">
        <f>IFERROR(HLOOKUP(C246, 'S15 Routing Clustered'!$B$2:$I$18,A246+1, 0), "")</f>
        <v/>
      </c>
      <c r="E246" s="287" t="str">
        <f t="shared" si="11"/>
        <v/>
      </c>
      <c r="F246" s="3" t="str">
        <f>IF(E246="", "", VLOOKUP(B246, 'S08 ABC Output'!$A$3:$C$18, 3, 0))</f>
        <v/>
      </c>
      <c r="I246" s="288" t="str">
        <f t="shared" si="13"/>
        <v>WS-09</v>
      </c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</row>
    <row r="247" spans="1:53" ht="17">
      <c r="A247" s="3">
        <v>6</v>
      </c>
      <c r="B247" s="196" t="str">
        <f>IFERROR(INDEX('S15 Routing Clustered'!$A$3:$A$18, A247), "")</f>
        <v>I-071</v>
      </c>
      <c r="C247" s="3">
        <v>110</v>
      </c>
      <c r="D247" s="287" t="str">
        <f>IFERROR(HLOOKUP(C247, 'S15 Routing Clustered'!$B$2:$I$18,A247+1, 0), "")</f>
        <v/>
      </c>
      <c r="E247" s="287" t="str">
        <f t="shared" si="11"/>
        <v/>
      </c>
      <c r="F247" s="3" t="str">
        <f>IF(E247="", "", VLOOKUP(B247, 'S08 ABC Output'!$A$3:$C$18, 3, 0))</f>
        <v/>
      </c>
      <c r="I247" s="288" t="str">
        <f t="shared" si="13"/>
        <v>WS-10</v>
      </c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</row>
    <row r="248" spans="1:53" ht="17">
      <c r="A248" s="3">
        <v>6</v>
      </c>
      <c r="B248" s="196" t="str">
        <f>IFERROR(INDEX('S15 Routing Clustered'!$A$3:$A$18, A248), "")</f>
        <v>I-071</v>
      </c>
      <c r="C248" s="3">
        <v>120</v>
      </c>
      <c r="D248" s="287" t="str">
        <f>IFERROR(HLOOKUP(C248, 'S15 Routing Clustered'!$B$2:$I$18,A248+1, 0), "")</f>
        <v/>
      </c>
      <c r="E248" s="287" t="str">
        <f t="shared" si="11"/>
        <v/>
      </c>
      <c r="F248" s="3" t="str">
        <f>IF(E248="", "", VLOOKUP(B248, 'S08 ABC Output'!$A$3:$C$18, 3, 0))</f>
        <v/>
      </c>
      <c r="I248" s="288" t="str">
        <f t="shared" si="13"/>
        <v>WS-11</v>
      </c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</row>
    <row r="249" spans="1:53" ht="17">
      <c r="A249" s="3">
        <v>6</v>
      </c>
      <c r="B249" s="196" t="str">
        <f>IFERROR(INDEX('S15 Routing Clustered'!$A$3:$A$18, A249), "")</f>
        <v>I-071</v>
      </c>
      <c r="C249" s="3">
        <v>130</v>
      </c>
      <c r="D249" s="287" t="str">
        <f>IFERROR(HLOOKUP(C249, 'S15 Routing Clustered'!$B$2:$I$18,A249+1, 0), "")</f>
        <v/>
      </c>
      <c r="E249" s="287" t="str">
        <f t="shared" si="11"/>
        <v/>
      </c>
      <c r="F249" s="3" t="str">
        <f>IF(E249="", "", VLOOKUP(B249, 'S08 ABC Output'!$A$3:$C$18, 3, 0))</f>
        <v/>
      </c>
      <c r="I249" s="288" t="str">
        <f t="shared" si="13"/>
        <v>WS-12</v>
      </c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</row>
    <row r="250" spans="1:53" ht="17">
      <c r="A250" s="3">
        <v>6</v>
      </c>
      <c r="B250" s="196" t="str">
        <f>IFERROR(INDEX('S15 Routing Clustered'!$A$3:$A$18, A250), "")</f>
        <v>I-071</v>
      </c>
      <c r="C250" s="3">
        <v>140</v>
      </c>
      <c r="D250" s="287" t="str">
        <f>IFERROR(HLOOKUP(C250, 'S15 Routing Clustered'!$B$2:$I$18,A250+1, 0), "")</f>
        <v/>
      </c>
      <c r="E250" s="287" t="str">
        <f t="shared" si="11"/>
        <v/>
      </c>
      <c r="F250" s="3" t="str">
        <f>IF(E250="", "", VLOOKUP(B250, 'S08 ABC Output'!$A$3:$C$18, 3, 0))</f>
        <v/>
      </c>
      <c r="I250" s="288" t="str">
        <f t="shared" si="13"/>
        <v>WS-13</v>
      </c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</row>
    <row r="251" spans="1:53" ht="17">
      <c r="A251" s="3">
        <v>6</v>
      </c>
      <c r="B251" s="196" t="str">
        <f>IFERROR(INDEX('S15 Routing Clustered'!$A$3:$A$18, A251), "")</f>
        <v>I-071</v>
      </c>
      <c r="C251" s="3">
        <v>150</v>
      </c>
      <c r="D251" s="287" t="str">
        <f>IFERROR(HLOOKUP(C251, 'S15 Routing Clustered'!$B$2:$I$18,A251+1, 0), "")</f>
        <v/>
      </c>
      <c r="E251" s="287" t="str">
        <f t="shared" si="11"/>
        <v/>
      </c>
      <c r="F251" s="3" t="str">
        <f>IF(E251="", "", VLOOKUP(B251, 'S08 ABC Output'!$A$3:$C$18, 3, 0))</f>
        <v/>
      </c>
      <c r="I251" s="288" t="str">
        <f t="shared" si="13"/>
        <v>WS-14</v>
      </c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</row>
    <row r="252" spans="1:53" ht="17">
      <c r="A252" s="3">
        <v>6</v>
      </c>
      <c r="B252" s="196" t="str">
        <f>IFERROR(INDEX('S15 Routing Clustered'!$A$3:$A$18, A252), "")</f>
        <v>I-071</v>
      </c>
      <c r="C252" s="3">
        <v>160</v>
      </c>
      <c r="D252" s="287" t="str">
        <f>IFERROR(HLOOKUP(C252, 'S15 Routing Clustered'!$B$2:$I$18,A252+1, 0), "")</f>
        <v/>
      </c>
      <c r="E252" s="287" t="str">
        <f t="shared" si="11"/>
        <v/>
      </c>
      <c r="F252" s="3" t="str">
        <f>IF(E252="", "", VLOOKUP(B252, 'S08 ABC Output'!$A$3:$C$18, 3, 0))</f>
        <v/>
      </c>
      <c r="I252" s="288" t="str">
        <f t="shared" si="13"/>
        <v>WS-15</v>
      </c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</row>
    <row r="253" spans="1:53" ht="17">
      <c r="A253" s="3">
        <v>6</v>
      </c>
      <c r="B253" s="196" t="str">
        <f>IFERROR(INDEX('S15 Routing Clustered'!$A$3:$A$18, A253), "")</f>
        <v>I-071</v>
      </c>
      <c r="C253" s="3">
        <v>170</v>
      </c>
      <c r="D253" s="287" t="str">
        <f>IFERROR(HLOOKUP(C253, 'S15 Routing Clustered'!$B$2:$I$18,A253+1, 0), "")</f>
        <v/>
      </c>
      <c r="E253" s="287" t="str">
        <f t="shared" si="11"/>
        <v/>
      </c>
      <c r="F253" s="3" t="str">
        <f>IF(E253="", "", VLOOKUP(B253, 'S08 ABC Output'!$A$3:$C$18, 3, 0))</f>
        <v/>
      </c>
      <c r="I253" s="288" t="str">
        <f t="shared" si="13"/>
        <v>WS-16</v>
      </c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</row>
    <row r="254" spans="1:53" ht="17">
      <c r="A254" s="3">
        <v>6</v>
      </c>
      <c r="B254" s="196" t="str">
        <f>IFERROR(INDEX('S15 Routing Clustered'!$A$3:$A$18, A254), "")</f>
        <v>I-071</v>
      </c>
      <c r="C254" s="3">
        <v>180</v>
      </c>
      <c r="D254" s="287" t="str">
        <f>IFERROR(HLOOKUP(C254, 'S15 Routing Clustered'!$B$2:$I$18,A254+1, 0), "")</f>
        <v/>
      </c>
      <c r="E254" s="287" t="str">
        <f t="shared" si="11"/>
        <v/>
      </c>
      <c r="F254" s="3" t="str">
        <f>IF(E254="", "", VLOOKUP(B254, 'S08 ABC Output'!$A$3:$C$18, 3, 0))</f>
        <v/>
      </c>
      <c r="I254" s="288" t="str">
        <f t="shared" si="13"/>
        <v>WS-17</v>
      </c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</row>
    <row r="255" spans="1:53" ht="17">
      <c r="A255" s="3">
        <v>6</v>
      </c>
      <c r="B255" s="196" t="str">
        <f>IFERROR(INDEX('S15 Routing Clustered'!$A$3:$A$18, A255), "")</f>
        <v>I-071</v>
      </c>
      <c r="C255" s="3">
        <v>190</v>
      </c>
      <c r="D255" s="287" t="str">
        <f>IFERROR(HLOOKUP(C255, 'S15 Routing Clustered'!$B$2:$I$18,A255+1, 0), "")</f>
        <v/>
      </c>
      <c r="E255" s="287" t="str">
        <f t="shared" si="11"/>
        <v/>
      </c>
      <c r="F255" s="3" t="str">
        <f>IF(E255="", "", VLOOKUP(B255, 'S08 ABC Output'!$A$3:$C$18, 3, 0))</f>
        <v/>
      </c>
      <c r="I255" s="288" t="str">
        <f t="shared" si="13"/>
        <v>WS-18</v>
      </c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</row>
    <row r="256" spans="1:53" ht="17">
      <c r="A256" s="3">
        <v>6</v>
      </c>
      <c r="B256" s="196" t="str">
        <f>IFERROR(INDEX('S15 Routing Clustered'!$A$3:$A$18, A256), "")</f>
        <v>I-071</v>
      </c>
      <c r="C256" s="3">
        <v>200</v>
      </c>
      <c r="D256" s="287" t="str">
        <f>IFERROR(HLOOKUP(C256, 'S15 Routing Clustered'!$B$2:$I$18,A256+1, 0), "")</f>
        <v/>
      </c>
      <c r="E256" s="287" t="str">
        <f t="shared" si="11"/>
        <v/>
      </c>
      <c r="F256" s="3" t="str">
        <f>IF(E256="", "", VLOOKUP(B256, 'S08 ABC Output'!$A$3:$C$18, 3, 0))</f>
        <v/>
      </c>
      <c r="I256" s="288" t="str">
        <f t="shared" si="13"/>
        <v>WS-19</v>
      </c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</row>
    <row r="257" spans="1:53" ht="17">
      <c r="A257" s="3">
        <v>6</v>
      </c>
      <c r="B257" s="196" t="str">
        <f>IFERROR(INDEX('S15 Routing Clustered'!$A$3:$A$18, A257), "")</f>
        <v>I-071</v>
      </c>
      <c r="C257" s="3">
        <v>210</v>
      </c>
      <c r="D257" s="287" t="str">
        <f>IFERROR(HLOOKUP(C257, 'S15 Routing Clustered'!$B$2:$I$18,A257+1, 0), "")</f>
        <v/>
      </c>
      <c r="E257" s="287" t="str">
        <f t="shared" si="11"/>
        <v/>
      </c>
      <c r="F257" s="3" t="str">
        <f>IF(E257="", "", VLOOKUP(B257, 'S08 ABC Output'!$A$3:$C$18, 3, 0))</f>
        <v/>
      </c>
      <c r="I257" s="288" t="str">
        <f t="shared" si="13"/>
        <v>WS-20</v>
      </c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</row>
    <row r="258" spans="1:53" ht="17">
      <c r="A258" s="3">
        <v>6</v>
      </c>
      <c r="B258" s="196" t="str">
        <f>IFERROR(INDEX('S15 Routing Clustered'!$A$3:$A$18, A258), "")</f>
        <v>I-071</v>
      </c>
      <c r="C258" s="3">
        <v>220</v>
      </c>
      <c r="D258" s="287" t="str">
        <f>IFERROR(HLOOKUP(C258, 'S15 Routing Clustered'!$B$2:$I$18,A258+1, 0), "")</f>
        <v/>
      </c>
      <c r="E258" s="287" t="str">
        <f t="shared" si="11"/>
        <v/>
      </c>
      <c r="F258" s="3" t="str">
        <f>IF(E258="", "", VLOOKUP(B258, 'S08 ABC Output'!$A$3:$C$18, 3, 0))</f>
        <v/>
      </c>
      <c r="I258" s="288" t="str">
        <f t="shared" si="13"/>
        <v>WS-21</v>
      </c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</row>
    <row r="259" spans="1:53" ht="17">
      <c r="A259" s="3">
        <v>6</v>
      </c>
      <c r="B259" s="196" t="str">
        <f>IFERROR(INDEX('S15 Routing Clustered'!$A$3:$A$18, A259), "")</f>
        <v>I-071</v>
      </c>
      <c r="C259" s="3">
        <v>230</v>
      </c>
      <c r="D259" s="287" t="str">
        <f>IFERROR(HLOOKUP(C259, 'S15 Routing Clustered'!$B$2:$I$18,A259+1, 0), "")</f>
        <v/>
      </c>
      <c r="E259" s="287" t="str">
        <f t="shared" ref="E259:E322" si="14">IF(D259="", "", D260)</f>
        <v/>
      </c>
      <c r="F259" s="3" t="str">
        <f>IF(E259="", "", VLOOKUP(B259, 'S08 ABC Output'!$A$3:$C$18, 3, 0))</f>
        <v/>
      </c>
      <c r="I259" s="288" t="str">
        <f t="shared" si="13"/>
        <v>WS-22</v>
      </c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</row>
    <row r="260" spans="1:53" ht="17">
      <c r="A260" s="3">
        <v>6</v>
      </c>
      <c r="B260" s="196" t="str">
        <f>IFERROR(INDEX('S15 Routing Clustered'!$A$3:$A$18, A260), "")</f>
        <v>I-071</v>
      </c>
      <c r="C260" s="3">
        <v>240</v>
      </c>
      <c r="D260" s="287" t="str">
        <f>IFERROR(HLOOKUP(C260, 'S15 Routing Clustered'!$B$2:$I$18,A260+1, 0), "")</f>
        <v/>
      </c>
      <c r="E260" s="287" t="str">
        <f t="shared" si="14"/>
        <v/>
      </c>
      <c r="F260" s="3" t="str">
        <f>IF(E260="", "", VLOOKUP(B260, 'S08 ABC Output'!$A$3:$C$18, 3, 0))</f>
        <v/>
      </c>
      <c r="I260" s="288" t="str">
        <f t="shared" si="13"/>
        <v>WS-23</v>
      </c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</row>
    <row r="261" spans="1:53" ht="17">
      <c r="A261" s="3">
        <v>6</v>
      </c>
      <c r="B261" s="196" t="str">
        <f>IFERROR(INDEX('S15 Routing Clustered'!$A$3:$A$18, A261), "")</f>
        <v>I-071</v>
      </c>
      <c r="C261" s="3">
        <v>250</v>
      </c>
      <c r="D261" s="287" t="str">
        <f>IFERROR(HLOOKUP(C261, 'S15 Routing Clustered'!$B$2:$I$18,A261+1, 0), "")</f>
        <v/>
      </c>
      <c r="E261" s="287" t="str">
        <f t="shared" si="14"/>
        <v/>
      </c>
      <c r="F261" s="3" t="str">
        <f>IF(E261="", "", VLOOKUP(B261, 'S08 ABC Output'!$A$3:$C$18, 3, 0))</f>
        <v/>
      </c>
      <c r="I261" s="288" t="str">
        <f t="shared" si="13"/>
        <v>WS-24</v>
      </c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</row>
    <row r="262" spans="1:53" ht="17">
      <c r="A262" s="3">
        <v>6</v>
      </c>
      <c r="B262" s="196" t="str">
        <f>IFERROR(INDEX('S15 Routing Clustered'!$A$3:$A$18, A262), "")</f>
        <v>I-071</v>
      </c>
      <c r="C262" s="3">
        <v>260</v>
      </c>
      <c r="D262" s="287" t="str">
        <f>IFERROR(HLOOKUP(C262, 'S15 Routing Clustered'!$B$2:$I$18,A262+1, 0), "")</f>
        <v/>
      </c>
      <c r="E262" s="287" t="str">
        <f t="shared" si="14"/>
        <v/>
      </c>
      <c r="F262" s="3" t="str">
        <f>IF(E262="", "", VLOOKUP(B262, 'S08 ABC Output'!$A$3:$C$18, 3, 0))</f>
        <v/>
      </c>
      <c r="I262" s="288" t="str">
        <f t="shared" si="13"/>
        <v>WS-25</v>
      </c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>
        <v>25649</v>
      </c>
      <c r="AR262" s="3"/>
      <c r="AS262" s="3"/>
      <c r="AT262" s="3"/>
      <c r="AU262" s="3"/>
      <c r="AV262" s="3"/>
      <c r="AW262" s="3"/>
      <c r="AX262" s="3"/>
      <c r="AY262" s="3"/>
      <c r="AZ262" s="3"/>
      <c r="BA262" s="3"/>
    </row>
    <row r="263" spans="1:53" ht="17">
      <c r="A263" s="3">
        <v>6</v>
      </c>
      <c r="B263" s="196" t="str">
        <f>IFERROR(INDEX('S15 Routing Clustered'!$A$3:$A$18, A263), "")</f>
        <v>I-071</v>
      </c>
      <c r="C263" s="3">
        <v>270</v>
      </c>
      <c r="D263" s="287" t="str">
        <f>IFERROR(HLOOKUP(C263, 'S15 Routing Clustered'!$B$2:$I$18,A263+1, 0), "")</f>
        <v/>
      </c>
      <c r="E263" s="287" t="str">
        <f t="shared" si="14"/>
        <v/>
      </c>
      <c r="F263" s="3" t="str">
        <f>IF(E263="", "", VLOOKUP(B263, 'S08 ABC Output'!$A$3:$C$18, 3, 0))</f>
        <v/>
      </c>
      <c r="I263" s="288" t="str">
        <f t="shared" si="13"/>
        <v>WS-26</v>
      </c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</row>
    <row r="264" spans="1:53" ht="17">
      <c r="A264" s="3">
        <v>6</v>
      </c>
      <c r="B264" s="196" t="str">
        <f>IFERROR(INDEX('S15 Routing Clustered'!$A$3:$A$18, A264), "")</f>
        <v>I-071</v>
      </c>
      <c r="C264" s="3">
        <v>280</v>
      </c>
      <c r="D264" s="287" t="str">
        <f>IFERROR(HLOOKUP(C264, 'S15 Routing Clustered'!$B$2:$I$18,A264+1, 0), "")</f>
        <v/>
      </c>
      <c r="E264" s="287" t="str">
        <f t="shared" si="14"/>
        <v/>
      </c>
      <c r="F264" s="3" t="str">
        <f>IF(E264="", "", VLOOKUP(B264, 'S08 ABC Output'!$A$3:$C$18, 3, 0))</f>
        <v/>
      </c>
      <c r="I264" s="288" t="str">
        <f t="shared" si="13"/>
        <v>WS-27</v>
      </c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</row>
    <row r="265" spans="1:53" ht="17">
      <c r="A265" s="3">
        <v>6</v>
      </c>
      <c r="B265" s="196" t="str">
        <f>IFERROR(INDEX('S15 Routing Clustered'!$A$3:$A$18, A265), "")</f>
        <v>I-071</v>
      </c>
      <c r="C265" s="3">
        <v>290</v>
      </c>
      <c r="D265" s="287" t="str">
        <f>IFERROR(HLOOKUP(C265, 'S15 Routing Clustered'!$B$2:$I$18,A265+1, 0), "")</f>
        <v/>
      </c>
      <c r="E265" s="287" t="str">
        <f t="shared" si="14"/>
        <v/>
      </c>
      <c r="F265" s="3" t="str">
        <f>IF(E265="", "", VLOOKUP(B265, 'S08 ABC Output'!$A$3:$C$18, 3, 0))</f>
        <v/>
      </c>
      <c r="I265" s="288" t="str">
        <f t="shared" si="13"/>
        <v>WS-28</v>
      </c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</row>
    <row r="266" spans="1:53" ht="17">
      <c r="A266" s="3">
        <v>6</v>
      </c>
      <c r="B266" s="196" t="str">
        <f>IFERROR(INDEX('S15 Routing Clustered'!$A$3:$A$18, A266), "")</f>
        <v>I-071</v>
      </c>
      <c r="C266" s="3">
        <v>300</v>
      </c>
      <c r="D266" s="287" t="str">
        <f>IFERROR(HLOOKUP(C266, 'S15 Routing Clustered'!$B$2:$I$18,A266+1, 0), "")</f>
        <v/>
      </c>
      <c r="E266" s="287" t="str">
        <f t="shared" si="14"/>
        <v/>
      </c>
      <c r="F266" s="3" t="str">
        <f>IF(E266="", "", VLOOKUP(B266, 'S08 ABC Output'!$A$3:$C$18, 3, 0))</f>
        <v/>
      </c>
      <c r="I266" s="288" t="str">
        <f t="shared" si="13"/>
        <v>WS-29</v>
      </c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</row>
    <row r="267" spans="1:53" ht="17">
      <c r="A267" s="3">
        <v>6</v>
      </c>
      <c r="B267" s="196" t="str">
        <f>IFERROR(INDEX('S15 Routing Clustered'!$A$3:$A$18, A267), "")</f>
        <v>I-071</v>
      </c>
      <c r="C267" s="3">
        <v>310</v>
      </c>
      <c r="D267" s="287" t="str">
        <f>IFERROR(HLOOKUP(C267, 'S15 Routing Clustered'!$B$2:$I$18,A267+1, 0), "")</f>
        <v/>
      </c>
      <c r="E267" s="287" t="str">
        <f t="shared" si="14"/>
        <v/>
      </c>
      <c r="F267" s="3" t="str">
        <f>IF(E267="", "", VLOOKUP(B267, 'S08 ABC Output'!$A$3:$C$18, 3, 0))</f>
        <v/>
      </c>
      <c r="I267" s="288" t="str">
        <f t="shared" si="13"/>
        <v>WS-30</v>
      </c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</row>
    <row r="268" spans="1:53" ht="17">
      <c r="A268" s="3">
        <v>6</v>
      </c>
      <c r="B268" s="196" t="str">
        <f>IFERROR(INDEX('S15 Routing Clustered'!$A$3:$A$18, A268), "")</f>
        <v>I-071</v>
      </c>
      <c r="C268" s="3">
        <v>320</v>
      </c>
      <c r="D268" s="287" t="str">
        <f>IFERROR(HLOOKUP(C268, 'S15 Routing Clustered'!$B$2:$I$18,A268+1, 0), "")</f>
        <v/>
      </c>
      <c r="E268" s="287" t="str">
        <f t="shared" si="14"/>
        <v/>
      </c>
      <c r="F268" s="3" t="str">
        <f>IF(E268="", "", VLOOKUP(B268, 'S08 ABC Output'!$A$3:$C$18, 3, 0))</f>
        <v/>
      </c>
      <c r="I268" s="288" t="str">
        <f t="shared" si="13"/>
        <v>WS-31</v>
      </c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</row>
    <row r="269" spans="1:53" ht="17">
      <c r="A269" s="3">
        <v>6</v>
      </c>
      <c r="B269" s="196" t="str">
        <f>IFERROR(INDEX('S15 Routing Clustered'!$A$3:$A$18, A269), "")</f>
        <v>I-071</v>
      </c>
      <c r="C269" s="3">
        <v>330</v>
      </c>
      <c r="D269" s="287" t="str">
        <f>IFERROR(HLOOKUP(C269, 'S15 Routing Clustered'!$B$2:$I$18,A269+1, 0), "")</f>
        <v/>
      </c>
      <c r="E269" s="287" t="str">
        <f t="shared" si="14"/>
        <v/>
      </c>
      <c r="F269" s="3" t="str">
        <f>IF(E269="", "", VLOOKUP(B269, 'S08 ABC Output'!$A$3:$C$18, 3, 0))</f>
        <v/>
      </c>
      <c r="I269" s="288" t="str">
        <f t="shared" si="13"/>
        <v>WS-32</v>
      </c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</row>
    <row r="270" spans="1:53" ht="17">
      <c r="A270" s="3">
        <v>6</v>
      </c>
      <c r="B270" s="196" t="str">
        <f>IFERROR(INDEX('S15 Routing Clustered'!$A$3:$A$18, A270), "")</f>
        <v>I-071</v>
      </c>
      <c r="C270" s="3">
        <v>340</v>
      </c>
      <c r="D270" s="287" t="str">
        <f>IFERROR(HLOOKUP(C270, 'S15 Routing Clustered'!$B$2:$I$18,A270+1, 0), "")</f>
        <v/>
      </c>
      <c r="E270" s="287" t="str">
        <f t="shared" si="14"/>
        <v/>
      </c>
      <c r="F270" s="3" t="str">
        <f>IF(E270="", "", VLOOKUP(B270, 'S08 ABC Output'!$A$3:$C$18, 3, 0))</f>
        <v/>
      </c>
      <c r="I270" s="288" t="str">
        <f t="shared" si="13"/>
        <v>WS-33</v>
      </c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</row>
    <row r="271" spans="1:53" ht="17">
      <c r="A271" s="3">
        <v>6</v>
      </c>
      <c r="B271" s="196" t="str">
        <f>IFERROR(INDEX('S15 Routing Clustered'!$A$3:$A$18, A271), "")</f>
        <v>I-071</v>
      </c>
      <c r="C271" s="3">
        <v>350</v>
      </c>
      <c r="D271" s="287" t="str">
        <f>IFERROR(HLOOKUP(C271, 'S15 Routing Clustered'!$B$2:$I$18,A271+1, 0), "")</f>
        <v/>
      </c>
      <c r="E271" s="287" t="str">
        <f t="shared" si="14"/>
        <v/>
      </c>
      <c r="F271" s="3" t="str">
        <f>IF(E271="", "", VLOOKUP(B271, 'S08 ABC Output'!$A$3:$C$18, 3, 0))</f>
        <v/>
      </c>
      <c r="I271" s="288" t="str">
        <f t="shared" si="13"/>
        <v>WS-34</v>
      </c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>
        <v>25649</v>
      </c>
    </row>
    <row r="272" spans="1:53" ht="17">
      <c r="A272" s="3">
        <v>6</v>
      </c>
      <c r="B272" s="196" t="str">
        <f>IFERROR(INDEX('S15 Routing Clustered'!$A$3:$A$18, A272), "")</f>
        <v>I-071</v>
      </c>
      <c r="C272" s="3">
        <v>360</v>
      </c>
      <c r="D272" s="287" t="str">
        <f>IFERROR(HLOOKUP(C272, 'S15 Routing Clustered'!$B$2:$I$18,A272+1, 0), "")</f>
        <v/>
      </c>
      <c r="E272" s="287" t="str">
        <f t="shared" si="14"/>
        <v/>
      </c>
      <c r="F272" s="3" t="str">
        <f>IF(E272="", "", VLOOKUP(B272, 'S08 ABC Output'!$A$3:$C$18, 3, 0))</f>
        <v/>
      </c>
      <c r="I272" s="288" t="str">
        <f t="shared" si="13"/>
        <v>WS-35</v>
      </c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</row>
    <row r="273" spans="1:53" ht="17">
      <c r="A273" s="3">
        <v>6</v>
      </c>
      <c r="B273" s="196" t="str">
        <f>IFERROR(INDEX('S15 Routing Clustered'!$A$3:$A$18, A273), "")</f>
        <v>I-071</v>
      </c>
      <c r="C273" s="3">
        <v>370</v>
      </c>
      <c r="D273" s="287" t="str">
        <f>IFERROR(HLOOKUP(C273, 'S15 Routing Clustered'!$B$2:$I$18,A273+1, 0), "")</f>
        <v/>
      </c>
      <c r="E273" s="287" t="str">
        <f t="shared" si="14"/>
        <v/>
      </c>
      <c r="F273" s="3" t="str">
        <f>IF(E273="", "", VLOOKUP(B273, 'S08 ABC Output'!$A$3:$C$18, 3, 0))</f>
        <v/>
      </c>
      <c r="I273" s="288" t="str">
        <f t="shared" si="13"/>
        <v>WS-36</v>
      </c>
      <c r="J273" s="3"/>
      <c r="K273" s="3"/>
      <c r="L273" s="3"/>
      <c r="M273" s="3"/>
      <c r="N273" s="3">
        <v>25649</v>
      </c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</row>
    <row r="274" spans="1:53" ht="17">
      <c r="A274" s="3">
        <v>6</v>
      </c>
      <c r="B274" s="196" t="str">
        <f>IFERROR(INDEX('S15 Routing Clustered'!$A$3:$A$18, A274), "")</f>
        <v>I-071</v>
      </c>
      <c r="C274" s="3">
        <v>380</v>
      </c>
      <c r="D274" s="287" t="str">
        <f>IFERROR(HLOOKUP(C274, 'S15 Routing Clustered'!$B$2:$I$18,A274+1, 0), "")</f>
        <v/>
      </c>
      <c r="E274" s="287" t="str">
        <f t="shared" si="14"/>
        <v/>
      </c>
      <c r="F274" s="3" t="str">
        <f>IF(E274="", "", VLOOKUP(B274, 'S08 ABC Output'!$A$3:$C$18, 3, 0))</f>
        <v/>
      </c>
      <c r="I274" s="288" t="str">
        <f t="shared" si="13"/>
        <v>WS-37</v>
      </c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</row>
    <row r="275" spans="1:53" ht="17">
      <c r="A275" s="3">
        <v>6</v>
      </c>
      <c r="B275" s="196" t="str">
        <f>IFERROR(INDEX('S15 Routing Clustered'!$A$3:$A$18, A275), "")</f>
        <v>I-071</v>
      </c>
      <c r="C275" s="3">
        <v>390</v>
      </c>
      <c r="D275" s="287" t="str">
        <f>IFERROR(HLOOKUP(C275, 'S15 Routing Clustered'!$B$2:$I$18,A275+1, 0), "")</f>
        <v/>
      </c>
      <c r="E275" s="287" t="str">
        <f t="shared" si="14"/>
        <v/>
      </c>
      <c r="F275" s="3" t="str">
        <f>IF(E275="", "", VLOOKUP(B275, 'S08 ABC Output'!$A$3:$C$18, 3, 0))</f>
        <v/>
      </c>
      <c r="I275" s="288" t="str">
        <f t="shared" si="13"/>
        <v>WS-38</v>
      </c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</row>
    <row r="276" spans="1:53" ht="17">
      <c r="A276" s="3">
        <v>6</v>
      </c>
      <c r="B276" s="196" t="str">
        <f>IFERROR(INDEX('S15 Routing Clustered'!$A$3:$A$18, A276), "")</f>
        <v>I-071</v>
      </c>
      <c r="C276" s="3">
        <v>400</v>
      </c>
      <c r="D276" s="287" t="str">
        <f>IFERROR(HLOOKUP(C276, 'S15 Routing Clustered'!$B$2:$I$18,A276+1, 0), "")</f>
        <v/>
      </c>
      <c r="E276" s="287" t="str">
        <f t="shared" si="14"/>
        <v/>
      </c>
      <c r="F276" s="3" t="str">
        <f>IF(E276="", "", VLOOKUP(B276, 'S08 ABC Output'!$A$3:$C$18, 3, 0))</f>
        <v/>
      </c>
      <c r="I276" s="288" t="str">
        <f t="shared" si="13"/>
        <v>WS-39</v>
      </c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</row>
    <row r="277" spans="1:53" ht="17">
      <c r="A277" s="3">
        <v>6</v>
      </c>
      <c r="B277" s="196" t="str">
        <f>IFERROR(INDEX('S15 Routing Clustered'!$A$3:$A$18, A277), "")</f>
        <v>I-071</v>
      </c>
      <c r="C277" s="3">
        <v>410</v>
      </c>
      <c r="D277" s="287" t="str">
        <f>IFERROR(HLOOKUP(C277, 'S15 Routing Clustered'!$B$2:$I$18,A277+1, 0), "")</f>
        <v/>
      </c>
      <c r="E277" s="287" t="str">
        <f t="shared" si="14"/>
        <v/>
      </c>
      <c r="F277" s="3" t="str">
        <f>IF(E277="", "", VLOOKUP(B277, 'S08 ABC Output'!$A$3:$C$18, 3, 0))</f>
        <v/>
      </c>
      <c r="I277" s="288" t="str">
        <f t="shared" si="13"/>
        <v>WS-40</v>
      </c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</row>
    <row r="278" spans="1:53" ht="17">
      <c r="A278" s="3">
        <v>6</v>
      </c>
      <c r="B278" s="196" t="str">
        <f>IFERROR(INDEX('S15 Routing Clustered'!$A$3:$A$18, A278), "")</f>
        <v>I-071</v>
      </c>
      <c r="C278" s="3">
        <v>420</v>
      </c>
      <c r="D278" s="287" t="str">
        <f>IFERROR(HLOOKUP(C278, 'S15 Routing Clustered'!$B$2:$I$18,A278+1, 0), "")</f>
        <v/>
      </c>
      <c r="E278" s="287" t="str">
        <f t="shared" si="14"/>
        <v/>
      </c>
      <c r="F278" s="3" t="str">
        <f>IF(E278="", "", VLOOKUP(B278, 'S08 ABC Output'!$A$3:$C$18, 3, 0))</f>
        <v/>
      </c>
      <c r="I278" s="288" t="str">
        <f t="shared" si="13"/>
        <v>WS-41</v>
      </c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</row>
    <row r="279" spans="1:53" ht="17">
      <c r="A279" s="3">
        <v>6</v>
      </c>
      <c r="B279" s="196" t="str">
        <f>IFERROR(INDEX('S15 Routing Clustered'!$A$3:$A$18, A279), "")</f>
        <v>I-071</v>
      </c>
      <c r="C279" s="3">
        <v>430</v>
      </c>
      <c r="D279" s="287" t="str">
        <f>IFERROR(HLOOKUP(C279, 'S15 Routing Clustered'!$B$2:$I$18,A279+1, 0), "")</f>
        <v/>
      </c>
      <c r="E279" s="287" t="str">
        <f t="shared" si="14"/>
        <v/>
      </c>
      <c r="F279" s="3" t="str">
        <f>IF(E279="", "", VLOOKUP(B279, 'S08 ABC Output'!$A$3:$C$18, 3, 0))</f>
        <v/>
      </c>
      <c r="I279" s="288" t="str">
        <f t="shared" si="13"/>
        <v>WS-42</v>
      </c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</row>
    <row r="280" spans="1:53" ht="17">
      <c r="A280" s="3">
        <v>6</v>
      </c>
      <c r="B280" s="196" t="str">
        <f>IFERROR(INDEX('S15 Routing Clustered'!$A$3:$A$18, A280), "")</f>
        <v>I-071</v>
      </c>
      <c r="C280" s="3">
        <v>440</v>
      </c>
      <c r="D280" s="287" t="str">
        <f>IFERROR(HLOOKUP(C280, 'S15 Routing Clustered'!$B$2:$I$18,A280+1, 0), "")</f>
        <v/>
      </c>
      <c r="E280" s="287" t="str">
        <f t="shared" si="14"/>
        <v/>
      </c>
      <c r="F280" s="3" t="str">
        <f>IF(E280="", "", VLOOKUP(B280, 'S08 ABC Output'!$A$3:$C$18, 3, 0))</f>
        <v/>
      </c>
      <c r="I280" s="288" t="str">
        <f t="shared" si="13"/>
        <v>WS-43</v>
      </c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>
        <v>25649</v>
      </c>
      <c r="AT280" s="3"/>
      <c r="AU280" s="3"/>
      <c r="AV280" s="3"/>
      <c r="AW280" s="3"/>
      <c r="AX280" s="3"/>
      <c r="AY280" s="3"/>
      <c r="AZ280" s="3"/>
      <c r="BA280" s="3"/>
    </row>
    <row r="281" spans="1:53" ht="17">
      <c r="A281" s="3">
        <v>6</v>
      </c>
      <c r="B281" s="196" t="str">
        <f>IFERROR(INDEX('S15 Routing Clustered'!$A$3:$A$18, A281), "")</f>
        <v>I-071</v>
      </c>
      <c r="C281" s="3">
        <v>450</v>
      </c>
      <c r="D281" s="287" t="str">
        <f>IFERROR(HLOOKUP(C281, 'S15 Routing Clustered'!$B$2:$I$18,A281+1, 0), "")</f>
        <v/>
      </c>
      <c r="E281" s="287" t="str">
        <f t="shared" si="14"/>
        <v/>
      </c>
      <c r="F281" s="3" t="str">
        <f>IF(E281="", "", VLOOKUP(B281, 'S08 ABC Output'!$A$3:$C$18, 3, 0))</f>
        <v/>
      </c>
      <c r="I281" s="288" t="str">
        <f t="shared" si="13"/>
        <v>WS-44</v>
      </c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</row>
    <row r="282" spans="1:53" ht="17">
      <c r="B282" s="196" t="str">
        <f>IFERROR(INDEX('S15 Routing Clustered'!$A$3:$A$18, A282), "")</f>
        <v/>
      </c>
      <c r="C282" s="159"/>
      <c r="D282" s="287" t="str">
        <f>IFERROR(HLOOKUP(C282, 'S15 Routing Clustered'!$B$2:$I$18,A282+1, 0), "")</f>
        <v/>
      </c>
      <c r="E282" s="287" t="str">
        <f t="shared" si="14"/>
        <v/>
      </c>
      <c r="F282" s="3" t="str">
        <f>IF(E282="", "", VLOOKUP(B282, 'S08 ABC Output'!$A$3:$C$18, 3, 0))</f>
        <v/>
      </c>
      <c r="I282" s="288"/>
    </row>
    <row r="283" spans="1:53" ht="17">
      <c r="B283" s="196" t="str">
        <f>IFERROR(INDEX('S15 Routing Clustered'!$A$3:$A$18, A283), "")</f>
        <v/>
      </c>
      <c r="C283" s="159"/>
      <c r="D283" s="287" t="str">
        <f>IFERROR(HLOOKUP(C283, 'S15 Routing Clustered'!$B$2:$I$18,A283+1, 0), "")</f>
        <v/>
      </c>
      <c r="E283" s="287" t="str">
        <f t="shared" si="14"/>
        <v/>
      </c>
      <c r="F283" s="3" t="str">
        <f>IF(E283="", "", VLOOKUP(B283, 'S08 ABC Output'!$A$3:$C$18, 3, 0))</f>
        <v/>
      </c>
      <c r="I283" s="288"/>
    </row>
    <row r="284" spans="1:53" ht="17">
      <c r="A284" s="3">
        <v>7</v>
      </c>
      <c r="B284" s="196" t="str">
        <f>IFERROR(INDEX('S15 Routing Clustered'!$A$3:$A$18, A284), "")</f>
        <v>I-037</v>
      </c>
      <c r="C284" s="3">
        <v>10</v>
      </c>
      <c r="D284" s="287" t="str">
        <f>IFERROR(HLOOKUP(C284, 'S15 Routing Clustered'!$B$2:$I$18,A284+1, 0), "")</f>
        <v>WS-43</v>
      </c>
      <c r="E284" s="287" t="str">
        <f t="shared" si="14"/>
        <v>WS-38</v>
      </c>
      <c r="F284" s="3">
        <f>IF(E284="", "", VLOOKUP(B284, 'S08 ABC Output'!$A$3:$C$18, 3, 0))</f>
        <v>125036</v>
      </c>
      <c r="I284" s="288"/>
      <c r="J284" s="288" t="str">
        <f>J237</f>
        <v>WS-01</v>
      </c>
      <c r="K284" s="288" t="str">
        <f t="shared" ref="K284:BA284" si="15">K237</f>
        <v>WS-02</v>
      </c>
      <c r="L284" s="288" t="str">
        <f t="shared" si="15"/>
        <v>WS-03</v>
      </c>
      <c r="M284" s="288" t="str">
        <f t="shared" si="15"/>
        <v>WS-04</v>
      </c>
      <c r="N284" s="288" t="str">
        <f t="shared" si="15"/>
        <v>WS-05</v>
      </c>
      <c r="O284" s="288" t="str">
        <f t="shared" si="15"/>
        <v>WS-06</v>
      </c>
      <c r="P284" s="288" t="str">
        <f t="shared" si="15"/>
        <v>WS-07</v>
      </c>
      <c r="Q284" s="288" t="str">
        <f t="shared" si="15"/>
        <v>WS-08</v>
      </c>
      <c r="R284" s="288" t="str">
        <f t="shared" si="15"/>
        <v>WS-09</v>
      </c>
      <c r="S284" s="288" t="str">
        <f t="shared" si="15"/>
        <v>WS-10</v>
      </c>
      <c r="T284" s="288" t="str">
        <f t="shared" si="15"/>
        <v>WS-11</v>
      </c>
      <c r="U284" s="288" t="str">
        <f t="shared" si="15"/>
        <v>WS-12</v>
      </c>
      <c r="V284" s="288" t="str">
        <f t="shared" si="15"/>
        <v>WS-13</v>
      </c>
      <c r="W284" s="288" t="str">
        <f t="shared" si="15"/>
        <v>WS-14</v>
      </c>
      <c r="X284" s="288" t="str">
        <f t="shared" si="15"/>
        <v>WS-15</v>
      </c>
      <c r="Y284" s="288" t="str">
        <f t="shared" si="15"/>
        <v>WS-16</v>
      </c>
      <c r="Z284" s="288" t="str">
        <f t="shared" si="15"/>
        <v>WS-17</v>
      </c>
      <c r="AA284" s="288" t="str">
        <f t="shared" si="15"/>
        <v>WS-18</v>
      </c>
      <c r="AB284" s="288" t="str">
        <f t="shared" si="15"/>
        <v>WS-19</v>
      </c>
      <c r="AC284" s="288" t="str">
        <f t="shared" si="15"/>
        <v>WS-20</v>
      </c>
      <c r="AD284" s="288" t="str">
        <f t="shared" si="15"/>
        <v>WS-21</v>
      </c>
      <c r="AE284" s="288" t="str">
        <f t="shared" si="15"/>
        <v>WS-22</v>
      </c>
      <c r="AF284" s="288" t="str">
        <f t="shared" si="15"/>
        <v>WS-23</v>
      </c>
      <c r="AG284" s="288" t="str">
        <f t="shared" si="15"/>
        <v>WS-24</v>
      </c>
      <c r="AH284" s="288" t="str">
        <f t="shared" si="15"/>
        <v>WS-25</v>
      </c>
      <c r="AI284" s="288" t="str">
        <f t="shared" si="15"/>
        <v>WS-26</v>
      </c>
      <c r="AJ284" s="288" t="str">
        <f t="shared" si="15"/>
        <v>WS-27</v>
      </c>
      <c r="AK284" s="288" t="str">
        <f t="shared" si="15"/>
        <v>WS-28</v>
      </c>
      <c r="AL284" s="288" t="str">
        <f t="shared" si="15"/>
        <v>WS-29</v>
      </c>
      <c r="AM284" s="288" t="str">
        <f t="shared" si="15"/>
        <v>WS-30</v>
      </c>
      <c r="AN284" s="288" t="str">
        <f t="shared" si="15"/>
        <v>WS-31</v>
      </c>
      <c r="AO284" s="288" t="str">
        <f t="shared" si="15"/>
        <v>WS-32</v>
      </c>
      <c r="AP284" s="288" t="str">
        <f t="shared" si="15"/>
        <v>WS-33</v>
      </c>
      <c r="AQ284" s="288" t="str">
        <f t="shared" si="15"/>
        <v>WS-34</v>
      </c>
      <c r="AR284" s="288" t="str">
        <f t="shared" si="15"/>
        <v>WS-35</v>
      </c>
      <c r="AS284" s="288" t="str">
        <f t="shared" si="15"/>
        <v>WS-36</v>
      </c>
      <c r="AT284" s="288" t="str">
        <f t="shared" si="15"/>
        <v>WS-37</v>
      </c>
      <c r="AU284" s="288" t="str">
        <f t="shared" si="15"/>
        <v>WS-38</v>
      </c>
      <c r="AV284" s="288" t="str">
        <f t="shared" si="15"/>
        <v>WS-39</v>
      </c>
      <c r="AW284" s="288" t="str">
        <f t="shared" si="15"/>
        <v>WS-40</v>
      </c>
      <c r="AX284" s="288" t="str">
        <f t="shared" si="15"/>
        <v>WS-41</v>
      </c>
      <c r="AY284" s="288" t="str">
        <f t="shared" si="15"/>
        <v>WS-42</v>
      </c>
      <c r="AZ284" s="288" t="str">
        <f t="shared" si="15"/>
        <v>WS-43</v>
      </c>
      <c r="BA284" s="288" t="str">
        <f t="shared" si="15"/>
        <v>WS-44</v>
      </c>
    </row>
    <row r="285" spans="1:53" ht="17">
      <c r="A285" s="3">
        <v>7</v>
      </c>
      <c r="B285" s="196" t="str">
        <f>IFERROR(INDEX('S15 Routing Clustered'!$A$3:$A$18, A285), "")</f>
        <v>I-037</v>
      </c>
      <c r="C285" s="3">
        <v>20</v>
      </c>
      <c r="D285" s="287" t="str">
        <f>IFERROR(HLOOKUP(C285, 'S15 Routing Clustered'!$B$2:$I$18,A285+1, 0), "")</f>
        <v>WS-38</v>
      </c>
      <c r="E285" s="287" t="str">
        <f t="shared" si="14"/>
        <v>WS-07</v>
      </c>
      <c r="F285" s="3">
        <f>IF(E285="", "", VLOOKUP(B285, 'S08 ABC Output'!$A$3:$C$18, 3, 0))</f>
        <v>125036</v>
      </c>
      <c r="I285" s="288" t="str">
        <f>I238</f>
        <v>WS-01</v>
      </c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</row>
    <row r="286" spans="1:53" ht="17">
      <c r="A286" s="3">
        <v>7</v>
      </c>
      <c r="B286" s="196" t="str">
        <f>IFERROR(INDEX('S15 Routing Clustered'!$A$3:$A$18, A286), "")</f>
        <v>I-037</v>
      </c>
      <c r="C286" s="3">
        <v>30</v>
      </c>
      <c r="D286" s="287" t="str">
        <f>IFERROR(HLOOKUP(C286, 'S15 Routing Clustered'!$B$2:$I$18,A286+1, 0), "")</f>
        <v>WS-07</v>
      </c>
      <c r="E286" s="287" t="str">
        <f t="shared" si="14"/>
        <v>WS-21</v>
      </c>
      <c r="F286" s="3">
        <f>IF(E286="", "", VLOOKUP(B286, 'S08 ABC Output'!$A$3:$C$18, 3, 0))</f>
        <v>125036</v>
      </c>
      <c r="I286" s="288" t="str">
        <f t="shared" ref="I286:I328" si="16">I239</f>
        <v>WS-02</v>
      </c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</row>
    <row r="287" spans="1:53" ht="17">
      <c r="A287" s="3">
        <v>7</v>
      </c>
      <c r="B287" s="196" t="str">
        <f>IFERROR(INDEX('S15 Routing Clustered'!$A$3:$A$18, A287), "")</f>
        <v>I-037</v>
      </c>
      <c r="C287" s="3">
        <v>40</v>
      </c>
      <c r="D287" s="287" t="str">
        <f>IFERROR(HLOOKUP(C287, 'S15 Routing Clustered'!$B$2:$I$18,A287+1, 0), "")</f>
        <v>WS-21</v>
      </c>
      <c r="E287" s="287" t="str">
        <f t="shared" si="14"/>
        <v>WS-28</v>
      </c>
      <c r="F287" s="3">
        <f>IF(E287="", "", VLOOKUP(B287, 'S08 ABC Output'!$A$3:$C$18, 3, 0))</f>
        <v>125036</v>
      </c>
      <c r="I287" s="288" t="str">
        <f t="shared" si="16"/>
        <v>WS-03</v>
      </c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</row>
    <row r="288" spans="1:53" ht="17">
      <c r="A288" s="3">
        <v>7</v>
      </c>
      <c r="B288" s="196" t="str">
        <f>IFERROR(INDEX('S15 Routing Clustered'!$A$3:$A$18, A288), "")</f>
        <v>I-037</v>
      </c>
      <c r="C288" s="3">
        <v>50</v>
      </c>
      <c r="D288" s="287" t="str">
        <f>IFERROR(HLOOKUP(C288, 'S15 Routing Clustered'!$B$2:$I$18,A288+1, 0), "")</f>
        <v>WS-28</v>
      </c>
      <c r="E288" s="287" t="str">
        <f t="shared" si="14"/>
        <v>WS-27</v>
      </c>
      <c r="F288" s="3">
        <f>IF(E288="", "", VLOOKUP(B288, 'S08 ABC Output'!$A$3:$C$18, 3, 0))</f>
        <v>125036</v>
      </c>
      <c r="I288" s="288" t="str">
        <f t="shared" si="16"/>
        <v>WS-04</v>
      </c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</row>
    <row r="289" spans="1:53" ht="17">
      <c r="A289" s="3">
        <v>7</v>
      </c>
      <c r="B289" s="196" t="str">
        <f>IFERROR(INDEX('S15 Routing Clustered'!$A$3:$A$18, A289), "")</f>
        <v>I-037</v>
      </c>
      <c r="C289" s="3">
        <v>60</v>
      </c>
      <c r="D289" s="287" t="str">
        <f>IFERROR(HLOOKUP(C289, 'S15 Routing Clustered'!$B$2:$I$18,A289+1, 0), "")</f>
        <v>WS-27</v>
      </c>
      <c r="E289" s="287" t="str">
        <f t="shared" si="14"/>
        <v>WS-32</v>
      </c>
      <c r="F289" s="3">
        <f>IF(E289="", "", VLOOKUP(B289, 'S08 ABC Output'!$A$3:$C$18, 3, 0))</f>
        <v>125036</v>
      </c>
      <c r="I289" s="288" t="str">
        <f t="shared" si="16"/>
        <v>WS-05</v>
      </c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</row>
    <row r="290" spans="1:53" ht="17">
      <c r="A290" s="3">
        <v>7</v>
      </c>
      <c r="B290" s="196" t="str">
        <f>IFERROR(INDEX('S15 Routing Clustered'!$A$3:$A$18, A290), "")</f>
        <v>I-037</v>
      </c>
      <c r="C290" s="3">
        <v>70</v>
      </c>
      <c r="D290" s="287" t="str">
        <f>IFERROR(HLOOKUP(C290, 'S15 Routing Clustered'!$B$2:$I$18,A290+1, 0), "")</f>
        <v>WS-32</v>
      </c>
      <c r="E290" s="287" t="str">
        <f t="shared" si="14"/>
        <v>WS-44</v>
      </c>
      <c r="F290" s="3">
        <f>IF(E290="", "", VLOOKUP(B290, 'S08 ABC Output'!$A$3:$C$18, 3, 0))</f>
        <v>125036</v>
      </c>
      <c r="I290" s="288" t="str">
        <f t="shared" si="16"/>
        <v>WS-06</v>
      </c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</row>
    <row r="291" spans="1:53" ht="17">
      <c r="A291" s="3">
        <v>7</v>
      </c>
      <c r="B291" s="196" t="str">
        <f>IFERROR(INDEX('S15 Routing Clustered'!$A$3:$A$18, A291), "")</f>
        <v>I-037</v>
      </c>
      <c r="C291" s="3">
        <v>80</v>
      </c>
      <c r="D291" s="287" t="str">
        <f>IFERROR(HLOOKUP(C291, 'S15 Routing Clustered'!$B$2:$I$18,A291+1, 0), "")</f>
        <v>WS-44</v>
      </c>
      <c r="E291" s="287" t="str">
        <f t="shared" si="14"/>
        <v/>
      </c>
      <c r="F291" s="3" t="str">
        <f>IF(E291="", "", VLOOKUP(B291, 'S08 ABC Output'!$A$3:$C$18, 3, 0))</f>
        <v/>
      </c>
      <c r="I291" s="288" t="str">
        <f t="shared" si="16"/>
        <v>WS-07</v>
      </c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>
        <v>125036</v>
      </c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</row>
    <row r="292" spans="1:53" ht="17">
      <c r="A292" s="3">
        <v>7</v>
      </c>
      <c r="B292" s="196" t="str">
        <f>IFERROR(INDEX('S15 Routing Clustered'!$A$3:$A$18, A292), "")</f>
        <v>I-037</v>
      </c>
      <c r="C292" s="3">
        <v>90</v>
      </c>
      <c r="D292" s="287" t="str">
        <f>IFERROR(HLOOKUP(C292, 'S15 Routing Clustered'!$B$2:$I$18,A292+1, 0), "")</f>
        <v/>
      </c>
      <c r="E292" s="287" t="str">
        <f t="shared" si="14"/>
        <v/>
      </c>
      <c r="F292" s="3" t="str">
        <f>IF(E292="", "", VLOOKUP(B292, 'S08 ABC Output'!$A$3:$C$18, 3, 0))</f>
        <v/>
      </c>
      <c r="I292" s="288" t="str">
        <f t="shared" si="16"/>
        <v>WS-08</v>
      </c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</row>
    <row r="293" spans="1:53" ht="17">
      <c r="A293" s="3">
        <v>7</v>
      </c>
      <c r="B293" s="196" t="str">
        <f>IFERROR(INDEX('S15 Routing Clustered'!$A$3:$A$18, A293), "")</f>
        <v>I-037</v>
      </c>
      <c r="C293" s="3">
        <v>100</v>
      </c>
      <c r="D293" s="287" t="str">
        <f>IFERROR(HLOOKUP(C293, 'S15 Routing Clustered'!$B$2:$I$18,A293+1, 0), "")</f>
        <v/>
      </c>
      <c r="E293" s="287" t="str">
        <f t="shared" si="14"/>
        <v/>
      </c>
      <c r="F293" s="3" t="str">
        <f>IF(E293="", "", VLOOKUP(B293, 'S08 ABC Output'!$A$3:$C$18, 3, 0))</f>
        <v/>
      </c>
      <c r="I293" s="288" t="str">
        <f t="shared" si="16"/>
        <v>WS-09</v>
      </c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</row>
    <row r="294" spans="1:53" ht="17">
      <c r="A294" s="3">
        <v>7</v>
      </c>
      <c r="B294" s="196" t="str">
        <f>IFERROR(INDEX('S15 Routing Clustered'!$A$3:$A$18, A294), "")</f>
        <v>I-037</v>
      </c>
      <c r="C294" s="3">
        <v>110</v>
      </c>
      <c r="D294" s="287" t="str">
        <f>IFERROR(HLOOKUP(C294, 'S15 Routing Clustered'!$B$2:$I$18,A294+1, 0), "")</f>
        <v/>
      </c>
      <c r="E294" s="287" t="str">
        <f t="shared" si="14"/>
        <v/>
      </c>
      <c r="F294" s="3" t="str">
        <f>IF(E294="", "", VLOOKUP(B294, 'S08 ABC Output'!$A$3:$C$18, 3, 0))</f>
        <v/>
      </c>
      <c r="I294" s="288" t="str">
        <f t="shared" si="16"/>
        <v>WS-10</v>
      </c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</row>
    <row r="295" spans="1:53" ht="17">
      <c r="A295" s="3">
        <v>7</v>
      </c>
      <c r="B295" s="196" t="str">
        <f>IFERROR(INDEX('S15 Routing Clustered'!$A$3:$A$18, A295), "")</f>
        <v>I-037</v>
      </c>
      <c r="C295" s="3">
        <v>120</v>
      </c>
      <c r="D295" s="287" t="str">
        <f>IFERROR(HLOOKUP(C295, 'S15 Routing Clustered'!$B$2:$I$18,A295+1, 0), "")</f>
        <v/>
      </c>
      <c r="E295" s="287" t="str">
        <f t="shared" si="14"/>
        <v/>
      </c>
      <c r="F295" s="3" t="str">
        <f>IF(E295="", "", VLOOKUP(B295, 'S08 ABC Output'!$A$3:$C$18, 3, 0))</f>
        <v/>
      </c>
      <c r="I295" s="288" t="str">
        <f t="shared" si="16"/>
        <v>WS-11</v>
      </c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</row>
    <row r="296" spans="1:53" ht="17">
      <c r="A296" s="3">
        <v>7</v>
      </c>
      <c r="B296" s="196" t="str">
        <f>IFERROR(INDEX('S15 Routing Clustered'!$A$3:$A$18, A296), "")</f>
        <v>I-037</v>
      </c>
      <c r="C296" s="3">
        <v>130</v>
      </c>
      <c r="D296" s="287" t="str">
        <f>IFERROR(HLOOKUP(C296, 'S15 Routing Clustered'!$B$2:$I$18,A296+1, 0), "")</f>
        <v/>
      </c>
      <c r="E296" s="287" t="str">
        <f t="shared" si="14"/>
        <v/>
      </c>
      <c r="F296" s="3" t="str">
        <f>IF(E296="", "", VLOOKUP(B296, 'S08 ABC Output'!$A$3:$C$18, 3, 0))</f>
        <v/>
      </c>
      <c r="I296" s="288" t="str">
        <f t="shared" si="16"/>
        <v>WS-12</v>
      </c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</row>
    <row r="297" spans="1:53" ht="17">
      <c r="A297" s="3">
        <v>7</v>
      </c>
      <c r="B297" s="196" t="str">
        <f>IFERROR(INDEX('S15 Routing Clustered'!$A$3:$A$18, A297), "")</f>
        <v>I-037</v>
      </c>
      <c r="C297" s="3">
        <v>140</v>
      </c>
      <c r="D297" s="287" t="str">
        <f>IFERROR(HLOOKUP(C297, 'S15 Routing Clustered'!$B$2:$I$18,A297+1, 0), "")</f>
        <v/>
      </c>
      <c r="E297" s="287" t="str">
        <f t="shared" si="14"/>
        <v/>
      </c>
      <c r="F297" s="3" t="str">
        <f>IF(E297="", "", VLOOKUP(B297, 'S08 ABC Output'!$A$3:$C$18, 3, 0))</f>
        <v/>
      </c>
      <c r="I297" s="288" t="str">
        <f t="shared" si="16"/>
        <v>WS-13</v>
      </c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</row>
    <row r="298" spans="1:53" ht="17">
      <c r="A298" s="3">
        <v>7</v>
      </c>
      <c r="B298" s="196" t="str">
        <f>IFERROR(INDEX('S15 Routing Clustered'!$A$3:$A$18, A298), "")</f>
        <v>I-037</v>
      </c>
      <c r="C298" s="3">
        <v>150</v>
      </c>
      <c r="D298" s="287" t="str">
        <f>IFERROR(HLOOKUP(C298, 'S15 Routing Clustered'!$B$2:$I$18,A298+1, 0), "")</f>
        <v/>
      </c>
      <c r="E298" s="287" t="str">
        <f t="shared" si="14"/>
        <v/>
      </c>
      <c r="F298" s="3" t="str">
        <f>IF(E298="", "", VLOOKUP(B298, 'S08 ABC Output'!$A$3:$C$18, 3, 0))</f>
        <v/>
      </c>
      <c r="I298" s="288" t="str">
        <f t="shared" si="16"/>
        <v>WS-14</v>
      </c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</row>
    <row r="299" spans="1:53" ht="17">
      <c r="A299" s="3">
        <v>7</v>
      </c>
      <c r="B299" s="196" t="str">
        <f>IFERROR(INDEX('S15 Routing Clustered'!$A$3:$A$18, A299), "")</f>
        <v>I-037</v>
      </c>
      <c r="C299" s="3">
        <v>160</v>
      </c>
      <c r="D299" s="287" t="str">
        <f>IFERROR(HLOOKUP(C299, 'S15 Routing Clustered'!$B$2:$I$18,A299+1, 0), "")</f>
        <v/>
      </c>
      <c r="E299" s="287" t="str">
        <f t="shared" si="14"/>
        <v/>
      </c>
      <c r="F299" s="3" t="str">
        <f>IF(E299="", "", VLOOKUP(B299, 'S08 ABC Output'!$A$3:$C$18, 3, 0))</f>
        <v/>
      </c>
      <c r="I299" s="288" t="str">
        <f t="shared" si="16"/>
        <v>WS-15</v>
      </c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</row>
    <row r="300" spans="1:53" ht="17">
      <c r="A300" s="3">
        <v>7</v>
      </c>
      <c r="B300" s="196" t="str">
        <f>IFERROR(INDEX('S15 Routing Clustered'!$A$3:$A$18, A300), "")</f>
        <v>I-037</v>
      </c>
      <c r="C300" s="3">
        <v>170</v>
      </c>
      <c r="D300" s="287" t="str">
        <f>IFERROR(HLOOKUP(C300, 'S15 Routing Clustered'!$B$2:$I$18,A300+1, 0), "")</f>
        <v/>
      </c>
      <c r="E300" s="287" t="str">
        <f t="shared" si="14"/>
        <v/>
      </c>
      <c r="F300" s="3" t="str">
        <f>IF(E300="", "", VLOOKUP(B300, 'S08 ABC Output'!$A$3:$C$18, 3, 0))</f>
        <v/>
      </c>
      <c r="I300" s="288" t="str">
        <f t="shared" si="16"/>
        <v>WS-16</v>
      </c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</row>
    <row r="301" spans="1:53" ht="17">
      <c r="A301" s="3">
        <v>7</v>
      </c>
      <c r="B301" s="196" t="str">
        <f>IFERROR(INDEX('S15 Routing Clustered'!$A$3:$A$18, A301), "")</f>
        <v>I-037</v>
      </c>
      <c r="C301" s="3">
        <v>180</v>
      </c>
      <c r="D301" s="287" t="str">
        <f>IFERROR(HLOOKUP(C301, 'S15 Routing Clustered'!$B$2:$I$18,A301+1, 0), "")</f>
        <v/>
      </c>
      <c r="E301" s="287" t="str">
        <f t="shared" si="14"/>
        <v/>
      </c>
      <c r="F301" s="3" t="str">
        <f>IF(E301="", "", VLOOKUP(B301, 'S08 ABC Output'!$A$3:$C$18, 3, 0))</f>
        <v/>
      </c>
      <c r="I301" s="288" t="str">
        <f t="shared" si="16"/>
        <v>WS-17</v>
      </c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</row>
    <row r="302" spans="1:53" ht="17">
      <c r="A302" s="3">
        <v>7</v>
      </c>
      <c r="B302" s="196" t="str">
        <f>IFERROR(INDEX('S15 Routing Clustered'!$A$3:$A$18, A302), "")</f>
        <v>I-037</v>
      </c>
      <c r="C302" s="3">
        <v>190</v>
      </c>
      <c r="D302" s="287" t="str">
        <f>IFERROR(HLOOKUP(C302, 'S15 Routing Clustered'!$B$2:$I$18,A302+1, 0), "")</f>
        <v/>
      </c>
      <c r="E302" s="287" t="str">
        <f t="shared" si="14"/>
        <v/>
      </c>
      <c r="F302" s="3" t="str">
        <f>IF(E302="", "", VLOOKUP(B302, 'S08 ABC Output'!$A$3:$C$18, 3, 0))</f>
        <v/>
      </c>
      <c r="I302" s="288" t="str">
        <f t="shared" si="16"/>
        <v>WS-18</v>
      </c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</row>
    <row r="303" spans="1:53" ht="17">
      <c r="A303" s="3">
        <v>7</v>
      </c>
      <c r="B303" s="196" t="str">
        <f>IFERROR(INDEX('S15 Routing Clustered'!$A$3:$A$18, A303), "")</f>
        <v>I-037</v>
      </c>
      <c r="C303" s="3">
        <v>200</v>
      </c>
      <c r="D303" s="287" t="str">
        <f>IFERROR(HLOOKUP(C303, 'S15 Routing Clustered'!$B$2:$I$18,A303+1, 0), "")</f>
        <v/>
      </c>
      <c r="E303" s="287" t="str">
        <f t="shared" si="14"/>
        <v/>
      </c>
      <c r="F303" s="3" t="str">
        <f>IF(E303="", "", VLOOKUP(B303, 'S08 ABC Output'!$A$3:$C$18, 3, 0))</f>
        <v/>
      </c>
      <c r="I303" s="288" t="str">
        <f t="shared" si="16"/>
        <v>WS-19</v>
      </c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</row>
    <row r="304" spans="1:53" ht="17">
      <c r="A304" s="3">
        <v>7</v>
      </c>
      <c r="B304" s="196" t="str">
        <f>IFERROR(INDEX('S15 Routing Clustered'!$A$3:$A$18, A304), "")</f>
        <v>I-037</v>
      </c>
      <c r="C304" s="3">
        <v>210</v>
      </c>
      <c r="D304" s="287" t="str">
        <f>IFERROR(HLOOKUP(C304, 'S15 Routing Clustered'!$B$2:$I$18,A304+1, 0), "")</f>
        <v/>
      </c>
      <c r="E304" s="287" t="str">
        <f t="shared" si="14"/>
        <v/>
      </c>
      <c r="F304" s="3" t="str">
        <f>IF(E304="", "", VLOOKUP(B304, 'S08 ABC Output'!$A$3:$C$18, 3, 0))</f>
        <v/>
      </c>
      <c r="I304" s="288" t="str">
        <f t="shared" si="16"/>
        <v>WS-20</v>
      </c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</row>
    <row r="305" spans="1:53" ht="17">
      <c r="A305" s="3">
        <v>7</v>
      </c>
      <c r="B305" s="196" t="str">
        <f>IFERROR(INDEX('S15 Routing Clustered'!$A$3:$A$18, A305), "")</f>
        <v>I-037</v>
      </c>
      <c r="C305" s="3">
        <v>220</v>
      </c>
      <c r="D305" s="287" t="str">
        <f>IFERROR(HLOOKUP(C305, 'S15 Routing Clustered'!$B$2:$I$18,A305+1, 0), "")</f>
        <v/>
      </c>
      <c r="E305" s="287" t="str">
        <f t="shared" si="14"/>
        <v/>
      </c>
      <c r="F305" s="3" t="str">
        <f>IF(E305="", "", VLOOKUP(B305, 'S08 ABC Output'!$A$3:$C$18, 3, 0))</f>
        <v/>
      </c>
      <c r="I305" s="288" t="str">
        <f t="shared" si="16"/>
        <v>WS-21</v>
      </c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>
        <v>125036</v>
      </c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</row>
    <row r="306" spans="1:53" ht="17">
      <c r="A306" s="3">
        <v>7</v>
      </c>
      <c r="B306" s="196" t="str">
        <f>IFERROR(INDEX('S15 Routing Clustered'!$A$3:$A$18, A306), "")</f>
        <v>I-037</v>
      </c>
      <c r="C306" s="3">
        <v>230</v>
      </c>
      <c r="D306" s="287" t="str">
        <f>IFERROR(HLOOKUP(C306, 'S15 Routing Clustered'!$B$2:$I$18,A306+1, 0), "")</f>
        <v/>
      </c>
      <c r="E306" s="287" t="str">
        <f t="shared" si="14"/>
        <v/>
      </c>
      <c r="F306" s="3" t="str">
        <f>IF(E306="", "", VLOOKUP(B306, 'S08 ABC Output'!$A$3:$C$18, 3, 0))</f>
        <v/>
      </c>
      <c r="I306" s="288" t="str">
        <f t="shared" si="16"/>
        <v>WS-22</v>
      </c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</row>
    <row r="307" spans="1:53" ht="17">
      <c r="A307" s="3">
        <v>7</v>
      </c>
      <c r="B307" s="196" t="str">
        <f>IFERROR(INDEX('S15 Routing Clustered'!$A$3:$A$18, A307), "")</f>
        <v>I-037</v>
      </c>
      <c r="C307" s="3">
        <v>240</v>
      </c>
      <c r="D307" s="287" t="str">
        <f>IFERROR(HLOOKUP(C307, 'S15 Routing Clustered'!$B$2:$I$18,A307+1, 0), "")</f>
        <v/>
      </c>
      <c r="E307" s="287" t="str">
        <f t="shared" si="14"/>
        <v/>
      </c>
      <c r="F307" s="3" t="str">
        <f>IF(E307="", "", VLOOKUP(B307, 'S08 ABC Output'!$A$3:$C$18, 3, 0))</f>
        <v/>
      </c>
      <c r="I307" s="288" t="str">
        <f t="shared" si="16"/>
        <v>WS-23</v>
      </c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</row>
    <row r="308" spans="1:53" ht="17">
      <c r="A308" s="3">
        <v>7</v>
      </c>
      <c r="B308" s="196" t="str">
        <f>IFERROR(INDEX('S15 Routing Clustered'!$A$3:$A$18, A308), "")</f>
        <v>I-037</v>
      </c>
      <c r="C308" s="3">
        <v>250</v>
      </c>
      <c r="D308" s="287" t="str">
        <f>IFERROR(HLOOKUP(C308, 'S15 Routing Clustered'!$B$2:$I$18,A308+1, 0), "")</f>
        <v/>
      </c>
      <c r="E308" s="287" t="str">
        <f t="shared" si="14"/>
        <v/>
      </c>
      <c r="F308" s="3" t="str">
        <f>IF(E308="", "", VLOOKUP(B308, 'S08 ABC Output'!$A$3:$C$18, 3, 0))</f>
        <v/>
      </c>
      <c r="I308" s="288" t="str">
        <f t="shared" si="16"/>
        <v>WS-24</v>
      </c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</row>
    <row r="309" spans="1:53" ht="17">
      <c r="A309" s="3">
        <v>7</v>
      </c>
      <c r="B309" s="196" t="str">
        <f>IFERROR(INDEX('S15 Routing Clustered'!$A$3:$A$18, A309), "")</f>
        <v>I-037</v>
      </c>
      <c r="C309" s="3">
        <v>260</v>
      </c>
      <c r="D309" s="287" t="str">
        <f>IFERROR(HLOOKUP(C309, 'S15 Routing Clustered'!$B$2:$I$18,A309+1, 0), "")</f>
        <v/>
      </c>
      <c r="E309" s="287" t="str">
        <f t="shared" si="14"/>
        <v/>
      </c>
      <c r="F309" s="3" t="str">
        <f>IF(E309="", "", VLOOKUP(B309, 'S08 ABC Output'!$A$3:$C$18, 3, 0))</f>
        <v/>
      </c>
      <c r="I309" s="288" t="str">
        <f t="shared" si="16"/>
        <v>WS-25</v>
      </c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</row>
    <row r="310" spans="1:53" ht="17">
      <c r="A310" s="3">
        <v>7</v>
      </c>
      <c r="B310" s="196" t="str">
        <f>IFERROR(INDEX('S15 Routing Clustered'!$A$3:$A$18, A310), "")</f>
        <v>I-037</v>
      </c>
      <c r="C310" s="3">
        <v>270</v>
      </c>
      <c r="D310" s="287" t="str">
        <f>IFERROR(HLOOKUP(C310, 'S15 Routing Clustered'!$B$2:$I$18,A310+1, 0), "")</f>
        <v/>
      </c>
      <c r="E310" s="287" t="str">
        <f t="shared" si="14"/>
        <v/>
      </c>
      <c r="F310" s="3" t="str">
        <f>IF(E310="", "", VLOOKUP(B310, 'S08 ABC Output'!$A$3:$C$18, 3, 0))</f>
        <v/>
      </c>
      <c r="I310" s="288" t="str">
        <f t="shared" si="16"/>
        <v>WS-26</v>
      </c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</row>
    <row r="311" spans="1:53" ht="17">
      <c r="A311" s="3">
        <v>7</v>
      </c>
      <c r="B311" s="196" t="str">
        <f>IFERROR(INDEX('S15 Routing Clustered'!$A$3:$A$18, A311), "")</f>
        <v>I-037</v>
      </c>
      <c r="C311" s="3">
        <v>280</v>
      </c>
      <c r="D311" s="287" t="str">
        <f>IFERROR(HLOOKUP(C311, 'S15 Routing Clustered'!$B$2:$I$18,A311+1, 0), "")</f>
        <v/>
      </c>
      <c r="E311" s="287" t="str">
        <f t="shared" si="14"/>
        <v/>
      </c>
      <c r="F311" s="3" t="str">
        <f>IF(E311="", "", VLOOKUP(B311, 'S08 ABC Output'!$A$3:$C$18, 3, 0))</f>
        <v/>
      </c>
      <c r="I311" s="288" t="str">
        <f t="shared" si="16"/>
        <v>WS-27</v>
      </c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>
        <v>125036</v>
      </c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</row>
    <row r="312" spans="1:53" ht="17">
      <c r="A312" s="3">
        <v>7</v>
      </c>
      <c r="B312" s="196" t="str">
        <f>IFERROR(INDEX('S15 Routing Clustered'!$A$3:$A$18, A312), "")</f>
        <v>I-037</v>
      </c>
      <c r="C312" s="3">
        <v>290</v>
      </c>
      <c r="D312" s="287" t="str">
        <f>IFERROR(HLOOKUP(C312, 'S15 Routing Clustered'!$B$2:$I$18,A312+1, 0), "")</f>
        <v/>
      </c>
      <c r="E312" s="287" t="str">
        <f t="shared" si="14"/>
        <v/>
      </c>
      <c r="F312" s="3" t="str">
        <f>IF(E312="", "", VLOOKUP(B312, 'S08 ABC Output'!$A$3:$C$18, 3, 0))</f>
        <v/>
      </c>
      <c r="I312" s="288" t="str">
        <f t="shared" si="16"/>
        <v>WS-28</v>
      </c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>
        <v>125036</v>
      </c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</row>
    <row r="313" spans="1:53" ht="17">
      <c r="A313" s="3">
        <v>7</v>
      </c>
      <c r="B313" s="196" t="str">
        <f>IFERROR(INDEX('S15 Routing Clustered'!$A$3:$A$18, A313), "")</f>
        <v>I-037</v>
      </c>
      <c r="C313" s="3">
        <v>300</v>
      </c>
      <c r="D313" s="287" t="str">
        <f>IFERROR(HLOOKUP(C313, 'S15 Routing Clustered'!$B$2:$I$18,A313+1, 0), "")</f>
        <v/>
      </c>
      <c r="E313" s="287" t="str">
        <f t="shared" si="14"/>
        <v/>
      </c>
      <c r="F313" s="3" t="str">
        <f>IF(E313="", "", VLOOKUP(B313, 'S08 ABC Output'!$A$3:$C$18, 3, 0))</f>
        <v/>
      </c>
      <c r="I313" s="288" t="str">
        <f t="shared" si="16"/>
        <v>WS-29</v>
      </c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</row>
    <row r="314" spans="1:53" ht="17">
      <c r="A314" s="3">
        <v>7</v>
      </c>
      <c r="B314" s="196" t="str">
        <f>IFERROR(INDEX('S15 Routing Clustered'!$A$3:$A$18, A314), "")</f>
        <v>I-037</v>
      </c>
      <c r="C314" s="3">
        <v>310</v>
      </c>
      <c r="D314" s="287" t="str">
        <f>IFERROR(HLOOKUP(C314, 'S15 Routing Clustered'!$B$2:$I$18,A314+1, 0), "")</f>
        <v/>
      </c>
      <c r="E314" s="287" t="str">
        <f t="shared" si="14"/>
        <v/>
      </c>
      <c r="F314" s="3" t="str">
        <f>IF(E314="", "", VLOOKUP(B314, 'S08 ABC Output'!$A$3:$C$18, 3, 0))</f>
        <v/>
      </c>
      <c r="I314" s="288" t="str">
        <f t="shared" si="16"/>
        <v>WS-30</v>
      </c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</row>
    <row r="315" spans="1:53" ht="17">
      <c r="A315" s="3">
        <v>7</v>
      </c>
      <c r="B315" s="196" t="str">
        <f>IFERROR(INDEX('S15 Routing Clustered'!$A$3:$A$18, A315), "")</f>
        <v>I-037</v>
      </c>
      <c r="C315" s="3">
        <v>320</v>
      </c>
      <c r="D315" s="287" t="str">
        <f>IFERROR(HLOOKUP(C315, 'S15 Routing Clustered'!$B$2:$I$18,A315+1, 0), "")</f>
        <v/>
      </c>
      <c r="E315" s="287" t="str">
        <f t="shared" si="14"/>
        <v/>
      </c>
      <c r="F315" s="3" t="str">
        <f>IF(E315="", "", VLOOKUP(B315, 'S08 ABC Output'!$A$3:$C$18, 3, 0))</f>
        <v/>
      </c>
      <c r="I315" s="288" t="str">
        <f t="shared" si="16"/>
        <v>WS-31</v>
      </c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</row>
    <row r="316" spans="1:53" ht="17">
      <c r="A316" s="3">
        <v>7</v>
      </c>
      <c r="B316" s="196" t="str">
        <f>IFERROR(INDEX('S15 Routing Clustered'!$A$3:$A$18, A316), "")</f>
        <v>I-037</v>
      </c>
      <c r="C316" s="3">
        <v>330</v>
      </c>
      <c r="D316" s="287" t="str">
        <f>IFERROR(HLOOKUP(C316, 'S15 Routing Clustered'!$B$2:$I$18,A316+1, 0), "")</f>
        <v/>
      </c>
      <c r="E316" s="287" t="str">
        <f t="shared" si="14"/>
        <v/>
      </c>
      <c r="F316" s="3" t="str">
        <f>IF(E316="", "", VLOOKUP(B316, 'S08 ABC Output'!$A$3:$C$18, 3, 0))</f>
        <v/>
      </c>
      <c r="I316" s="288" t="str">
        <f t="shared" si="16"/>
        <v>WS-32</v>
      </c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>
        <v>125036</v>
      </c>
    </row>
    <row r="317" spans="1:53" ht="17">
      <c r="A317" s="3">
        <v>7</v>
      </c>
      <c r="B317" s="196" t="str">
        <f>IFERROR(INDEX('S15 Routing Clustered'!$A$3:$A$18, A317), "")</f>
        <v>I-037</v>
      </c>
      <c r="C317" s="3">
        <v>340</v>
      </c>
      <c r="D317" s="287" t="str">
        <f>IFERROR(HLOOKUP(C317, 'S15 Routing Clustered'!$B$2:$I$18,A317+1, 0), "")</f>
        <v/>
      </c>
      <c r="E317" s="287" t="str">
        <f t="shared" si="14"/>
        <v/>
      </c>
      <c r="F317" s="3" t="str">
        <f>IF(E317="", "", VLOOKUP(B317, 'S08 ABC Output'!$A$3:$C$18, 3, 0))</f>
        <v/>
      </c>
      <c r="I317" s="288" t="str">
        <f t="shared" si="16"/>
        <v>WS-33</v>
      </c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</row>
    <row r="318" spans="1:53" ht="17">
      <c r="A318" s="3">
        <v>7</v>
      </c>
      <c r="B318" s="196" t="str">
        <f>IFERROR(INDEX('S15 Routing Clustered'!$A$3:$A$18, A318), "")</f>
        <v>I-037</v>
      </c>
      <c r="C318" s="3">
        <v>350</v>
      </c>
      <c r="D318" s="287" t="str">
        <f>IFERROR(HLOOKUP(C318, 'S15 Routing Clustered'!$B$2:$I$18,A318+1, 0), "")</f>
        <v/>
      </c>
      <c r="E318" s="287" t="str">
        <f t="shared" si="14"/>
        <v/>
      </c>
      <c r="F318" s="3" t="str">
        <f>IF(E318="", "", VLOOKUP(B318, 'S08 ABC Output'!$A$3:$C$18, 3, 0))</f>
        <v/>
      </c>
      <c r="I318" s="288" t="str">
        <f t="shared" si="16"/>
        <v>WS-34</v>
      </c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</row>
    <row r="319" spans="1:53" ht="17">
      <c r="A319" s="3">
        <v>7</v>
      </c>
      <c r="B319" s="196" t="str">
        <f>IFERROR(INDEX('S15 Routing Clustered'!$A$3:$A$18, A319), "")</f>
        <v>I-037</v>
      </c>
      <c r="C319" s="3">
        <v>360</v>
      </c>
      <c r="D319" s="287" t="str">
        <f>IFERROR(HLOOKUP(C319, 'S15 Routing Clustered'!$B$2:$I$18,A319+1, 0), "")</f>
        <v/>
      </c>
      <c r="E319" s="287" t="str">
        <f t="shared" si="14"/>
        <v/>
      </c>
      <c r="F319" s="3" t="str">
        <f>IF(E319="", "", VLOOKUP(B319, 'S08 ABC Output'!$A$3:$C$18, 3, 0))</f>
        <v/>
      </c>
      <c r="I319" s="288" t="str">
        <f t="shared" si="16"/>
        <v>WS-35</v>
      </c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</row>
    <row r="320" spans="1:53" ht="17">
      <c r="A320" s="3">
        <v>7</v>
      </c>
      <c r="B320" s="196" t="str">
        <f>IFERROR(INDEX('S15 Routing Clustered'!$A$3:$A$18, A320), "")</f>
        <v>I-037</v>
      </c>
      <c r="C320" s="3">
        <v>370</v>
      </c>
      <c r="D320" s="287" t="str">
        <f>IFERROR(HLOOKUP(C320, 'S15 Routing Clustered'!$B$2:$I$18,A320+1, 0), "")</f>
        <v/>
      </c>
      <c r="E320" s="287" t="str">
        <f t="shared" si="14"/>
        <v/>
      </c>
      <c r="F320" s="3" t="str">
        <f>IF(E320="", "", VLOOKUP(B320, 'S08 ABC Output'!$A$3:$C$18, 3, 0))</f>
        <v/>
      </c>
      <c r="I320" s="288" t="str">
        <f t="shared" si="16"/>
        <v>WS-36</v>
      </c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</row>
    <row r="321" spans="1:53" ht="17">
      <c r="A321" s="3">
        <v>7</v>
      </c>
      <c r="B321" s="196" t="str">
        <f>IFERROR(INDEX('S15 Routing Clustered'!$A$3:$A$18, A321), "")</f>
        <v>I-037</v>
      </c>
      <c r="C321" s="3">
        <v>380</v>
      </c>
      <c r="D321" s="287" t="str">
        <f>IFERROR(HLOOKUP(C321, 'S15 Routing Clustered'!$B$2:$I$18,A321+1, 0), "")</f>
        <v/>
      </c>
      <c r="E321" s="287" t="str">
        <f t="shared" si="14"/>
        <v/>
      </c>
      <c r="F321" s="3" t="str">
        <f>IF(E321="", "", VLOOKUP(B321, 'S08 ABC Output'!$A$3:$C$18, 3, 0))</f>
        <v/>
      </c>
      <c r="I321" s="288" t="str">
        <f t="shared" si="16"/>
        <v>WS-37</v>
      </c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</row>
    <row r="322" spans="1:53" ht="17">
      <c r="A322" s="3">
        <v>7</v>
      </c>
      <c r="B322" s="196" t="str">
        <f>IFERROR(INDEX('S15 Routing Clustered'!$A$3:$A$18, A322), "")</f>
        <v>I-037</v>
      </c>
      <c r="C322" s="3">
        <v>390</v>
      </c>
      <c r="D322" s="287" t="str">
        <f>IFERROR(HLOOKUP(C322, 'S15 Routing Clustered'!$B$2:$I$18,A322+1, 0), "")</f>
        <v/>
      </c>
      <c r="E322" s="287" t="str">
        <f t="shared" si="14"/>
        <v/>
      </c>
      <c r="F322" s="3" t="str">
        <f>IF(E322="", "", VLOOKUP(B322, 'S08 ABC Output'!$A$3:$C$18, 3, 0))</f>
        <v/>
      </c>
      <c r="I322" s="288" t="str">
        <f t="shared" si="16"/>
        <v>WS-38</v>
      </c>
      <c r="J322" s="3"/>
      <c r="K322" s="3"/>
      <c r="L322" s="3"/>
      <c r="M322" s="3"/>
      <c r="N322" s="3"/>
      <c r="O322" s="3"/>
      <c r="P322" s="3">
        <v>125036</v>
      </c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</row>
    <row r="323" spans="1:53" ht="17">
      <c r="A323" s="3">
        <v>7</v>
      </c>
      <c r="B323" s="196" t="str">
        <f>IFERROR(INDEX('S15 Routing Clustered'!$A$3:$A$18, A323), "")</f>
        <v>I-037</v>
      </c>
      <c r="C323" s="3">
        <v>400</v>
      </c>
      <c r="D323" s="287" t="str">
        <f>IFERROR(HLOOKUP(C323, 'S15 Routing Clustered'!$B$2:$I$18,A323+1, 0), "")</f>
        <v/>
      </c>
      <c r="E323" s="287" t="str">
        <f t="shared" ref="E323:E386" si="17">IF(D323="", "", D324)</f>
        <v/>
      </c>
      <c r="F323" s="3" t="str">
        <f>IF(E323="", "", VLOOKUP(B323, 'S08 ABC Output'!$A$3:$C$18, 3, 0))</f>
        <v/>
      </c>
      <c r="I323" s="288" t="str">
        <f t="shared" si="16"/>
        <v>WS-39</v>
      </c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</row>
    <row r="324" spans="1:53" ht="17">
      <c r="A324" s="3">
        <v>7</v>
      </c>
      <c r="B324" s="196" t="str">
        <f>IFERROR(INDEX('S15 Routing Clustered'!$A$3:$A$18, A324), "")</f>
        <v>I-037</v>
      </c>
      <c r="C324" s="3">
        <v>410</v>
      </c>
      <c r="D324" s="287" t="str">
        <f>IFERROR(HLOOKUP(C324, 'S15 Routing Clustered'!$B$2:$I$18,A324+1, 0), "")</f>
        <v/>
      </c>
      <c r="E324" s="287" t="str">
        <f t="shared" si="17"/>
        <v/>
      </c>
      <c r="F324" s="3" t="str">
        <f>IF(E324="", "", VLOOKUP(B324, 'S08 ABC Output'!$A$3:$C$18, 3, 0))</f>
        <v/>
      </c>
      <c r="I324" s="288" t="str">
        <f t="shared" si="16"/>
        <v>WS-40</v>
      </c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</row>
    <row r="325" spans="1:53" ht="17">
      <c r="A325" s="3">
        <v>7</v>
      </c>
      <c r="B325" s="196" t="str">
        <f>IFERROR(INDEX('S15 Routing Clustered'!$A$3:$A$18, A325), "")</f>
        <v>I-037</v>
      </c>
      <c r="C325" s="3">
        <v>420</v>
      </c>
      <c r="D325" s="287" t="str">
        <f>IFERROR(HLOOKUP(C325, 'S15 Routing Clustered'!$B$2:$I$18,A325+1, 0), "")</f>
        <v/>
      </c>
      <c r="E325" s="287" t="str">
        <f t="shared" si="17"/>
        <v/>
      </c>
      <c r="F325" s="3" t="str">
        <f>IF(E325="", "", VLOOKUP(B325, 'S08 ABC Output'!$A$3:$C$18, 3, 0))</f>
        <v/>
      </c>
      <c r="I325" s="288" t="str">
        <f t="shared" si="16"/>
        <v>WS-41</v>
      </c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</row>
    <row r="326" spans="1:53" ht="17">
      <c r="A326" s="3">
        <v>7</v>
      </c>
      <c r="B326" s="196" t="str">
        <f>IFERROR(INDEX('S15 Routing Clustered'!$A$3:$A$18, A326), "")</f>
        <v>I-037</v>
      </c>
      <c r="C326" s="3">
        <v>430</v>
      </c>
      <c r="D326" s="287" t="str">
        <f>IFERROR(HLOOKUP(C326, 'S15 Routing Clustered'!$B$2:$I$18,A326+1, 0), "")</f>
        <v/>
      </c>
      <c r="E326" s="287" t="str">
        <f t="shared" si="17"/>
        <v/>
      </c>
      <c r="F326" s="3" t="str">
        <f>IF(E326="", "", VLOOKUP(B326, 'S08 ABC Output'!$A$3:$C$18, 3, 0))</f>
        <v/>
      </c>
      <c r="I326" s="288" t="str">
        <f t="shared" si="16"/>
        <v>WS-42</v>
      </c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</row>
    <row r="327" spans="1:53" ht="17">
      <c r="A327" s="3">
        <v>7</v>
      </c>
      <c r="B327" s="196" t="str">
        <f>IFERROR(INDEX('S15 Routing Clustered'!$A$3:$A$18, A327), "")</f>
        <v>I-037</v>
      </c>
      <c r="C327" s="3">
        <v>440</v>
      </c>
      <c r="D327" s="287" t="str">
        <f>IFERROR(HLOOKUP(C327, 'S15 Routing Clustered'!$B$2:$I$18,A327+1, 0), "")</f>
        <v/>
      </c>
      <c r="E327" s="287" t="str">
        <f t="shared" si="17"/>
        <v/>
      </c>
      <c r="F327" s="3" t="str">
        <f>IF(E327="", "", VLOOKUP(B327, 'S08 ABC Output'!$A$3:$C$18, 3, 0))</f>
        <v/>
      </c>
      <c r="I327" s="288" t="str">
        <f t="shared" si="16"/>
        <v>WS-43</v>
      </c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>
        <v>125036</v>
      </c>
      <c r="AV327" s="3"/>
      <c r="AW327" s="3"/>
      <c r="AX327" s="3"/>
      <c r="AY327" s="3"/>
      <c r="AZ327" s="3"/>
      <c r="BA327" s="3"/>
    </row>
    <row r="328" spans="1:53" ht="17">
      <c r="A328" s="3">
        <v>7</v>
      </c>
      <c r="B328" s="196" t="str">
        <f>IFERROR(INDEX('S15 Routing Clustered'!$A$3:$A$18, A328), "")</f>
        <v>I-037</v>
      </c>
      <c r="C328" s="3">
        <v>450</v>
      </c>
      <c r="D328" s="287" t="str">
        <f>IFERROR(HLOOKUP(C328, 'S15 Routing Clustered'!$B$2:$I$18,A328+1, 0), "")</f>
        <v/>
      </c>
      <c r="E328" s="287" t="str">
        <f t="shared" si="17"/>
        <v/>
      </c>
      <c r="F328" s="3" t="str">
        <f>IF(E328="", "", VLOOKUP(B328, 'S08 ABC Output'!$A$3:$C$18, 3, 0))</f>
        <v/>
      </c>
      <c r="I328" s="288" t="str">
        <f t="shared" si="16"/>
        <v>WS-44</v>
      </c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</row>
    <row r="329" spans="1:53" ht="17">
      <c r="B329" s="196" t="str">
        <f>IFERROR(INDEX('S15 Routing Clustered'!$A$3:$A$18, A329), "")</f>
        <v/>
      </c>
      <c r="D329" s="287" t="str">
        <f>IFERROR(HLOOKUP(C329, 'S15 Routing Clustered'!$B$2:$I$18,A329+1, 0), "")</f>
        <v/>
      </c>
      <c r="E329" s="287" t="str">
        <f t="shared" si="17"/>
        <v/>
      </c>
      <c r="F329" s="3" t="str">
        <f>IF(E329="", "", VLOOKUP(B329, 'S08 ABC Output'!$A$3:$C$18, 3, 0))</f>
        <v/>
      </c>
      <c r="I329" s="288"/>
    </row>
    <row r="330" spans="1:53" ht="17">
      <c r="B330" s="196" t="str">
        <f>IFERROR(INDEX('S15 Routing Clustered'!$A$3:$A$18, A330), "")</f>
        <v/>
      </c>
      <c r="D330" s="287" t="str">
        <f>IFERROR(HLOOKUP(C330, 'S15 Routing Clustered'!$B$2:$I$18,A330+1, 0), "")</f>
        <v/>
      </c>
      <c r="E330" s="287" t="str">
        <f t="shared" si="17"/>
        <v/>
      </c>
      <c r="F330" s="3" t="str">
        <f>IF(E330="", "", VLOOKUP(B330, 'S08 ABC Output'!$A$3:$C$18, 3, 0))</f>
        <v/>
      </c>
      <c r="I330" s="288"/>
    </row>
    <row r="331" spans="1:53" ht="17">
      <c r="A331" s="3">
        <v>8</v>
      </c>
      <c r="B331" s="196" t="str">
        <f>IFERROR(INDEX('S15 Routing Clustered'!$A$3:$A$18, A331), "")</f>
        <v>I-073</v>
      </c>
      <c r="C331" s="3">
        <v>10</v>
      </c>
      <c r="D331" s="287" t="str">
        <f>IFERROR(HLOOKUP(C331, 'S15 Routing Clustered'!$B$2:$I$18,A331+1, 0), "")</f>
        <v>WS-43</v>
      </c>
      <c r="E331" s="287" t="str">
        <f t="shared" si="17"/>
        <v>WS-38</v>
      </c>
      <c r="F331" s="3">
        <f>IF(E331="", "", VLOOKUP(B331, 'S08 ABC Output'!$A$3:$C$18, 3, 0))</f>
        <v>25689</v>
      </c>
      <c r="I331" s="288"/>
      <c r="J331" s="288" t="str">
        <f>J284</f>
        <v>WS-01</v>
      </c>
      <c r="K331" s="288" t="str">
        <f t="shared" ref="K331:BA331" si="18">K284</f>
        <v>WS-02</v>
      </c>
      <c r="L331" s="288" t="str">
        <f t="shared" si="18"/>
        <v>WS-03</v>
      </c>
      <c r="M331" s="288" t="str">
        <f t="shared" si="18"/>
        <v>WS-04</v>
      </c>
      <c r="N331" s="288" t="str">
        <f t="shared" si="18"/>
        <v>WS-05</v>
      </c>
      <c r="O331" s="288" t="str">
        <f t="shared" si="18"/>
        <v>WS-06</v>
      </c>
      <c r="P331" s="288" t="str">
        <f t="shared" si="18"/>
        <v>WS-07</v>
      </c>
      <c r="Q331" s="288" t="str">
        <f t="shared" si="18"/>
        <v>WS-08</v>
      </c>
      <c r="R331" s="288" t="str">
        <f t="shared" si="18"/>
        <v>WS-09</v>
      </c>
      <c r="S331" s="288" t="str">
        <f t="shared" si="18"/>
        <v>WS-10</v>
      </c>
      <c r="T331" s="288" t="str">
        <f t="shared" si="18"/>
        <v>WS-11</v>
      </c>
      <c r="U331" s="288" t="str">
        <f t="shared" si="18"/>
        <v>WS-12</v>
      </c>
      <c r="V331" s="288" t="str">
        <f t="shared" si="18"/>
        <v>WS-13</v>
      </c>
      <c r="W331" s="288" t="str">
        <f t="shared" si="18"/>
        <v>WS-14</v>
      </c>
      <c r="X331" s="288" t="str">
        <f t="shared" si="18"/>
        <v>WS-15</v>
      </c>
      <c r="Y331" s="288" t="str">
        <f t="shared" si="18"/>
        <v>WS-16</v>
      </c>
      <c r="Z331" s="288" t="str">
        <f t="shared" si="18"/>
        <v>WS-17</v>
      </c>
      <c r="AA331" s="288" t="str">
        <f t="shared" si="18"/>
        <v>WS-18</v>
      </c>
      <c r="AB331" s="288" t="str">
        <f t="shared" si="18"/>
        <v>WS-19</v>
      </c>
      <c r="AC331" s="288" t="str">
        <f t="shared" si="18"/>
        <v>WS-20</v>
      </c>
      <c r="AD331" s="288" t="str">
        <f t="shared" si="18"/>
        <v>WS-21</v>
      </c>
      <c r="AE331" s="288" t="str">
        <f t="shared" si="18"/>
        <v>WS-22</v>
      </c>
      <c r="AF331" s="288" t="str">
        <f t="shared" si="18"/>
        <v>WS-23</v>
      </c>
      <c r="AG331" s="288" t="str">
        <f t="shared" si="18"/>
        <v>WS-24</v>
      </c>
      <c r="AH331" s="288" t="str">
        <f t="shared" si="18"/>
        <v>WS-25</v>
      </c>
      <c r="AI331" s="288" t="str">
        <f t="shared" si="18"/>
        <v>WS-26</v>
      </c>
      <c r="AJ331" s="288" t="str">
        <f t="shared" si="18"/>
        <v>WS-27</v>
      </c>
      <c r="AK331" s="288" t="str">
        <f t="shared" si="18"/>
        <v>WS-28</v>
      </c>
      <c r="AL331" s="288" t="str">
        <f t="shared" si="18"/>
        <v>WS-29</v>
      </c>
      <c r="AM331" s="288" t="str">
        <f t="shared" si="18"/>
        <v>WS-30</v>
      </c>
      <c r="AN331" s="288" t="str">
        <f t="shared" si="18"/>
        <v>WS-31</v>
      </c>
      <c r="AO331" s="288" t="str">
        <f t="shared" si="18"/>
        <v>WS-32</v>
      </c>
      <c r="AP331" s="288" t="str">
        <f t="shared" si="18"/>
        <v>WS-33</v>
      </c>
      <c r="AQ331" s="288" t="str">
        <f t="shared" si="18"/>
        <v>WS-34</v>
      </c>
      <c r="AR331" s="288" t="str">
        <f t="shared" si="18"/>
        <v>WS-35</v>
      </c>
      <c r="AS331" s="288" t="str">
        <f t="shared" si="18"/>
        <v>WS-36</v>
      </c>
      <c r="AT331" s="288" t="str">
        <f t="shared" si="18"/>
        <v>WS-37</v>
      </c>
      <c r="AU331" s="288" t="str">
        <f t="shared" si="18"/>
        <v>WS-38</v>
      </c>
      <c r="AV331" s="288" t="str">
        <f t="shared" si="18"/>
        <v>WS-39</v>
      </c>
      <c r="AW331" s="288" t="str">
        <f t="shared" si="18"/>
        <v>WS-40</v>
      </c>
      <c r="AX331" s="288" t="str">
        <f t="shared" si="18"/>
        <v>WS-41</v>
      </c>
      <c r="AY331" s="288" t="str">
        <f t="shared" si="18"/>
        <v>WS-42</v>
      </c>
      <c r="AZ331" s="288" t="str">
        <f t="shared" si="18"/>
        <v>WS-43</v>
      </c>
      <c r="BA331" s="288" t="str">
        <f t="shared" si="18"/>
        <v>WS-44</v>
      </c>
    </row>
    <row r="332" spans="1:53" ht="17">
      <c r="A332" s="3">
        <v>8</v>
      </c>
      <c r="B332" s="196" t="str">
        <f>IFERROR(INDEX('S15 Routing Clustered'!$A$3:$A$18, A332), "")</f>
        <v>I-073</v>
      </c>
      <c r="C332" s="3">
        <v>20</v>
      </c>
      <c r="D332" s="287" t="str">
        <f>IFERROR(HLOOKUP(C332, 'S15 Routing Clustered'!$B$2:$I$18,A332+1, 0), "")</f>
        <v>WS-38</v>
      </c>
      <c r="E332" s="287" t="str">
        <f t="shared" si="17"/>
        <v>WS-07</v>
      </c>
      <c r="F332" s="3">
        <f>IF(E332="", "", VLOOKUP(B332, 'S08 ABC Output'!$A$3:$C$18, 3, 0))</f>
        <v>25689</v>
      </c>
      <c r="I332" s="288" t="str">
        <f>I285</f>
        <v>WS-01</v>
      </c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</row>
    <row r="333" spans="1:53" ht="17">
      <c r="A333" s="3">
        <v>8</v>
      </c>
      <c r="B333" s="196" t="str">
        <f>IFERROR(INDEX('S15 Routing Clustered'!$A$3:$A$18, A333), "")</f>
        <v>I-073</v>
      </c>
      <c r="C333" s="3">
        <v>30</v>
      </c>
      <c r="D333" s="287" t="str">
        <f>IFERROR(HLOOKUP(C333, 'S15 Routing Clustered'!$B$2:$I$18,A333+1, 0), "")</f>
        <v>WS-07</v>
      </c>
      <c r="E333" s="287" t="str">
        <f t="shared" si="17"/>
        <v>WS-21</v>
      </c>
      <c r="F333" s="3">
        <f>IF(E333="", "", VLOOKUP(B333, 'S08 ABC Output'!$A$3:$C$18, 3, 0))</f>
        <v>25689</v>
      </c>
      <c r="I333" s="288" t="str">
        <f t="shared" ref="I333:I375" si="19">I286</f>
        <v>WS-02</v>
      </c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</row>
    <row r="334" spans="1:53" ht="17">
      <c r="A334" s="3">
        <v>8</v>
      </c>
      <c r="B334" s="196" t="str">
        <f>IFERROR(INDEX('S15 Routing Clustered'!$A$3:$A$18, A334), "")</f>
        <v>I-073</v>
      </c>
      <c r="C334" s="3">
        <v>40</v>
      </c>
      <c r="D334" s="287" t="str">
        <f>IFERROR(HLOOKUP(C334, 'S15 Routing Clustered'!$B$2:$I$18,A334+1, 0), "")</f>
        <v>WS-21</v>
      </c>
      <c r="E334" s="287" t="str">
        <f t="shared" si="17"/>
        <v>WS-28</v>
      </c>
      <c r="F334" s="3">
        <f>IF(E334="", "", VLOOKUP(B334, 'S08 ABC Output'!$A$3:$C$18, 3, 0))</f>
        <v>25689</v>
      </c>
      <c r="I334" s="288" t="str">
        <f t="shared" si="19"/>
        <v>WS-03</v>
      </c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</row>
    <row r="335" spans="1:53" ht="17">
      <c r="A335" s="3">
        <v>8</v>
      </c>
      <c r="B335" s="196" t="str">
        <f>IFERROR(INDEX('S15 Routing Clustered'!$A$3:$A$18, A335), "")</f>
        <v>I-073</v>
      </c>
      <c r="C335" s="3">
        <v>50</v>
      </c>
      <c r="D335" s="287" t="str">
        <f>IFERROR(HLOOKUP(C335, 'S15 Routing Clustered'!$B$2:$I$18,A335+1, 0), "")</f>
        <v>WS-28</v>
      </c>
      <c r="E335" s="287" t="str">
        <f t="shared" si="17"/>
        <v>WS-27</v>
      </c>
      <c r="F335" s="3">
        <f>IF(E335="", "", VLOOKUP(B335, 'S08 ABC Output'!$A$3:$C$18, 3, 0))</f>
        <v>25689</v>
      </c>
      <c r="I335" s="288" t="str">
        <f t="shared" si="19"/>
        <v>WS-04</v>
      </c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</row>
    <row r="336" spans="1:53" ht="17">
      <c r="A336" s="3">
        <v>8</v>
      </c>
      <c r="B336" s="196" t="str">
        <f>IFERROR(INDEX('S15 Routing Clustered'!$A$3:$A$18, A336), "")</f>
        <v>I-073</v>
      </c>
      <c r="C336" s="3">
        <v>60</v>
      </c>
      <c r="D336" s="287" t="str">
        <f>IFERROR(HLOOKUP(C336, 'S15 Routing Clustered'!$B$2:$I$18,A336+1, 0), "")</f>
        <v>WS-27</v>
      </c>
      <c r="E336" s="287" t="str">
        <f t="shared" si="17"/>
        <v>WS-32</v>
      </c>
      <c r="F336" s="3">
        <f>IF(E336="", "", VLOOKUP(B336, 'S08 ABC Output'!$A$3:$C$18, 3, 0))</f>
        <v>25689</v>
      </c>
      <c r="I336" s="288" t="str">
        <f t="shared" si="19"/>
        <v>WS-05</v>
      </c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</row>
    <row r="337" spans="1:53" ht="17">
      <c r="A337" s="3">
        <v>8</v>
      </c>
      <c r="B337" s="196" t="str">
        <f>IFERROR(INDEX('S15 Routing Clustered'!$A$3:$A$18, A337), "")</f>
        <v>I-073</v>
      </c>
      <c r="C337" s="3">
        <v>70</v>
      </c>
      <c r="D337" s="287" t="str">
        <f>IFERROR(HLOOKUP(C337, 'S15 Routing Clustered'!$B$2:$I$18,A337+1, 0), "")</f>
        <v>WS-32</v>
      </c>
      <c r="E337" s="287" t="str">
        <f t="shared" si="17"/>
        <v>WS-44</v>
      </c>
      <c r="F337" s="3">
        <f>IF(E337="", "", VLOOKUP(B337, 'S08 ABC Output'!$A$3:$C$18, 3, 0))</f>
        <v>25689</v>
      </c>
      <c r="I337" s="288" t="str">
        <f t="shared" si="19"/>
        <v>WS-06</v>
      </c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</row>
    <row r="338" spans="1:53" ht="17">
      <c r="A338" s="3">
        <v>8</v>
      </c>
      <c r="B338" s="196" t="str">
        <f>IFERROR(INDEX('S15 Routing Clustered'!$A$3:$A$18, A338), "")</f>
        <v>I-073</v>
      </c>
      <c r="C338" s="3">
        <v>80</v>
      </c>
      <c r="D338" s="287" t="str">
        <f>IFERROR(HLOOKUP(C338, 'S15 Routing Clustered'!$B$2:$I$18,A338+1, 0), "")</f>
        <v>WS-44</v>
      </c>
      <c r="E338" s="287" t="str">
        <f t="shared" si="17"/>
        <v/>
      </c>
      <c r="F338" s="3" t="str">
        <f>IF(E338="", "", VLOOKUP(B338, 'S08 ABC Output'!$A$3:$C$18, 3, 0))</f>
        <v/>
      </c>
      <c r="I338" s="288" t="str">
        <f t="shared" si="19"/>
        <v>WS-07</v>
      </c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>
        <v>25689</v>
      </c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</row>
    <row r="339" spans="1:53" ht="17">
      <c r="A339" s="3">
        <v>8</v>
      </c>
      <c r="B339" s="196" t="str">
        <f>IFERROR(INDEX('S15 Routing Clustered'!$A$3:$A$18, A339), "")</f>
        <v>I-073</v>
      </c>
      <c r="C339" s="3">
        <v>90</v>
      </c>
      <c r="D339" s="287" t="str">
        <f>IFERROR(HLOOKUP(C339, 'S15 Routing Clustered'!$B$2:$I$18,A339+1, 0), "")</f>
        <v/>
      </c>
      <c r="E339" s="287" t="str">
        <f t="shared" si="17"/>
        <v/>
      </c>
      <c r="F339" s="3" t="str">
        <f>IF(E339="", "", VLOOKUP(B339, 'S08 ABC Output'!$A$3:$C$18, 3, 0))</f>
        <v/>
      </c>
      <c r="I339" s="288" t="str">
        <f t="shared" si="19"/>
        <v>WS-08</v>
      </c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</row>
    <row r="340" spans="1:53" ht="17">
      <c r="A340" s="3">
        <v>8</v>
      </c>
      <c r="B340" s="196" t="str">
        <f>IFERROR(INDEX('S15 Routing Clustered'!$A$3:$A$18, A340), "")</f>
        <v>I-073</v>
      </c>
      <c r="C340" s="3">
        <v>100</v>
      </c>
      <c r="D340" s="287" t="str">
        <f>IFERROR(HLOOKUP(C340, 'S15 Routing Clustered'!$B$2:$I$18,A340+1, 0), "")</f>
        <v/>
      </c>
      <c r="E340" s="287" t="str">
        <f t="shared" si="17"/>
        <v/>
      </c>
      <c r="F340" s="3" t="str">
        <f>IF(E340="", "", VLOOKUP(B340, 'S08 ABC Output'!$A$3:$C$18, 3, 0))</f>
        <v/>
      </c>
      <c r="I340" s="288" t="str">
        <f t="shared" si="19"/>
        <v>WS-09</v>
      </c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</row>
    <row r="341" spans="1:53" ht="17">
      <c r="A341" s="3">
        <v>8</v>
      </c>
      <c r="B341" s="196" t="str">
        <f>IFERROR(INDEX('S15 Routing Clustered'!$A$3:$A$18, A341), "")</f>
        <v>I-073</v>
      </c>
      <c r="C341" s="3">
        <v>110</v>
      </c>
      <c r="D341" s="287" t="str">
        <f>IFERROR(HLOOKUP(C341, 'S15 Routing Clustered'!$B$2:$I$18,A341+1, 0), "")</f>
        <v/>
      </c>
      <c r="E341" s="287" t="str">
        <f t="shared" si="17"/>
        <v/>
      </c>
      <c r="F341" s="3" t="str">
        <f>IF(E341="", "", VLOOKUP(B341, 'S08 ABC Output'!$A$3:$C$18, 3, 0))</f>
        <v/>
      </c>
      <c r="I341" s="288" t="str">
        <f t="shared" si="19"/>
        <v>WS-10</v>
      </c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</row>
    <row r="342" spans="1:53" ht="17">
      <c r="A342" s="3">
        <v>8</v>
      </c>
      <c r="B342" s="196" t="str">
        <f>IFERROR(INDEX('S15 Routing Clustered'!$A$3:$A$18, A342), "")</f>
        <v>I-073</v>
      </c>
      <c r="C342" s="3">
        <v>120</v>
      </c>
      <c r="D342" s="287" t="str">
        <f>IFERROR(HLOOKUP(C342, 'S15 Routing Clustered'!$B$2:$I$18,A342+1, 0), "")</f>
        <v/>
      </c>
      <c r="E342" s="287" t="str">
        <f t="shared" si="17"/>
        <v/>
      </c>
      <c r="F342" s="3" t="str">
        <f>IF(E342="", "", VLOOKUP(B342, 'S08 ABC Output'!$A$3:$C$18, 3, 0))</f>
        <v/>
      </c>
      <c r="I342" s="288" t="str">
        <f t="shared" si="19"/>
        <v>WS-11</v>
      </c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</row>
    <row r="343" spans="1:53" ht="17">
      <c r="A343" s="3">
        <v>8</v>
      </c>
      <c r="B343" s="196" t="str">
        <f>IFERROR(INDEX('S15 Routing Clustered'!$A$3:$A$18, A343), "")</f>
        <v>I-073</v>
      </c>
      <c r="C343" s="3">
        <v>130</v>
      </c>
      <c r="D343" s="287" t="str">
        <f>IFERROR(HLOOKUP(C343, 'S15 Routing Clustered'!$B$2:$I$18,A343+1, 0), "")</f>
        <v/>
      </c>
      <c r="E343" s="287" t="str">
        <f t="shared" si="17"/>
        <v/>
      </c>
      <c r="F343" s="3" t="str">
        <f>IF(E343="", "", VLOOKUP(B343, 'S08 ABC Output'!$A$3:$C$18, 3, 0))</f>
        <v/>
      </c>
      <c r="I343" s="288" t="str">
        <f t="shared" si="19"/>
        <v>WS-12</v>
      </c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</row>
    <row r="344" spans="1:53" ht="17">
      <c r="A344" s="3">
        <v>8</v>
      </c>
      <c r="B344" s="196" t="str">
        <f>IFERROR(INDEX('S15 Routing Clustered'!$A$3:$A$18, A344), "")</f>
        <v>I-073</v>
      </c>
      <c r="C344" s="3">
        <v>140</v>
      </c>
      <c r="D344" s="287" t="str">
        <f>IFERROR(HLOOKUP(C344, 'S15 Routing Clustered'!$B$2:$I$18,A344+1, 0), "")</f>
        <v/>
      </c>
      <c r="E344" s="287" t="str">
        <f t="shared" si="17"/>
        <v/>
      </c>
      <c r="F344" s="3" t="str">
        <f>IF(E344="", "", VLOOKUP(B344, 'S08 ABC Output'!$A$3:$C$18, 3, 0))</f>
        <v/>
      </c>
      <c r="I344" s="288" t="str">
        <f t="shared" si="19"/>
        <v>WS-13</v>
      </c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</row>
    <row r="345" spans="1:53" ht="17">
      <c r="A345" s="3">
        <v>8</v>
      </c>
      <c r="B345" s="196" t="str">
        <f>IFERROR(INDEX('S15 Routing Clustered'!$A$3:$A$18, A345), "")</f>
        <v>I-073</v>
      </c>
      <c r="C345" s="3">
        <v>150</v>
      </c>
      <c r="D345" s="287" t="str">
        <f>IFERROR(HLOOKUP(C345, 'S15 Routing Clustered'!$B$2:$I$18,A345+1, 0), "")</f>
        <v/>
      </c>
      <c r="E345" s="287" t="str">
        <f t="shared" si="17"/>
        <v/>
      </c>
      <c r="F345" s="3" t="str">
        <f>IF(E345="", "", VLOOKUP(B345, 'S08 ABC Output'!$A$3:$C$18, 3, 0))</f>
        <v/>
      </c>
      <c r="I345" s="288" t="str">
        <f t="shared" si="19"/>
        <v>WS-14</v>
      </c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</row>
    <row r="346" spans="1:53" ht="17">
      <c r="A346" s="3">
        <v>8</v>
      </c>
      <c r="B346" s="196" t="str">
        <f>IFERROR(INDEX('S15 Routing Clustered'!$A$3:$A$18, A346), "")</f>
        <v>I-073</v>
      </c>
      <c r="C346" s="3">
        <v>160</v>
      </c>
      <c r="D346" s="287" t="str">
        <f>IFERROR(HLOOKUP(C346, 'S15 Routing Clustered'!$B$2:$I$18,A346+1, 0), "")</f>
        <v/>
      </c>
      <c r="E346" s="287" t="str">
        <f t="shared" si="17"/>
        <v/>
      </c>
      <c r="F346" s="3" t="str">
        <f>IF(E346="", "", VLOOKUP(B346, 'S08 ABC Output'!$A$3:$C$18, 3, 0))</f>
        <v/>
      </c>
      <c r="I346" s="288" t="str">
        <f t="shared" si="19"/>
        <v>WS-15</v>
      </c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</row>
    <row r="347" spans="1:53" ht="17">
      <c r="A347" s="3">
        <v>8</v>
      </c>
      <c r="B347" s="196" t="str">
        <f>IFERROR(INDEX('S15 Routing Clustered'!$A$3:$A$18, A347), "")</f>
        <v>I-073</v>
      </c>
      <c r="C347" s="3">
        <v>170</v>
      </c>
      <c r="D347" s="287" t="str">
        <f>IFERROR(HLOOKUP(C347, 'S15 Routing Clustered'!$B$2:$I$18,A347+1, 0), "")</f>
        <v/>
      </c>
      <c r="E347" s="287" t="str">
        <f t="shared" si="17"/>
        <v/>
      </c>
      <c r="F347" s="3" t="str">
        <f>IF(E347="", "", VLOOKUP(B347, 'S08 ABC Output'!$A$3:$C$18, 3, 0))</f>
        <v/>
      </c>
      <c r="I347" s="288" t="str">
        <f t="shared" si="19"/>
        <v>WS-16</v>
      </c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</row>
    <row r="348" spans="1:53" ht="17">
      <c r="A348" s="3">
        <v>8</v>
      </c>
      <c r="B348" s="196" t="str">
        <f>IFERROR(INDEX('S15 Routing Clustered'!$A$3:$A$18, A348), "")</f>
        <v>I-073</v>
      </c>
      <c r="C348" s="3">
        <v>180</v>
      </c>
      <c r="D348" s="287" t="str">
        <f>IFERROR(HLOOKUP(C348, 'S15 Routing Clustered'!$B$2:$I$18,A348+1, 0), "")</f>
        <v/>
      </c>
      <c r="E348" s="287" t="str">
        <f t="shared" si="17"/>
        <v/>
      </c>
      <c r="F348" s="3" t="str">
        <f>IF(E348="", "", VLOOKUP(B348, 'S08 ABC Output'!$A$3:$C$18, 3, 0))</f>
        <v/>
      </c>
      <c r="I348" s="288" t="str">
        <f t="shared" si="19"/>
        <v>WS-17</v>
      </c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</row>
    <row r="349" spans="1:53" ht="17">
      <c r="A349" s="3">
        <v>8</v>
      </c>
      <c r="B349" s="196" t="str">
        <f>IFERROR(INDEX('S15 Routing Clustered'!$A$3:$A$18, A349), "")</f>
        <v>I-073</v>
      </c>
      <c r="C349" s="3">
        <v>190</v>
      </c>
      <c r="D349" s="287" t="str">
        <f>IFERROR(HLOOKUP(C349, 'S15 Routing Clustered'!$B$2:$I$18,A349+1, 0), "")</f>
        <v/>
      </c>
      <c r="E349" s="287" t="str">
        <f t="shared" si="17"/>
        <v/>
      </c>
      <c r="F349" s="3" t="str">
        <f>IF(E349="", "", VLOOKUP(B349, 'S08 ABC Output'!$A$3:$C$18, 3, 0))</f>
        <v/>
      </c>
      <c r="I349" s="288" t="str">
        <f t="shared" si="19"/>
        <v>WS-18</v>
      </c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</row>
    <row r="350" spans="1:53" ht="17">
      <c r="A350" s="3">
        <v>8</v>
      </c>
      <c r="B350" s="196" t="str">
        <f>IFERROR(INDEX('S15 Routing Clustered'!$A$3:$A$18, A350), "")</f>
        <v>I-073</v>
      </c>
      <c r="C350" s="3">
        <v>200</v>
      </c>
      <c r="D350" s="287" t="str">
        <f>IFERROR(HLOOKUP(C350, 'S15 Routing Clustered'!$B$2:$I$18,A350+1, 0), "")</f>
        <v/>
      </c>
      <c r="E350" s="287" t="str">
        <f t="shared" si="17"/>
        <v/>
      </c>
      <c r="F350" s="3" t="str">
        <f>IF(E350="", "", VLOOKUP(B350, 'S08 ABC Output'!$A$3:$C$18, 3, 0))</f>
        <v/>
      </c>
      <c r="I350" s="288" t="str">
        <f t="shared" si="19"/>
        <v>WS-19</v>
      </c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</row>
    <row r="351" spans="1:53" ht="17">
      <c r="A351" s="3">
        <v>8</v>
      </c>
      <c r="B351" s="196" t="str">
        <f>IFERROR(INDEX('S15 Routing Clustered'!$A$3:$A$18, A351), "")</f>
        <v>I-073</v>
      </c>
      <c r="C351" s="3">
        <v>210</v>
      </c>
      <c r="D351" s="287" t="str">
        <f>IFERROR(HLOOKUP(C351, 'S15 Routing Clustered'!$B$2:$I$18,A351+1, 0), "")</f>
        <v/>
      </c>
      <c r="E351" s="287" t="str">
        <f t="shared" si="17"/>
        <v/>
      </c>
      <c r="F351" s="3" t="str">
        <f>IF(E351="", "", VLOOKUP(B351, 'S08 ABC Output'!$A$3:$C$18, 3, 0))</f>
        <v/>
      </c>
      <c r="I351" s="288" t="str">
        <f t="shared" si="19"/>
        <v>WS-20</v>
      </c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</row>
    <row r="352" spans="1:53" ht="17">
      <c r="A352" s="3">
        <v>8</v>
      </c>
      <c r="B352" s="196" t="str">
        <f>IFERROR(INDEX('S15 Routing Clustered'!$A$3:$A$18, A352), "")</f>
        <v>I-073</v>
      </c>
      <c r="C352" s="3">
        <v>220</v>
      </c>
      <c r="D352" s="287" t="str">
        <f>IFERROR(HLOOKUP(C352, 'S15 Routing Clustered'!$B$2:$I$18,A352+1, 0), "")</f>
        <v/>
      </c>
      <c r="E352" s="287" t="str">
        <f t="shared" si="17"/>
        <v/>
      </c>
      <c r="F352" s="3" t="str">
        <f>IF(E352="", "", VLOOKUP(B352, 'S08 ABC Output'!$A$3:$C$18, 3, 0))</f>
        <v/>
      </c>
      <c r="I352" s="288" t="str">
        <f t="shared" si="19"/>
        <v>WS-21</v>
      </c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>
        <v>25689</v>
      </c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</row>
    <row r="353" spans="1:53" ht="17">
      <c r="A353" s="3">
        <v>8</v>
      </c>
      <c r="B353" s="196" t="str">
        <f>IFERROR(INDEX('S15 Routing Clustered'!$A$3:$A$18, A353), "")</f>
        <v>I-073</v>
      </c>
      <c r="C353" s="3">
        <v>230</v>
      </c>
      <c r="D353" s="287" t="str">
        <f>IFERROR(HLOOKUP(C353, 'S15 Routing Clustered'!$B$2:$I$18,A353+1, 0), "")</f>
        <v/>
      </c>
      <c r="E353" s="287" t="str">
        <f t="shared" si="17"/>
        <v/>
      </c>
      <c r="F353" s="3" t="str">
        <f>IF(E353="", "", VLOOKUP(B353, 'S08 ABC Output'!$A$3:$C$18, 3, 0))</f>
        <v/>
      </c>
      <c r="I353" s="288" t="str">
        <f t="shared" si="19"/>
        <v>WS-22</v>
      </c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</row>
    <row r="354" spans="1:53" ht="17">
      <c r="A354" s="3">
        <v>8</v>
      </c>
      <c r="B354" s="196" t="str">
        <f>IFERROR(INDEX('S15 Routing Clustered'!$A$3:$A$18, A354), "")</f>
        <v>I-073</v>
      </c>
      <c r="C354" s="3">
        <v>240</v>
      </c>
      <c r="D354" s="287" t="str">
        <f>IFERROR(HLOOKUP(C354, 'S15 Routing Clustered'!$B$2:$I$18,A354+1, 0), "")</f>
        <v/>
      </c>
      <c r="E354" s="287" t="str">
        <f t="shared" si="17"/>
        <v/>
      </c>
      <c r="F354" s="3" t="str">
        <f>IF(E354="", "", VLOOKUP(B354, 'S08 ABC Output'!$A$3:$C$18, 3, 0))</f>
        <v/>
      </c>
      <c r="I354" s="288" t="str">
        <f t="shared" si="19"/>
        <v>WS-23</v>
      </c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</row>
    <row r="355" spans="1:53" ht="17">
      <c r="A355" s="3">
        <v>8</v>
      </c>
      <c r="B355" s="196" t="str">
        <f>IFERROR(INDEX('S15 Routing Clustered'!$A$3:$A$18, A355), "")</f>
        <v>I-073</v>
      </c>
      <c r="C355" s="3">
        <v>250</v>
      </c>
      <c r="D355" s="287" t="str">
        <f>IFERROR(HLOOKUP(C355, 'S15 Routing Clustered'!$B$2:$I$18,A355+1, 0), "")</f>
        <v/>
      </c>
      <c r="E355" s="287" t="str">
        <f t="shared" si="17"/>
        <v/>
      </c>
      <c r="F355" s="3" t="str">
        <f>IF(E355="", "", VLOOKUP(B355, 'S08 ABC Output'!$A$3:$C$18, 3, 0))</f>
        <v/>
      </c>
      <c r="I355" s="288" t="str">
        <f t="shared" si="19"/>
        <v>WS-24</v>
      </c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</row>
    <row r="356" spans="1:53" ht="17">
      <c r="A356" s="3">
        <v>8</v>
      </c>
      <c r="B356" s="196" t="str">
        <f>IFERROR(INDEX('S15 Routing Clustered'!$A$3:$A$18, A356), "")</f>
        <v>I-073</v>
      </c>
      <c r="C356" s="3">
        <v>260</v>
      </c>
      <c r="D356" s="287" t="str">
        <f>IFERROR(HLOOKUP(C356, 'S15 Routing Clustered'!$B$2:$I$18,A356+1, 0), "")</f>
        <v/>
      </c>
      <c r="E356" s="287" t="str">
        <f t="shared" si="17"/>
        <v/>
      </c>
      <c r="F356" s="3" t="str">
        <f>IF(E356="", "", VLOOKUP(B356, 'S08 ABC Output'!$A$3:$C$18, 3, 0))</f>
        <v/>
      </c>
      <c r="I356" s="288" t="str">
        <f t="shared" si="19"/>
        <v>WS-25</v>
      </c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</row>
    <row r="357" spans="1:53" ht="17">
      <c r="A357" s="3">
        <v>8</v>
      </c>
      <c r="B357" s="196" t="str">
        <f>IFERROR(INDEX('S15 Routing Clustered'!$A$3:$A$18, A357), "")</f>
        <v>I-073</v>
      </c>
      <c r="C357" s="3">
        <v>270</v>
      </c>
      <c r="D357" s="287" t="str">
        <f>IFERROR(HLOOKUP(C357, 'S15 Routing Clustered'!$B$2:$I$18,A357+1, 0), "")</f>
        <v/>
      </c>
      <c r="E357" s="287" t="str">
        <f t="shared" si="17"/>
        <v/>
      </c>
      <c r="F357" s="3" t="str">
        <f>IF(E357="", "", VLOOKUP(B357, 'S08 ABC Output'!$A$3:$C$18, 3, 0))</f>
        <v/>
      </c>
      <c r="I357" s="288" t="str">
        <f t="shared" si="19"/>
        <v>WS-26</v>
      </c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</row>
    <row r="358" spans="1:53" ht="17">
      <c r="A358" s="3">
        <v>8</v>
      </c>
      <c r="B358" s="196" t="str">
        <f>IFERROR(INDEX('S15 Routing Clustered'!$A$3:$A$18, A358), "")</f>
        <v>I-073</v>
      </c>
      <c r="C358" s="3">
        <v>280</v>
      </c>
      <c r="D358" s="287" t="str">
        <f>IFERROR(HLOOKUP(C358, 'S15 Routing Clustered'!$B$2:$I$18,A358+1, 0), "")</f>
        <v/>
      </c>
      <c r="E358" s="287" t="str">
        <f t="shared" si="17"/>
        <v/>
      </c>
      <c r="F358" s="3" t="str">
        <f>IF(E358="", "", VLOOKUP(B358, 'S08 ABC Output'!$A$3:$C$18, 3, 0))</f>
        <v/>
      </c>
      <c r="I358" s="288" t="str">
        <f t="shared" si="19"/>
        <v>WS-27</v>
      </c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>
        <v>25689</v>
      </c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</row>
    <row r="359" spans="1:53" ht="17">
      <c r="A359" s="3">
        <v>8</v>
      </c>
      <c r="B359" s="196" t="str">
        <f>IFERROR(INDEX('S15 Routing Clustered'!$A$3:$A$18, A359), "")</f>
        <v>I-073</v>
      </c>
      <c r="C359" s="3">
        <v>290</v>
      </c>
      <c r="D359" s="287" t="str">
        <f>IFERROR(HLOOKUP(C359, 'S15 Routing Clustered'!$B$2:$I$18,A359+1, 0), "")</f>
        <v/>
      </c>
      <c r="E359" s="287" t="str">
        <f t="shared" si="17"/>
        <v/>
      </c>
      <c r="F359" s="3" t="str">
        <f>IF(E359="", "", VLOOKUP(B359, 'S08 ABC Output'!$A$3:$C$18, 3, 0))</f>
        <v/>
      </c>
      <c r="I359" s="288" t="str">
        <f t="shared" si="19"/>
        <v>WS-28</v>
      </c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>
        <v>25689</v>
      </c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</row>
    <row r="360" spans="1:53" ht="17">
      <c r="A360" s="3">
        <v>8</v>
      </c>
      <c r="B360" s="196" t="str">
        <f>IFERROR(INDEX('S15 Routing Clustered'!$A$3:$A$18, A360), "")</f>
        <v>I-073</v>
      </c>
      <c r="C360" s="3">
        <v>300</v>
      </c>
      <c r="D360" s="287" t="str">
        <f>IFERROR(HLOOKUP(C360, 'S15 Routing Clustered'!$B$2:$I$18,A360+1, 0), "")</f>
        <v/>
      </c>
      <c r="E360" s="287" t="str">
        <f t="shared" si="17"/>
        <v/>
      </c>
      <c r="F360" s="3" t="str">
        <f>IF(E360="", "", VLOOKUP(B360, 'S08 ABC Output'!$A$3:$C$18, 3, 0))</f>
        <v/>
      </c>
      <c r="I360" s="288" t="str">
        <f t="shared" si="19"/>
        <v>WS-29</v>
      </c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</row>
    <row r="361" spans="1:53" ht="17">
      <c r="A361" s="3">
        <v>8</v>
      </c>
      <c r="B361" s="196" t="str">
        <f>IFERROR(INDEX('S15 Routing Clustered'!$A$3:$A$18, A361), "")</f>
        <v>I-073</v>
      </c>
      <c r="C361" s="3">
        <v>310</v>
      </c>
      <c r="D361" s="287" t="str">
        <f>IFERROR(HLOOKUP(C361, 'S15 Routing Clustered'!$B$2:$I$18,A361+1, 0), "")</f>
        <v/>
      </c>
      <c r="E361" s="287" t="str">
        <f t="shared" si="17"/>
        <v/>
      </c>
      <c r="F361" s="3" t="str">
        <f>IF(E361="", "", VLOOKUP(B361, 'S08 ABC Output'!$A$3:$C$18, 3, 0))</f>
        <v/>
      </c>
      <c r="I361" s="288" t="str">
        <f t="shared" si="19"/>
        <v>WS-30</v>
      </c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</row>
    <row r="362" spans="1:53" ht="17">
      <c r="A362" s="3">
        <v>8</v>
      </c>
      <c r="B362" s="196" t="str">
        <f>IFERROR(INDEX('S15 Routing Clustered'!$A$3:$A$18, A362), "")</f>
        <v>I-073</v>
      </c>
      <c r="C362" s="3">
        <v>320</v>
      </c>
      <c r="D362" s="287" t="str">
        <f>IFERROR(HLOOKUP(C362, 'S15 Routing Clustered'!$B$2:$I$18,A362+1, 0), "")</f>
        <v/>
      </c>
      <c r="E362" s="287" t="str">
        <f t="shared" si="17"/>
        <v/>
      </c>
      <c r="F362" s="3" t="str">
        <f>IF(E362="", "", VLOOKUP(B362, 'S08 ABC Output'!$A$3:$C$18, 3, 0))</f>
        <v/>
      </c>
      <c r="I362" s="288" t="str">
        <f t="shared" si="19"/>
        <v>WS-31</v>
      </c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</row>
    <row r="363" spans="1:53" ht="17">
      <c r="A363" s="3">
        <v>8</v>
      </c>
      <c r="B363" s="196" t="str">
        <f>IFERROR(INDEX('S15 Routing Clustered'!$A$3:$A$18, A363), "")</f>
        <v>I-073</v>
      </c>
      <c r="C363" s="3">
        <v>330</v>
      </c>
      <c r="D363" s="287" t="str">
        <f>IFERROR(HLOOKUP(C363, 'S15 Routing Clustered'!$B$2:$I$18,A363+1, 0), "")</f>
        <v/>
      </c>
      <c r="E363" s="287" t="str">
        <f t="shared" si="17"/>
        <v/>
      </c>
      <c r="F363" s="3" t="str">
        <f>IF(E363="", "", VLOOKUP(B363, 'S08 ABC Output'!$A$3:$C$18, 3, 0))</f>
        <v/>
      </c>
      <c r="I363" s="288" t="str">
        <f t="shared" si="19"/>
        <v>WS-32</v>
      </c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>
        <v>25689</v>
      </c>
    </row>
    <row r="364" spans="1:53" ht="17">
      <c r="A364" s="3">
        <v>8</v>
      </c>
      <c r="B364" s="196" t="str">
        <f>IFERROR(INDEX('S15 Routing Clustered'!$A$3:$A$18, A364), "")</f>
        <v>I-073</v>
      </c>
      <c r="C364" s="3">
        <v>340</v>
      </c>
      <c r="D364" s="287" t="str">
        <f>IFERROR(HLOOKUP(C364, 'S15 Routing Clustered'!$B$2:$I$18,A364+1, 0), "")</f>
        <v/>
      </c>
      <c r="E364" s="287" t="str">
        <f t="shared" si="17"/>
        <v/>
      </c>
      <c r="F364" s="3" t="str">
        <f>IF(E364="", "", VLOOKUP(B364, 'S08 ABC Output'!$A$3:$C$18, 3, 0))</f>
        <v/>
      </c>
      <c r="I364" s="288" t="str">
        <f t="shared" si="19"/>
        <v>WS-33</v>
      </c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</row>
    <row r="365" spans="1:53" ht="17">
      <c r="A365" s="3">
        <v>8</v>
      </c>
      <c r="B365" s="196" t="str">
        <f>IFERROR(INDEX('S15 Routing Clustered'!$A$3:$A$18, A365), "")</f>
        <v>I-073</v>
      </c>
      <c r="C365" s="3">
        <v>350</v>
      </c>
      <c r="D365" s="287" t="str">
        <f>IFERROR(HLOOKUP(C365, 'S15 Routing Clustered'!$B$2:$I$18,A365+1, 0), "")</f>
        <v/>
      </c>
      <c r="E365" s="287" t="str">
        <f t="shared" si="17"/>
        <v/>
      </c>
      <c r="F365" s="3" t="str">
        <f>IF(E365="", "", VLOOKUP(B365, 'S08 ABC Output'!$A$3:$C$18, 3, 0))</f>
        <v/>
      </c>
      <c r="I365" s="288" t="str">
        <f t="shared" si="19"/>
        <v>WS-34</v>
      </c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</row>
    <row r="366" spans="1:53" ht="17">
      <c r="A366" s="3">
        <v>8</v>
      </c>
      <c r="B366" s="196" t="str">
        <f>IFERROR(INDEX('S15 Routing Clustered'!$A$3:$A$18, A366), "")</f>
        <v>I-073</v>
      </c>
      <c r="C366" s="3">
        <v>360</v>
      </c>
      <c r="D366" s="287" t="str">
        <f>IFERROR(HLOOKUP(C366, 'S15 Routing Clustered'!$B$2:$I$18,A366+1, 0), "")</f>
        <v/>
      </c>
      <c r="E366" s="287" t="str">
        <f t="shared" si="17"/>
        <v/>
      </c>
      <c r="F366" s="3" t="str">
        <f>IF(E366="", "", VLOOKUP(B366, 'S08 ABC Output'!$A$3:$C$18, 3, 0))</f>
        <v/>
      </c>
      <c r="I366" s="288" t="str">
        <f t="shared" si="19"/>
        <v>WS-35</v>
      </c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</row>
    <row r="367" spans="1:53" ht="17">
      <c r="A367" s="3">
        <v>8</v>
      </c>
      <c r="B367" s="196" t="str">
        <f>IFERROR(INDEX('S15 Routing Clustered'!$A$3:$A$18, A367), "")</f>
        <v>I-073</v>
      </c>
      <c r="C367" s="3">
        <v>370</v>
      </c>
      <c r="D367" s="287" t="str">
        <f>IFERROR(HLOOKUP(C367, 'S15 Routing Clustered'!$B$2:$I$18,A367+1, 0), "")</f>
        <v/>
      </c>
      <c r="E367" s="287" t="str">
        <f t="shared" si="17"/>
        <v/>
      </c>
      <c r="F367" s="3" t="str">
        <f>IF(E367="", "", VLOOKUP(B367, 'S08 ABC Output'!$A$3:$C$18, 3, 0))</f>
        <v/>
      </c>
      <c r="I367" s="288" t="str">
        <f t="shared" si="19"/>
        <v>WS-36</v>
      </c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</row>
    <row r="368" spans="1:53" ht="17">
      <c r="A368" s="3">
        <v>8</v>
      </c>
      <c r="B368" s="196" t="str">
        <f>IFERROR(INDEX('S15 Routing Clustered'!$A$3:$A$18, A368), "")</f>
        <v>I-073</v>
      </c>
      <c r="C368" s="3">
        <v>380</v>
      </c>
      <c r="D368" s="287" t="str">
        <f>IFERROR(HLOOKUP(C368, 'S15 Routing Clustered'!$B$2:$I$18,A368+1, 0), "")</f>
        <v/>
      </c>
      <c r="E368" s="287" t="str">
        <f t="shared" si="17"/>
        <v/>
      </c>
      <c r="F368" s="3" t="str">
        <f>IF(E368="", "", VLOOKUP(B368, 'S08 ABC Output'!$A$3:$C$18, 3, 0))</f>
        <v/>
      </c>
      <c r="I368" s="288" t="str">
        <f t="shared" si="19"/>
        <v>WS-37</v>
      </c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</row>
    <row r="369" spans="1:53" ht="17">
      <c r="A369" s="3">
        <v>8</v>
      </c>
      <c r="B369" s="196" t="str">
        <f>IFERROR(INDEX('S15 Routing Clustered'!$A$3:$A$18, A369), "")</f>
        <v>I-073</v>
      </c>
      <c r="C369" s="3">
        <v>390</v>
      </c>
      <c r="D369" s="287" t="str">
        <f>IFERROR(HLOOKUP(C369, 'S15 Routing Clustered'!$B$2:$I$18,A369+1, 0), "")</f>
        <v/>
      </c>
      <c r="E369" s="287" t="str">
        <f t="shared" si="17"/>
        <v/>
      </c>
      <c r="F369" s="3" t="str">
        <f>IF(E369="", "", VLOOKUP(B369, 'S08 ABC Output'!$A$3:$C$18, 3, 0))</f>
        <v/>
      </c>
      <c r="I369" s="288" t="str">
        <f t="shared" si="19"/>
        <v>WS-38</v>
      </c>
      <c r="J369" s="3"/>
      <c r="K369" s="3"/>
      <c r="L369" s="3"/>
      <c r="M369" s="3"/>
      <c r="N369" s="3"/>
      <c r="O369" s="3"/>
      <c r="P369" s="3">
        <v>25689</v>
      </c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</row>
    <row r="370" spans="1:53" ht="17">
      <c r="A370" s="3">
        <v>8</v>
      </c>
      <c r="B370" s="196" t="str">
        <f>IFERROR(INDEX('S15 Routing Clustered'!$A$3:$A$18, A370), "")</f>
        <v>I-073</v>
      </c>
      <c r="C370" s="3">
        <v>400</v>
      </c>
      <c r="D370" s="287" t="str">
        <f>IFERROR(HLOOKUP(C370, 'S15 Routing Clustered'!$B$2:$I$18,A370+1, 0), "")</f>
        <v/>
      </c>
      <c r="E370" s="287" t="str">
        <f t="shared" si="17"/>
        <v/>
      </c>
      <c r="F370" s="3" t="str">
        <f>IF(E370="", "", VLOOKUP(B370, 'S08 ABC Output'!$A$3:$C$18, 3, 0))</f>
        <v/>
      </c>
      <c r="I370" s="288" t="str">
        <f t="shared" si="19"/>
        <v>WS-39</v>
      </c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</row>
    <row r="371" spans="1:53" ht="17">
      <c r="A371" s="3">
        <v>8</v>
      </c>
      <c r="B371" s="196" t="str">
        <f>IFERROR(INDEX('S15 Routing Clustered'!$A$3:$A$18, A371), "")</f>
        <v>I-073</v>
      </c>
      <c r="C371" s="3">
        <v>410</v>
      </c>
      <c r="D371" s="287" t="str">
        <f>IFERROR(HLOOKUP(C371, 'S15 Routing Clustered'!$B$2:$I$18,A371+1, 0), "")</f>
        <v/>
      </c>
      <c r="E371" s="287" t="str">
        <f t="shared" si="17"/>
        <v/>
      </c>
      <c r="F371" s="3" t="str">
        <f>IF(E371="", "", VLOOKUP(B371, 'S08 ABC Output'!$A$3:$C$18, 3, 0))</f>
        <v/>
      </c>
      <c r="I371" s="288" t="str">
        <f t="shared" si="19"/>
        <v>WS-40</v>
      </c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</row>
    <row r="372" spans="1:53" ht="17">
      <c r="A372" s="3">
        <v>8</v>
      </c>
      <c r="B372" s="196" t="str">
        <f>IFERROR(INDEX('S15 Routing Clustered'!$A$3:$A$18, A372), "")</f>
        <v>I-073</v>
      </c>
      <c r="C372" s="3">
        <v>420</v>
      </c>
      <c r="D372" s="287" t="str">
        <f>IFERROR(HLOOKUP(C372, 'S15 Routing Clustered'!$B$2:$I$18,A372+1, 0), "")</f>
        <v/>
      </c>
      <c r="E372" s="287" t="str">
        <f t="shared" si="17"/>
        <v/>
      </c>
      <c r="F372" s="3" t="str">
        <f>IF(E372="", "", VLOOKUP(B372, 'S08 ABC Output'!$A$3:$C$18, 3, 0))</f>
        <v/>
      </c>
      <c r="I372" s="288" t="str">
        <f t="shared" si="19"/>
        <v>WS-41</v>
      </c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</row>
    <row r="373" spans="1:53" ht="17">
      <c r="A373" s="3">
        <v>8</v>
      </c>
      <c r="B373" s="196" t="str">
        <f>IFERROR(INDEX('S15 Routing Clustered'!$A$3:$A$18, A373), "")</f>
        <v>I-073</v>
      </c>
      <c r="C373" s="3">
        <v>430</v>
      </c>
      <c r="D373" s="287" t="str">
        <f>IFERROR(HLOOKUP(C373, 'S15 Routing Clustered'!$B$2:$I$18,A373+1, 0), "")</f>
        <v/>
      </c>
      <c r="E373" s="287" t="str">
        <f t="shared" si="17"/>
        <v/>
      </c>
      <c r="F373" s="3" t="str">
        <f>IF(E373="", "", VLOOKUP(B373, 'S08 ABC Output'!$A$3:$C$18, 3, 0))</f>
        <v/>
      </c>
      <c r="I373" s="288" t="str">
        <f t="shared" si="19"/>
        <v>WS-42</v>
      </c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</row>
    <row r="374" spans="1:53" ht="17">
      <c r="A374" s="3">
        <v>8</v>
      </c>
      <c r="B374" s="196" t="str">
        <f>IFERROR(INDEX('S15 Routing Clustered'!$A$3:$A$18, A374), "")</f>
        <v>I-073</v>
      </c>
      <c r="C374" s="3">
        <v>440</v>
      </c>
      <c r="D374" s="287" t="str">
        <f>IFERROR(HLOOKUP(C374, 'S15 Routing Clustered'!$B$2:$I$18,A374+1, 0), "")</f>
        <v/>
      </c>
      <c r="E374" s="287" t="str">
        <f t="shared" si="17"/>
        <v/>
      </c>
      <c r="F374" s="3" t="str">
        <f>IF(E374="", "", VLOOKUP(B374, 'S08 ABC Output'!$A$3:$C$18, 3, 0))</f>
        <v/>
      </c>
      <c r="I374" s="288" t="str">
        <f t="shared" si="19"/>
        <v>WS-43</v>
      </c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>
        <v>25689</v>
      </c>
      <c r="AV374" s="3"/>
      <c r="AW374" s="3"/>
      <c r="AX374" s="3"/>
      <c r="AY374" s="3"/>
      <c r="AZ374" s="3"/>
      <c r="BA374" s="3"/>
    </row>
    <row r="375" spans="1:53" ht="17">
      <c r="A375" s="3">
        <v>8</v>
      </c>
      <c r="B375" s="196" t="str">
        <f>IFERROR(INDEX('S15 Routing Clustered'!$A$3:$A$18, A375), "")</f>
        <v>I-073</v>
      </c>
      <c r="C375" s="3">
        <v>450</v>
      </c>
      <c r="D375" s="287" t="str">
        <f>IFERROR(HLOOKUP(C375, 'S15 Routing Clustered'!$B$2:$I$18,A375+1, 0), "")</f>
        <v/>
      </c>
      <c r="E375" s="287" t="str">
        <f t="shared" si="17"/>
        <v/>
      </c>
      <c r="F375" s="3" t="str">
        <f>IF(E375="", "", VLOOKUP(B375, 'S08 ABC Output'!$A$3:$C$18, 3, 0))</f>
        <v/>
      </c>
      <c r="I375" s="288" t="str">
        <f t="shared" si="19"/>
        <v>WS-44</v>
      </c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</row>
    <row r="376" spans="1:53" ht="17">
      <c r="B376" s="196" t="str">
        <f>IFERROR(INDEX('S15 Routing Clustered'!$A$3:$A$18, A376), "")</f>
        <v/>
      </c>
      <c r="D376" s="287" t="str">
        <f>IFERROR(HLOOKUP(C376, 'S15 Routing Clustered'!$B$2:$I$18,A376+1, 0), "")</f>
        <v/>
      </c>
      <c r="E376" s="287" t="str">
        <f t="shared" si="17"/>
        <v/>
      </c>
      <c r="F376" s="3" t="str">
        <f>IF(E376="", "", VLOOKUP(B376, 'S08 ABC Output'!$A$3:$C$18, 3, 0))</f>
        <v/>
      </c>
      <c r="I376" s="288"/>
    </row>
    <row r="377" spans="1:53" ht="17">
      <c r="B377" s="196" t="str">
        <f>IFERROR(INDEX('S15 Routing Clustered'!$A$3:$A$18, A377), "")</f>
        <v/>
      </c>
      <c r="D377" s="287" t="str">
        <f>IFERROR(HLOOKUP(C377, 'S15 Routing Clustered'!$B$2:$I$18,A377+1, 0), "")</f>
        <v/>
      </c>
      <c r="E377" s="287" t="str">
        <f t="shared" si="17"/>
        <v/>
      </c>
      <c r="F377" s="3" t="str">
        <f>IF(E377="", "", VLOOKUP(B377, 'S08 ABC Output'!$A$3:$C$18, 3, 0))</f>
        <v/>
      </c>
      <c r="I377" s="288"/>
    </row>
    <row r="378" spans="1:53" ht="17">
      <c r="A378" s="3">
        <v>9</v>
      </c>
      <c r="B378" s="196" t="str">
        <f>IFERROR(INDEX('S15 Routing Clustered'!$A$3:$A$18, A378), "")</f>
        <v>I-074</v>
      </c>
      <c r="C378" s="3">
        <v>10</v>
      </c>
      <c r="D378" s="287" t="str">
        <f>IFERROR(HLOOKUP(C378, 'S15 Routing Clustered'!$B$2:$I$18,A378+1, 0), "")</f>
        <v>WS-43</v>
      </c>
      <c r="E378" s="287" t="str">
        <f t="shared" si="17"/>
        <v>WS-38</v>
      </c>
      <c r="F378" s="3">
        <f>IF(E378="", "", VLOOKUP(B378, 'S08 ABC Output'!$A$3:$C$18, 3, 0))</f>
        <v>25468</v>
      </c>
      <c r="I378" s="288"/>
      <c r="J378" s="288" t="str">
        <f>J331</f>
        <v>WS-01</v>
      </c>
      <c r="K378" s="288" t="str">
        <f t="shared" ref="K378:BA378" si="20">K331</f>
        <v>WS-02</v>
      </c>
      <c r="L378" s="288" t="str">
        <f t="shared" si="20"/>
        <v>WS-03</v>
      </c>
      <c r="M378" s="288" t="str">
        <f t="shared" si="20"/>
        <v>WS-04</v>
      </c>
      <c r="N378" s="288" t="str">
        <f t="shared" si="20"/>
        <v>WS-05</v>
      </c>
      <c r="O378" s="288" t="str">
        <f t="shared" si="20"/>
        <v>WS-06</v>
      </c>
      <c r="P378" s="288" t="str">
        <f t="shared" si="20"/>
        <v>WS-07</v>
      </c>
      <c r="Q378" s="288" t="str">
        <f t="shared" si="20"/>
        <v>WS-08</v>
      </c>
      <c r="R378" s="288" t="str">
        <f t="shared" si="20"/>
        <v>WS-09</v>
      </c>
      <c r="S378" s="288" t="str">
        <f t="shared" si="20"/>
        <v>WS-10</v>
      </c>
      <c r="T378" s="288" t="str">
        <f t="shared" si="20"/>
        <v>WS-11</v>
      </c>
      <c r="U378" s="288" t="str">
        <f t="shared" si="20"/>
        <v>WS-12</v>
      </c>
      <c r="V378" s="288" t="str">
        <f t="shared" si="20"/>
        <v>WS-13</v>
      </c>
      <c r="W378" s="288" t="str">
        <f t="shared" si="20"/>
        <v>WS-14</v>
      </c>
      <c r="X378" s="288" t="str">
        <f t="shared" si="20"/>
        <v>WS-15</v>
      </c>
      <c r="Y378" s="288" t="str">
        <f t="shared" si="20"/>
        <v>WS-16</v>
      </c>
      <c r="Z378" s="288" t="str">
        <f t="shared" si="20"/>
        <v>WS-17</v>
      </c>
      <c r="AA378" s="288" t="str">
        <f t="shared" si="20"/>
        <v>WS-18</v>
      </c>
      <c r="AB378" s="288" t="str">
        <f t="shared" si="20"/>
        <v>WS-19</v>
      </c>
      <c r="AC378" s="288" t="str">
        <f t="shared" si="20"/>
        <v>WS-20</v>
      </c>
      <c r="AD378" s="288" t="str">
        <f t="shared" si="20"/>
        <v>WS-21</v>
      </c>
      <c r="AE378" s="288" t="str">
        <f t="shared" si="20"/>
        <v>WS-22</v>
      </c>
      <c r="AF378" s="288" t="str">
        <f t="shared" si="20"/>
        <v>WS-23</v>
      </c>
      <c r="AG378" s="288" t="str">
        <f t="shared" si="20"/>
        <v>WS-24</v>
      </c>
      <c r="AH378" s="288" t="str">
        <f t="shared" si="20"/>
        <v>WS-25</v>
      </c>
      <c r="AI378" s="288" t="str">
        <f t="shared" si="20"/>
        <v>WS-26</v>
      </c>
      <c r="AJ378" s="288" t="str">
        <f t="shared" si="20"/>
        <v>WS-27</v>
      </c>
      <c r="AK378" s="288" t="str">
        <f t="shared" si="20"/>
        <v>WS-28</v>
      </c>
      <c r="AL378" s="288" t="str">
        <f t="shared" si="20"/>
        <v>WS-29</v>
      </c>
      <c r="AM378" s="288" t="str">
        <f t="shared" si="20"/>
        <v>WS-30</v>
      </c>
      <c r="AN378" s="288" t="str">
        <f t="shared" si="20"/>
        <v>WS-31</v>
      </c>
      <c r="AO378" s="288" t="str">
        <f t="shared" si="20"/>
        <v>WS-32</v>
      </c>
      <c r="AP378" s="288" t="str">
        <f t="shared" si="20"/>
        <v>WS-33</v>
      </c>
      <c r="AQ378" s="288" t="str">
        <f t="shared" si="20"/>
        <v>WS-34</v>
      </c>
      <c r="AR378" s="288" t="str">
        <f t="shared" si="20"/>
        <v>WS-35</v>
      </c>
      <c r="AS378" s="288" t="str">
        <f t="shared" si="20"/>
        <v>WS-36</v>
      </c>
      <c r="AT378" s="288" t="str">
        <f t="shared" si="20"/>
        <v>WS-37</v>
      </c>
      <c r="AU378" s="288" t="str">
        <f t="shared" si="20"/>
        <v>WS-38</v>
      </c>
      <c r="AV378" s="288" t="str">
        <f t="shared" si="20"/>
        <v>WS-39</v>
      </c>
      <c r="AW378" s="288" t="str">
        <f t="shared" si="20"/>
        <v>WS-40</v>
      </c>
      <c r="AX378" s="288" t="str">
        <f t="shared" si="20"/>
        <v>WS-41</v>
      </c>
      <c r="AY378" s="288" t="str">
        <f t="shared" si="20"/>
        <v>WS-42</v>
      </c>
      <c r="AZ378" s="288" t="str">
        <f t="shared" si="20"/>
        <v>WS-43</v>
      </c>
      <c r="BA378" s="288" t="str">
        <f t="shared" si="20"/>
        <v>WS-44</v>
      </c>
    </row>
    <row r="379" spans="1:53" ht="17">
      <c r="A379" s="3">
        <v>9</v>
      </c>
      <c r="B379" s="196" t="str">
        <f>IFERROR(INDEX('S15 Routing Clustered'!$A$3:$A$18, A379), "")</f>
        <v>I-074</v>
      </c>
      <c r="C379" s="3">
        <v>20</v>
      </c>
      <c r="D379" s="287" t="str">
        <f>IFERROR(HLOOKUP(C379, 'S15 Routing Clustered'!$B$2:$I$18,A379+1, 0), "")</f>
        <v>WS-38</v>
      </c>
      <c r="E379" s="287" t="str">
        <f t="shared" si="17"/>
        <v>WS-07</v>
      </c>
      <c r="F379" s="3">
        <f>IF(E379="", "", VLOOKUP(B379, 'S08 ABC Output'!$A$3:$C$18, 3, 0))</f>
        <v>25468</v>
      </c>
      <c r="I379" s="288" t="str">
        <f>I332</f>
        <v>WS-01</v>
      </c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</row>
    <row r="380" spans="1:53" ht="17">
      <c r="A380" s="3">
        <v>9</v>
      </c>
      <c r="B380" s="196" t="str">
        <f>IFERROR(INDEX('S15 Routing Clustered'!$A$3:$A$18, A380), "")</f>
        <v>I-074</v>
      </c>
      <c r="C380" s="3">
        <v>30</v>
      </c>
      <c r="D380" s="287" t="str">
        <f>IFERROR(HLOOKUP(C380, 'S15 Routing Clustered'!$B$2:$I$18,A380+1, 0), "")</f>
        <v>WS-07</v>
      </c>
      <c r="E380" s="287" t="str">
        <f t="shared" si="17"/>
        <v>WS-21</v>
      </c>
      <c r="F380" s="3">
        <f>IF(E380="", "", VLOOKUP(B380, 'S08 ABC Output'!$A$3:$C$18, 3, 0))</f>
        <v>25468</v>
      </c>
      <c r="I380" s="288" t="str">
        <f t="shared" ref="I380:I422" si="21">I333</f>
        <v>WS-02</v>
      </c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</row>
    <row r="381" spans="1:53" ht="17">
      <c r="A381" s="3">
        <v>9</v>
      </c>
      <c r="B381" s="196" t="str">
        <f>IFERROR(INDEX('S15 Routing Clustered'!$A$3:$A$18, A381), "")</f>
        <v>I-074</v>
      </c>
      <c r="C381" s="3">
        <v>40</v>
      </c>
      <c r="D381" s="287" t="str">
        <f>IFERROR(HLOOKUP(C381, 'S15 Routing Clustered'!$B$2:$I$18,A381+1, 0), "")</f>
        <v>WS-21</v>
      </c>
      <c r="E381" s="287" t="str">
        <f t="shared" si="17"/>
        <v>WS-28</v>
      </c>
      <c r="F381" s="3">
        <f>IF(E381="", "", VLOOKUP(B381, 'S08 ABC Output'!$A$3:$C$18, 3, 0))</f>
        <v>25468</v>
      </c>
      <c r="I381" s="288" t="str">
        <f t="shared" si="21"/>
        <v>WS-03</v>
      </c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</row>
    <row r="382" spans="1:53" ht="17">
      <c r="A382" s="3">
        <v>9</v>
      </c>
      <c r="B382" s="196" t="str">
        <f>IFERROR(INDEX('S15 Routing Clustered'!$A$3:$A$18, A382), "")</f>
        <v>I-074</v>
      </c>
      <c r="C382" s="3">
        <v>50</v>
      </c>
      <c r="D382" s="287" t="str">
        <f>IFERROR(HLOOKUP(C382, 'S15 Routing Clustered'!$B$2:$I$18,A382+1, 0), "")</f>
        <v>WS-28</v>
      </c>
      <c r="E382" s="287" t="str">
        <f t="shared" si="17"/>
        <v>WS-27</v>
      </c>
      <c r="F382" s="3">
        <f>IF(E382="", "", VLOOKUP(B382, 'S08 ABC Output'!$A$3:$C$18, 3, 0))</f>
        <v>25468</v>
      </c>
      <c r="I382" s="288" t="str">
        <f t="shared" si="21"/>
        <v>WS-04</v>
      </c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</row>
    <row r="383" spans="1:53" ht="17">
      <c r="A383" s="3">
        <v>9</v>
      </c>
      <c r="B383" s="196" t="str">
        <f>IFERROR(INDEX('S15 Routing Clustered'!$A$3:$A$18, A383), "")</f>
        <v>I-074</v>
      </c>
      <c r="C383" s="3">
        <v>60</v>
      </c>
      <c r="D383" s="287" t="str">
        <f>IFERROR(HLOOKUP(C383, 'S15 Routing Clustered'!$B$2:$I$18,A383+1, 0), "")</f>
        <v>WS-27</v>
      </c>
      <c r="E383" s="287" t="str">
        <f t="shared" si="17"/>
        <v>WS-32</v>
      </c>
      <c r="F383" s="3">
        <f>IF(E383="", "", VLOOKUP(B383, 'S08 ABC Output'!$A$3:$C$18, 3, 0))</f>
        <v>25468</v>
      </c>
      <c r="I383" s="288" t="str">
        <f t="shared" si="21"/>
        <v>WS-05</v>
      </c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</row>
    <row r="384" spans="1:53" ht="17">
      <c r="A384" s="3">
        <v>9</v>
      </c>
      <c r="B384" s="196" t="str">
        <f>IFERROR(INDEX('S15 Routing Clustered'!$A$3:$A$18, A384), "")</f>
        <v>I-074</v>
      </c>
      <c r="C384" s="3">
        <v>70</v>
      </c>
      <c r="D384" s="287" t="str">
        <f>IFERROR(HLOOKUP(C384, 'S15 Routing Clustered'!$B$2:$I$18,A384+1, 0), "")</f>
        <v>WS-32</v>
      </c>
      <c r="E384" s="287" t="str">
        <f t="shared" si="17"/>
        <v>WS-44</v>
      </c>
      <c r="F384" s="3">
        <f>IF(E384="", "", VLOOKUP(B384, 'S08 ABC Output'!$A$3:$C$18, 3, 0))</f>
        <v>25468</v>
      </c>
      <c r="I384" s="288" t="str">
        <f t="shared" si="21"/>
        <v>WS-06</v>
      </c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</row>
    <row r="385" spans="1:53" ht="17">
      <c r="A385" s="3">
        <v>9</v>
      </c>
      <c r="B385" s="196" t="str">
        <f>IFERROR(INDEX('S15 Routing Clustered'!$A$3:$A$18, A385), "")</f>
        <v>I-074</v>
      </c>
      <c r="C385" s="3">
        <v>80</v>
      </c>
      <c r="D385" s="287" t="str">
        <f>IFERROR(HLOOKUP(C385, 'S15 Routing Clustered'!$B$2:$I$18,A385+1, 0), "")</f>
        <v>WS-44</v>
      </c>
      <c r="E385" s="287" t="str">
        <f t="shared" si="17"/>
        <v/>
      </c>
      <c r="F385" s="3" t="str">
        <f>IF(E385="", "", VLOOKUP(B385, 'S08 ABC Output'!$A$3:$C$18, 3, 0))</f>
        <v/>
      </c>
      <c r="I385" s="288" t="str">
        <f t="shared" si="21"/>
        <v>WS-07</v>
      </c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>
        <v>25468</v>
      </c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</row>
    <row r="386" spans="1:53" ht="17">
      <c r="A386" s="3">
        <v>9</v>
      </c>
      <c r="B386" s="196" t="str">
        <f>IFERROR(INDEX('S15 Routing Clustered'!$A$3:$A$18, A386), "")</f>
        <v>I-074</v>
      </c>
      <c r="C386" s="3">
        <v>90</v>
      </c>
      <c r="D386" s="287" t="str">
        <f>IFERROR(HLOOKUP(C386, 'S15 Routing Clustered'!$B$2:$I$18,A386+1, 0), "")</f>
        <v/>
      </c>
      <c r="E386" s="287" t="str">
        <f t="shared" si="17"/>
        <v/>
      </c>
      <c r="F386" s="3" t="str">
        <f>IF(E386="", "", VLOOKUP(B386, 'S08 ABC Output'!$A$3:$C$18, 3, 0))</f>
        <v/>
      </c>
      <c r="I386" s="288" t="str">
        <f t="shared" si="21"/>
        <v>WS-08</v>
      </c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</row>
    <row r="387" spans="1:53" ht="17">
      <c r="A387" s="3">
        <v>9</v>
      </c>
      <c r="B387" s="196" t="str">
        <f>IFERROR(INDEX('S15 Routing Clustered'!$A$3:$A$18, A387), "")</f>
        <v>I-074</v>
      </c>
      <c r="C387" s="3">
        <v>100</v>
      </c>
      <c r="D387" s="287" t="str">
        <f>IFERROR(HLOOKUP(C387, 'S15 Routing Clustered'!$B$2:$I$18,A387+1, 0), "")</f>
        <v/>
      </c>
      <c r="E387" s="287" t="str">
        <f t="shared" ref="E387:E450" si="22">IF(D387="", "", D388)</f>
        <v/>
      </c>
      <c r="F387" s="3" t="str">
        <f>IF(E387="", "", VLOOKUP(B387, 'S08 ABC Output'!$A$3:$C$18, 3, 0))</f>
        <v/>
      </c>
      <c r="I387" s="288" t="str">
        <f t="shared" si="21"/>
        <v>WS-09</v>
      </c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</row>
    <row r="388" spans="1:53" ht="17">
      <c r="A388" s="3">
        <v>9</v>
      </c>
      <c r="B388" s="196" t="str">
        <f>IFERROR(INDEX('S15 Routing Clustered'!$A$3:$A$18, A388), "")</f>
        <v>I-074</v>
      </c>
      <c r="C388" s="3">
        <v>110</v>
      </c>
      <c r="D388" s="287" t="str">
        <f>IFERROR(HLOOKUP(C388, 'S15 Routing Clustered'!$B$2:$I$18,A388+1, 0), "")</f>
        <v/>
      </c>
      <c r="E388" s="287" t="str">
        <f t="shared" si="22"/>
        <v/>
      </c>
      <c r="F388" s="3" t="str">
        <f>IF(E388="", "", VLOOKUP(B388, 'S08 ABC Output'!$A$3:$C$18, 3, 0))</f>
        <v/>
      </c>
      <c r="I388" s="288" t="str">
        <f t="shared" si="21"/>
        <v>WS-10</v>
      </c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</row>
    <row r="389" spans="1:53" ht="17">
      <c r="A389" s="3">
        <v>9</v>
      </c>
      <c r="B389" s="196" t="str">
        <f>IFERROR(INDEX('S15 Routing Clustered'!$A$3:$A$18, A389), "")</f>
        <v>I-074</v>
      </c>
      <c r="C389" s="3">
        <v>120</v>
      </c>
      <c r="D389" s="287" t="str">
        <f>IFERROR(HLOOKUP(C389, 'S15 Routing Clustered'!$B$2:$I$18,A389+1, 0), "")</f>
        <v/>
      </c>
      <c r="E389" s="287" t="str">
        <f t="shared" si="22"/>
        <v/>
      </c>
      <c r="F389" s="3" t="str">
        <f>IF(E389="", "", VLOOKUP(B389, 'S08 ABC Output'!$A$3:$C$18, 3, 0))</f>
        <v/>
      </c>
      <c r="I389" s="288" t="str">
        <f t="shared" si="21"/>
        <v>WS-11</v>
      </c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</row>
    <row r="390" spans="1:53" ht="17">
      <c r="A390" s="3">
        <v>9</v>
      </c>
      <c r="B390" s="196" t="str">
        <f>IFERROR(INDEX('S15 Routing Clustered'!$A$3:$A$18, A390), "")</f>
        <v>I-074</v>
      </c>
      <c r="C390" s="3">
        <v>130</v>
      </c>
      <c r="D390" s="287" t="str">
        <f>IFERROR(HLOOKUP(C390, 'S15 Routing Clustered'!$B$2:$I$18,A390+1, 0), "")</f>
        <v/>
      </c>
      <c r="E390" s="287" t="str">
        <f t="shared" si="22"/>
        <v/>
      </c>
      <c r="F390" s="3" t="str">
        <f>IF(E390="", "", VLOOKUP(B390, 'S08 ABC Output'!$A$3:$C$18, 3, 0))</f>
        <v/>
      </c>
      <c r="I390" s="288" t="str">
        <f t="shared" si="21"/>
        <v>WS-12</v>
      </c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</row>
    <row r="391" spans="1:53" ht="17">
      <c r="A391" s="3">
        <v>9</v>
      </c>
      <c r="B391" s="196" t="str">
        <f>IFERROR(INDEX('S15 Routing Clustered'!$A$3:$A$18, A391), "")</f>
        <v>I-074</v>
      </c>
      <c r="C391" s="3">
        <v>140</v>
      </c>
      <c r="D391" s="287" t="str">
        <f>IFERROR(HLOOKUP(C391, 'S15 Routing Clustered'!$B$2:$I$18,A391+1, 0), "")</f>
        <v/>
      </c>
      <c r="E391" s="287" t="str">
        <f t="shared" si="22"/>
        <v/>
      </c>
      <c r="F391" s="3" t="str">
        <f>IF(E391="", "", VLOOKUP(B391, 'S08 ABC Output'!$A$3:$C$18, 3, 0))</f>
        <v/>
      </c>
      <c r="I391" s="288" t="str">
        <f t="shared" si="21"/>
        <v>WS-13</v>
      </c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</row>
    <row r="392" spans="1:53" ht="17">
      <c r="A392" s="3">
        <v>9</v>
      </c>
      <c r="B392" s="196" t="str">
        <f>IFERROR(INDEX('S15 Routing Clustered'!$A$3:$A$18, A392), "")</f>
        <v>I-074</v>
      </c>
      <c r="C392" s="3">
        <v>150</v>
      </c>
      <c r="D392" s="287" t="str">
        <f>IFERROR(HLOOKUP(C392, 'S15 Routing Clustered'!$B$2:$I$18,A392+1, 0), "")</f>
        <v/>
      </c>
      <c r="E392" s="287" t="str">
        <f t="shared" si="22"/>
        <v/>
      </c>
      <c r="F392" s="3" t="str">
        <f>IF(E392="", "", VLOOKUP(B392, 'S08 ABC Output'!$A$3:$C$18, 3, 0))</f>
        <v/>
      </c>
      <c r="I392" s="288" t="str">
        <f t="shared" si="21"/>
        <v>WS-14</v>
      </c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</row>
    <row r="393" spans="1:53" ht="17">
      <c r="A393" s="3">
        <v>9</v>
      </c>
      <c r="B393" s="196" t="str">
        <f>IFERROR(INDEX('S15 Routing Clustered'!$A$3:$A$18, A393), "")</f>
        <v>I-074</v>
      </c>
      <c r="C393" s="3">
        <v>160</v>
      </c>
      <c r="D393" s="287" t="str">
        <f>IFERROR(HLOOKUP(C393, 'S15 Routing Clustered'!$B$2:$I$18,A393+1, 0), "")</f>
        <v/>
      </c>
      <c r="E393" s="287" t="str">
        <f t="shared" si="22"/>
        <v/>
      </c>
      <c r="F393" s="3" t="str">
        <f>IF(E393="", "", VLOOKUP(B393, 'S08 ABC Output'!$A$3:$C$18, 3, 0))</f>
        <v/>
      </c>
      <c r="I393" s="288" t="str">
        <f t="shared" si="21"/>
        <v>WS-15</v>
      </c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</row>
    <row r="394" spans="1:53" ht="17">
      <c r="A394" s="3">
        <v>9</v>
      </c>
      <c r="B394" s="196" t="str">
        <f>IFERROR(INDEX('S15 Routing Clustered'!$A$3:$A$18, A394), "")</f>
        <v>I-074</v>
      </c>
      <c r="C394" s="3">
        <v>170</v>
      </c>
      <c r="D394" s="287" t="str">
        <f>IFERROR(HLOOKUP(C394, 'S15 Routing Clustered'!$B$2:$I$18,A394+1, 0), "")</f>
        <v/>
      </c>
      <c r="E394" s="287" t="str">
        <f t="shared" si="22"/>
        <v/>
      </c>
      <c r="F394" s="3" t="str">
        <f>IF(E394="", "", VLOOKUP(B394, 'S08 ABC Output'!$A$3:$C$18, 3, 0))</f>
        <v/>
      </c>
      <c r="I394" s="288" t="str">
        <f t="shared" si="21"/>
        <v>WS-16</v>
      </c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</row>
    <row r="395" spans="1:53" ht="17">
      <c r="A395" s="3">
        <v>9</v>
      </c>
      <c r="B395" s="196" t="str">
        <f>IFERROR(INDEX('S15 Routing Clustered'!$A$3:$A$18, A395), "")</f>
        <v>I-074</v>
      </c>
      <c r="C395" s="3">
        <v>180</v>
      </c>
      <c r="D395" s="287" t="str">
        <f>IFERROR(HLOOKUP(C395, 'S15 Routing Clustered'!$B$2:$I$18,A395+1, 0), "")</f>
        <v/>
      </c>
      <c r="E395" s="287" t="str">
        <f t="shared" si="22"/>
        <v/>
      </c>
      <c r="F395" s="3" t="str">
        <f>IF(E395="", "", VLOOKUP(B395, 'S08 ABC Output'!$A$3:$C$18, 3, 0))</f>
        <v/>
      </c>
      <c r="I395" s="288" t="str">
        <f t="shared" si="21"/>
        <v>WS-17</v>
      </c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</row>
    <row r="396" spans="1:53" ht="17">
      <c r="A396" s="3">
        <v>9</v>
      </c>
      <c r="B396" s="196" t="str">
        <f>IFERROR(INDEX('S15 Routing Clustered'!$A$3:$A$18, A396), "")</f>
        <v>I-074</v>
      </c>
      <c r="C396" s="3">
        <v>190</v>
      </c>
      <c r="D396" s="287" t="str">
        <f>IFERROR(HLOOKUP(C396, 'S15 Routing Clustered'!$B$2:$I$18,A396+1, 0), "")</f>
        <v/>
      </c>
      <c r="E396" s="287" t="str">
        <f t="shared" si="22"/>
        <v/>
      </c>
      <c r="F396" s="3" t="str">
        <f>IF(E396="", "", VLOOKUP(B396, 'S08 ABC Output'!$A$3:$C$18, 3, 0))</f>
        <v/>
      </c>
      <c r="I396" s="288" t="str">
        <f t="shared" si="21"/>
        <v>WS-18</v>
      </c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</row>
    <row r="397" spans="1:53" ht="17">
      <c r="A397" s="3">
        <v>9</v>
      </c>
      <c r="B397" s="196" t="str">
        <f>IFERROR(INDEX('S15 Routing Clustered'!$A$3:$A$18, A397), "")</f>
        <v>I-074</v>
      </c>
      <c r="C397" s="3">
        <v>200</v>
      </c>
      <c r="D397" s="287" t="str">
        <f>IFERROR(HLOOKUP(C397, 'S15 Routing Clustered'!$B$2:$I$18,A397+1, 0), "")</f>
        <v/>
      </c>
      <c r="E397" s="287" t="str">
        <f t="shared" si="22"/>
        <v/>
      </c>
      <c r="F397" s="3" t="str">
        <f>IF(E397="", "", VLOOKUP(B397, 'S08 ABC Output'!$A$3:$C$18, 3, 0))</f>
        <v/>
      </c>
      <c r="I397" s="288" t="str">
        <f t="shared" si="21"/>
        <v>WS-19</v>
      </c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</row>
    <row r="398" spans="1:53" ht="17">
      <c r="A398" s="3">
        <v>9</v>
      </c>
      <c r="B398" s="196" t="str">
        <f>IFERROR(INDEX('S15 Routing Clustered'!$A$3:$A$18, A398), "")</f>
        <v>I-074</v>
      </c>
      <c r="C398" s="3">
        <v>210</v>
      </c>
      <c r="D398" s="287" t="str">
        <f>IFERROR(HLOOKUP(C398, 'S15 Routing Clustered'!$B$2:$I$18,A398+1, 0), "")</f>
        <v/>
      </c>
      <c r="E398" s="287" t="str">
        <f t="shared" si="22"/>
        <v/>
      </c>
      <c r="F398" s="3" t="str">
        <f>IF(E398="", "", VLOOKUP(B398, 'S08 ABC Output'!$A$3:$C$18, 3, 0))</f>
        <v/>
      </c>
      <c r="I398" s="288" t="str">
        <f t="shared" si="21"/>
        <v>WS-20</v>
      </c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</row>
    <row r="399" spans="1:53" ht="17">
      <c r="A399" s="3">
        <v>9</v>
      </c>
      <c r="B399" s="196" t="str">
        <f>IFERROR(INDEX('S15 Routing Clustered'!$A$3:$A$18, A399), "")</f>
        <v>I-074</v>
      </c>
      <c r="C399" s="3">
        <v>220</v>
      </c>
      <c r="D399" s="287" t="str">
        <f>IFERROR(HLOOKUP(C399, 'S15 Routing Clustered'!$B$2:$I$18,A399+1, 0), "")</f>
        <v/>
      </c>
      <c r="E399" s="287" t="str">
        <f t="shared" si="22"/>
        <v/>
      </c>
      <c r="F399" s="3" t="str">
        <f>IF(E399="", "", VLOOKUP(B399, 'S08 ABC Output'!$A$3:$C$18, 3, 0))</f>
        <v/>
      </c>
      <c r="I399" s="288" t="str">
        <f t="shared" si="21"/>
        <v>WS-21</v>
      </c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>
        <v>25468</v>
      </c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</row>
    <row r="400" spans="1:53" ht="17">
      <c r="A400" s="3">
        <v>9</v>
      </c>
      <c r="B400" s="196" t="str">
        <f>IFERROR(INDEX('S15 Routing Clustered'!$A$3:$A$18, A400), "")</f>
        <v>I-074</v>
      </c>
      <c r="C400" s="3">
        <v>230</v>
      </c>
      <c r="D400" s="287" t="str">
        <f>IFERROR(HLOOKUP(C400, 'S15 Routing Clustered'!$B$2:$I$18,A400+1, 0), "")</f>
        <v/>
      </c>
      <c r="E400" s="287" t="str">
        <f t="shared" si="22"/>
        <v/>
      </c>
      <c r="F400" s="3" t="str">
        <f>IF(E400="", "", VLOOKUP(B400, 'S08 ABC Output'!$A$3:$C$18, 3, 0))</f>
        <v/>
      </c>
      <c r="I400" s="288" t="str">
        <f t="shared" si="21"/>
        <v>WS-22</v>
      </c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</row>
    <row r="401" spans="1:53" ht="17">
      <c r="A401" s="3">
        <v>9</v>
      </c>
      <c r="B401" s="196" t="str">
        <f>IFERROR(INDEX('S15 Routing Clustered'!$A$3:$A$18, A401), "")</f>
        <v>I-074</v>
      </c>
      <c r="C401" s="3">
        <v>240</v>
      </c>
      <c r="D401" s="287" t="str">
        <f>IFERROR(HLOOKUP(C401, 'S15 Routing Clustered'!$B$2:$I$18,A401+1, 0), "")</f>
        <v/>
      </c>
      <c r="E401" s="287" t="str">
        <f t="shared" si="22"/>
        <v/>
      </c>
      <c r="F401" s="3" t="str">
        <f>IF(E401="", "", VLOOKUP(B401, 'S08 ABC Output'!$A$3:$C$18, 3, 0))</f>
        <v/>
      </c>
      <c r="I401" s="288" t="str">
        <f t="shared" si="21"/>
        <v>WS-23</v>
      </c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</row>
    <row r="402" spans="1:53" ht="17">
      <c r="A402" s="3">
        <v>9</v>
      </c>
      <c r="B402" s="196" t="str">
        <f>IFERROR(INDEX('S15 Routing Clustered'!$A$3:$A$18, A402), "")</f>
        <v>I-074</v>
      </c>
      <c r="C402" s="3">
        <v>250</v>
      </c>
      <c r="D402" s="287" t="str">
        <f>IFERROR(HLOOKUP(C402, 'S15 Routing Clustered'!$B$2:$I$18,A402+1, 0), "")</f>
        <v/>
      </c>
      <c r="E402" s="287" t="str">
        <f t="shared" si="22"/>
        <v/>
      </c>
      <c r="F402" s="3" t="str">
        <f>IF(E402="", "", VLOOKUP(B402, 'S08 ABC Output'!$A$3:$C$18, 3, 0))</f>
        <v/>
      </c>
      <c r="I402" s="288" t="str">
        <f t="shared" si="21"/>
        <v>WS-24</v>
      </c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</row>
    <row r="403" spans="1:53" ht="17">
      <c r="A403" s="3">
        <v>9</v>
      </c>
      <c r="B403" s="196" t="str">
        <f>IFERROR(INDEX('S15 Routing Clustered'!$A$3:$A$18, A403), "")</f>
        <v>I-074</v>
      </c>
      <c r="C403" s="3">
        <v>260</v>
      </c>
      <c r="D403" s="287" t="str">
        <f>IFERROR(HLOOKUP(C403, 'S15 Routing Clustered'!$B$2:$I$18,A403+1, 0), "")</f>
        <v/>
      </c>
      <c r="E403" s="287" t="str">
        <f t="shared" si="22"/>
        <v/>
      </c>
      <c r="F403" s="3" t="str">
        <f>IF(E403="", "", VLOOKUP(B403, 'S08 ABC Output'!$A$3:$C$18, 3, 0))</f>
        <v/>
      </c>
      <c r="I403" s="288" t="str">
        <f t="shared" si="21"/>
        <v>WS-25</v>
      </c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</row>
    <row r="404" spans="1:53" ht="17">
      <c r="A404" s="3">
        <v>9</v>
      </c>
      <c r="B404" s="196" t="str">
        <f>IFERROR(INDEX('S15 Routing Clustered'!$A$3:$A$18, A404), "")</f>
        <v>I-074</v>
      </c>
      <c r="C404" s="3">
        <v>270</v>
      </c>
      <c r="D404" s="287" t="str">
        <f>IFERROR(HLOOKUP(C404, 'S15 Routing Clustered'!$B$2:$I$18,A404+1, 0), "")</f>
        <v/>
      </c>
      <c r="E404" s="287" t="str">
        <f t="shared" si="22"/>
        <v/>
      </c>
      <c r="F404" s="3" t="str">
        <f>IF(E404="", "", VLOOKUP(B404, 'S08 ABC Output'!$A$3:$C$18, 3, 0))</f>
        <v/>
      </c>
      <c r="I404" s="288" t="str">
        <f t="shared" si="21"/>
        <v>WS-26</v>
      </c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</row>
    <row r="405" spans="1:53" ht="17">
      <c r="A405" s="3">
        <v>9</v>
      </c>
      <c r="B405" s="196" t="str">
        <f>IFERROR(INDEX('S15 Routing Clustered'!$A$3:$A$18, A405), "")</f>
        <v>I-074</v>
      </c>
      <c r="C405" s="3">
        <v>280</v>
      </c>
      <c r="D405" s="287" t="str">
        <f>IFERROR(HLOOKUP(C405, 'S15 Routing Clustered'!$B$2:$I$18,A405+1, 0), "")</f>
        <v/>
      </c>
      <c r="E405" s="287" t="str">
        <f t="shared" si="22"/>
        <v/>
      </c>
      <c r="F405" s="3" t="str">
        <f>IF(E405="", "", VLOOKUP(B405, 'S08 ABC Output'!$A$3:$C$18, 3, 0))</f>
        <v/>
      </c>
      <c r="I405" s="288" t="str">
        <f t="shared" si="21"/>
        <v>WS-27</v>
      </c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>
        <v>25468</v>
      </c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</row>
    <row r="406" spans="1:53" ht="17">
      <c r="A406" s="3">
        <v>9</v>
      </c>
      <c r="B406" s="196" t="str">
        <f>IFERROR(INDEX('S15 Routing Clustered'!$A$3:$A$18, A406), "")</f>
        <v>I-074</v>
      </c>
      <c r="C406" s="3">
        <v>290</v>
      </c>
      <c r="D406" s="287" t="str">
        <f>IFERROR(HLOOKUP(C406, 'S15 Routing Clustered'!$B$2:$I$18,A406+1, 0), "")</f>
        <v/>
      </c>
      <c r="E406" s="287" t="str">
        <f t="shared" si="22"/>
        <v/>
      </c>
      <c r="F406" s="3" t="str">
        <f>IF(E406="", "", VLOOKUP(B406, 'S08 ABC Output'!$A$3:$C$18, 3, 0))</f>
        <v/>
      </c>
      <c r="I406" s="288" t="str">
        <f t="shared" si="21"/>
        <v>WS-28</v>
      </c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>
        <v>25468</v>
      </c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</row>
    <row r="407" spans="1:53" ht="17">
      <c r="A407" s="3">
        <v>9</v>
      </c>
      <c r="B407" s="196" t="str">
        <f>IFERROR(INDEX('S15 Routing Clustered'!$A$3:$A$18, A407), "")</f>
        <v>I-074</v>
      </c>
      <c r="C407" s="3">
        <v>300</v>
      </c>
      <c r="D407" s="287" t="str">
        <f>IFERROR(HLOOKUP(C407, 'S15 Routing Clustered'!$B$2:$I$18,A407+1, 0), "")</f>
        <v/>
      </c>
      <c r="E407" s="287" t="str">
        <f t="shared" si="22"/>
        <v/>
      </c>
      <c r="F407" s="3" t="str">
        <f>IF(E407="", "", VLOOKUP(B407, 'S08 ABC Output'!$A$3:$C$18, 3, 0))</f>
        <v/>
      </c>
      <c r="I407" s="288" t="str">
        <f t="shared" si="21"/>
        <v>WS-29</v>
      </c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</row>
    <row r="408" spans="1:53" ht="17">
      <c r="A408" s="3">
        <v>9</v>
      </c>
      <c r="B408" s="196" t="str">
        <f>IFERROR(INDEX('S15 Routing Clustered'!$A$3:$A$18, A408), "")</f>
        <v>I-074</v>
      </c>
      <c r="C408" s="3">
        <v>310</v>
      </c>
      <c r="D408" s="287" t="str">
        <f>IFERROR(HLOOKUP(C408, 'S15 Routing Clustered'!$B$2:$I$18,A408+1, 0), "")</f>
        <v/>
      </c>
      <c r="E408" s="287" t="str">
        <f t="shared" si="22"/>
        <v/>
      </c>
      <c r="F408" s="3" t="str">
        <f>IF(E408="", "", VLOOKUP(B408, 'S08 ABC Output'!$A$3:$C$18, 3, 0))</f>
        <v/>
      </c>
      <c r="I408" s="288" t="str">
        <f t="shared" si="21"/>
        <v>WS-30</v>
      </c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</row>
    <row r="409" spans="1:53" ht="17">
      <c r="A409" s="3">
        <v>9</v>
      </c>
      <c r="B409" s="196" t="str">
        <f>IFERROR(INDEX('S15 Routing Clustered'!$A$3:$A$18, A409), "")</f>
        <v>I-074</v>
      </c>
      <c r="C409" s="3">
        <v>320</v>
      </c>
      <c r="D409" s="287" t="str">
        <f>IFERROR(HLOOKUP(C409, 'S15 Routing Clustered'!$B$2:$I$18,A409+1, 0), "")</f>
        <v/>
      </c>
      <c r="E409" s="287" t="str">
        <f t="shared" si="22"/>
        <v/>
      </c>
      <c r="F409" s="3" t="str">
        <f>IF(E409="", "", VLOOKUP(B409, 'S08 ABC Output'!$A$3:$C$18, 3, 0))</f>
        <v/>
      </c>
      <c r="I409" s="288" t="str">
        <f t="shared" si="21"/>
        <v>WS-31</v>
      </c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</row>
    <row r="410" spans="1:53" ht="17">
      <c r="A410" s="3">
        <v>9</v>
      </c>
      <c r="B410" s="196" t="str">
        <f>IFERROR(INDEX('S15 Routing Clustered'!$A$3:$A$18, A410), "")</f>
        <v>I-074</v>
      </c>
      <c r="C410" s="3">
        <v>330</v>
      </c>
      <c r="D410" s="287" t="str">
        <f>IFERROR(HLOOKUP(C410, 'S15 Routing Clustered'!$B$2:$I$18,A410+1, 0), "")</f>
        <v/>
      </c>
      <c r="E410" s="287" t="str">
        <f t="shared" si="22"/>
        <v/>
      </c>
      <c r="F410" s="3" t="str">
        <f>IF(E410="", "", VLOOKUP(B410, 'S08 ABC Output'!$A$3:$C$18, 3, 0))</f>
        <v/>
      </c>
      <c r="I410" s="288" t="str">
        <f t="shared" si="21"/>
        <v>WS-32</v>
      </c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>
        <v>25468</v>
      </c>
    </row>
    <row r="411" spans="1:53" ht="17">
      <c r="A411" s="3">
        <v>9</v>
      </c>
      <c r="B411" s="196" t="str">
        <f>IFERROR(INDEX('S15 Routing Clustered'!$A$3:$A$18, A411), "")</f>
        <v>I-074</v>
      </c>
      <c r="C411" s="3">
        <v>340</v>
      </c>
      <c r="D411" s="287" t="str">
        <f>IFERROR(HLOOKUP(C411, 'S15 Routing Clustered'!$B$2:$I$18,A411+1, 0), "")</f>
        <v/>
      </c>
      <c r="E411" s="287" t="str">
        <f t="shared" si="22"/>
        <v/>
      </c>
      <c r="F411" s="3" t="str">
        <f>IF(E411="", "", VLOOKUP(B411, 'S08 ABC Output'!$A$3:$C$18, 3, 0))</f>
        <v/>
      </c>
      <c r="I411" s="288" t="str">
        <f t="shared" si="21"/>
        <v>WS-33</v>
      </c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</row>
    <row r="412" spans="1:53" ht="17">
      <c r="A412" s="3">
        <v>9</v>
      </c>
      <c r="B412" s="196" t="str">
        <f>IFERROR(INDEX('S15 Routing Clustered'!$A$3:$A$18, A412), "")</f>
        <v>I-074</v>
      </c>
      <c r="C412" s="3">
        <v>350</v>
      </c>
      <c r="D412" s="287" t="str">
        <f>IFERROR(HLOOKUP(C412, 'S15 Routing Clustered'!$B$2:$I$18,A412+1, 0), "")</f>
        <v/>
      </c>
      <c r="E412" s="287" t="str">
        <f t="shared" si="22"/>
        <v/>
      </c>
      <c r="F412" s="3" t="str">
        <f>IF(E412="", "", VLOOKUP(B412, 'S08 ABC Output'!$A$3:$C$18, 3, 0))</f>
        <v/>
      </c>
      <c r="I412" s="288" t="str">
        <f t="shared" si="21"/>
        <v>WS-34</v>
      </c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</row>
    <row r="413" spans="1:53" ht="17">
      <c r="A413" s="3">
        <v>9</v>
      </c>
      <c r="B413" s="196" t="str">
        <f>IFERROR(INDEX('S15 Routing Clustered'!$A$3:$A$18, A413), "")</f>
        <v>I-074</v>
      </c>
      <c r="C413" s="3">
        <v>360</v>
      </c>
      <c r="D413" s="287" t="str">
        <f>IFERROR(HLOOKUP(C413, 'S15 Routing Clustered'!$B$2:$I$18,A413+1, 0), "")</f>
        <v/>
      </c>
      <c r="E413" s="287" t="str">
        <f t="shared" si="22"/>
        <v/>
      </c>
      <c r="F413" s="3" t="str">
        <f>IF(E413="", "", VLOOKUP(B413, 'S08 ABC Output'!$A$3:$C$18, 3, 0))</f>
        <v/>
      </c>
      <c r="I413" s="288" t="str">
        <f t="shared" si="21"/>
        <v>WS-35</v>
      </c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</row>
    <row r="414" spans="1:53" ht="17">
      <c r="A414" s="3">
        <v>9</v>
      </c>
      <c r="B414" s="196" t="str">
        <f>IFERROR(INDEX('S15 Routing Clustered'!$A$3:$A$18, A414), "")</f>
        <v>I-074</v>
      </c>
      <c r="C414" s="3">
        <v>370</v>
      </c>
      <c r="D414" s="287" t="str">
        <f>IFERROR(HLOOKUP(C414, 'S15 Routing Clustered'!$B$2:$I$18,A414+1, 0), "")</f>
        <v/>
      </c>
      <c r="E414" s="287" t="str">
        <f t="shared" si="22"/>
        <v/>
      </c>
      <c r="F414" s="3" t="str">
        <f>IF(E414="", "", VLOOKUP(B414, 'S08 ABC Output'!$A$3:$C$18, 3, 0))</f>
        <v/>
      </c>
      <c r="I414" s="288" t="str">
        <f t="shared" si="21"/>
        <v>WS-36</v>
      </c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</row>
    <row r="415" spans="1:53" ht="17">
      <c r="A415" s="3">
        <v>9</v>
      </c>
      <c r="B415" s="196" t="str">
        <f>IFERROR(INDEX('S15 Routing Clustered'!$A$3:$A$18, A415), "")</f>
        <v>I-074</v>
      </c>
      <c r="C415" s="3">
        <v>380</v>
      </c>
      <c r="D415" s="287" t="str">
        <f>IFERROR(HLOOKUP(C415, 'S15 Routing Clustered'!$B$2:$I$18,A415+1, 0), "")</f>
        <v/>
      </c>
      <c r="E415" s="287" t="str">
        <f t="shared" si="22"/>
        <v/>
      </c>
      <c r="F415" s="3" t="str">
        <f>IF(E415="", "", VLOOKUP(B415, 'S08 ABC Output'!$A$3:$C$18, 3, 0))</f>
        <v/>
      </c>
      <c r="I415" s="288" t="str">
        <f t="shared" si="21"/>
        <v>WS-37</v>
      </c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</row>
    <row r="416" spans="1:53" ht="17">
      <c r="A416" s="3">
        <v>9</v>
      </c>
      <c r="B416" s="196" t="str">
        <f>IFERROR(INDEX('S15 Routing Clustered'!$A$3:$A$18, A416), "")</f>
        <v>I-074</v>
      </c>
      <c r="C416" s="3">
        <v>390</v>
      </c>
      <c r="D416" s="287" t="str">
        <f>IFERROR(HLOOKUP(C416, 'S15 Routing Clustered'!$B$2:$I$18,A416+1, 0), "")</f>
        <v/>
      </c>
      <c r="E416" s="287" t="str">
        <f t="shared" si="22"/>
        <v/>
      </c>
      <c r="F416" s="3" t="str">
        <f>IF(E416="", "", VLOOKUP(B416, 'S08 ABC Output'!$A$3:$C$18, 3, 0))</f>
        <v/>
      </c>
      <c r="I416" s="288" t="str">
        <f t="shared" si="21"/>
        <v>WS-38</v>
      </c>
      <c r="J416" s="3"/>
      <c r="K416" s="3"/>
      <c r="L416" s="3"/>
      <c r="M416" s="3"/>
      <c r="N416" s="3"/>
      <c r="O416" s="3"/>
      <c r="P416" s="3">
        <v>25468</v>
      </c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</row>
    <row r="417" spans="1:53" ht="17">
      <c r="A417" s="3">
        <v>9</v>
      </c>
      <c r="B417" s="196" t="str">
        <f>IFERROR(INDEX('S15 Routing Clustered'!$A$3:$A$18, A417), "")</f>
        <v>I-074</v>
      </c>
      <c r="C417" s="3">
        <v>400</v>
      </c>
      <c r="D417" s="287" t="str">
        <f>IFERROR(HLOOKUP(C417, 'S15 Routing Clustered'!$B$2:$I$18,A417+1, 0), "")</f>
        <v/>
      </c>
      <c r="E417" s="287" t="str">
        <f t="shared" si="22"/>
        <v/>
      </c>
      <c r="F417" s="3" t="str">
        <f>IF(E417="", "", VLOOKUP(B417, 'S08 ABC Output'!$A$3:$C$18, 3, 0))</f>
        <v/>
      </c>
      <c r="I417" s="288" t="str">
        <f t="shared" si="21"/>
        <v>WS-39</v>
      </c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</row>
    <row r="418" spans="1:53" ht="17">
      <c r="A418" s="3">
        <v>9</v>
      </c>
      <c r="B418" s="196" t="str">
        <f>IFERROR(INDEX('S15 Routing Clustered'!$A$3:$A$18, A418), "")</f>
        <v>I-074</v>
      </c>
      <c r="C418" s="3">
        <v>410</v>
      </c>
      <c r="D418" s="287" t="str">
        <f>IFERROR(HLOOKUP(C418, 'S15 Routing Clustered'!$B$2:$I$18,A418+1, 0), "")</f>
        <v/>
      </c>
      <c r="E418" s="287" t="str">
        <f t="shared" si="22"/>
        <v/>
      </c>
      <c r="F418" s="3" t="str">
        <f>IF(E418="", "", VLOOKUP(B418, 'S08 ABC Output'!$A$3:$C$18, 3, 0))</f>
        <v/>
      </c>
      <c r="I418" s="288" t="str">
        <f t="shared" si="21"/>
        <v>WS-40</v>
      </c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</row>
    <row r="419" spans="1:53" ht="17">
      <c r="A419" s="3">
        <v>9</v>
      </c>
      <c r="B419" s="196" t="str">
        <f>IFERROR(INDEX('S15 Routing Clustered'!$A$3:$A$18, A419), "")</f>
        <v>I-074</v>
      </c>
      <c r="C419" s="3">
        <v>420</v>
      </c>
      <c r="D419" s="287" t="str">
        <f>IFERROR(HLOOKUP(C419, 'S15 Routing Clustered'!$B$2:$I$18,A419+1, 0), "")</f>
        <v/>
      </c>
      <c r="E419" s="287" t="str">
        <f t="shared" si="22"/>
        <v/>
      </c>
      <c r="F419" s="3" t="str">
        <f>IF(E419="", "", VLOOKUP(B419, 'S08 ABC Output'!$A$3:$C$18, 3, 0))</f>
        <v/>
      </c>
      <c r="I419" s="288" t="str">
        <f t="shared" si="21"/>
        <v>WS-41</v>
      </c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</row>
    <row r="420" spans="1:53" ht="17">
      <c r="A420" s="3">
        <v>9</v>
      </c>
      <c r="B420" s="196" t="str">
        <f>IFERROR(INDEX('S15 Routing Clustered'!$A$3:$A$18, A420), "")</f>
        <v>I-074</v>
      </c>
      <c r="C420" s="3">
        <v>430</v>
      </c>
      <c r="D420" s="287" t="str">
        <f>IFERROR(HLOOKUP(C420, 'S15 Routing Clustered'!$B$2:$I$18,A420+1, 0), "")</f>
        <v/>
      </c>
      <c r="E420" s="287" t="str">
        <f t="shared" si="22"/>
        <v/>
      </c>
      <c r="F420" s="3" t="str">
        <f>IF(E420="", "", VLOOKUP(B420, 'S08 ABC Output'!$A$3:$C$18, 3, 0))</f>
        <v/>
      </c>
      <c r="I420" s="288" t="str">
        <f t="shared" si="21"/>
        <v>WS-42</v>
      </c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</row>
    <row r="421" spans="1:53" ht="17">
      <c r="A421" s="3">
        <v>9</v>
      </c>
      <c r="B421" s="196" t="str">
        <f>IFERROR(INDEX('S15 Routing Clustered'!$A$3:$A$18, A421), "")</f>
        <v>I-074</v>
      </c>
      <c r="C421" s="3">
        <v>440</v>
      </c>
      <c r="D421" s="287" t="str">
        <f>IFERROR(HLOOKUP(C421, 'S15 Routing Clustered'!$B$2:$I$18,A421+1, 0), "")</f>
        <v/>
      </c>
      <c r="E421" s="287" t="str">
        <f t="shared" si="22"/>
        <v/>
      </c>
      <c r="F421" s="3" t="str">
        <f>IF(E421="", "", VLOOKUP(B421, 'S08 ABC Output'!$A$3:$C$18, 3, 0))</f>
        <v/>
      </c>
      <c r="I421" s="288" t="str">
        <f t="shared" si="21"/>
        <v>WS-43</v>
      </c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>
        <v>25468</v>
      </c>
      <c r="AV421" s="3"/>
      <c r="AW421" s="3"/>
      <c r="AX421" s="3"/>
      <c r="AY421" s="3"/>
      <c r="AZ421" s="3"/>
      <c r="BA421" s="3"/>
    </row>
    <row r="422" spans="1:53" ht="17">
      <c r="A422" s="3">
        <v>9</v>
      </c>
      <c r="B422" s="196" t="str">
        <f>IFERROR(INDEX('S15 Routing Clustered'!$A$3:$A$18, A422), "")</f>
        <v>I-074</v>
      </c>
      <c r="C422" s="3">
        <v>450</v>
      </c>
      <c r="D422" s="287" t="str">
        <f>IFERROR(HLOOKUP(C422, 'S15 Routing Clustered'!$B$2:$I$18,A422+1, 0), "")</f>
        <v/>
      </c>
      <c r="E422" s="287" t="str">
        <f t="shared" si="22"/>
        <v/>
      </c>
      <c r="F422" s="3" t="str">
        <f>IF(E422="", "", VLOOKUP(B422, 'S08 ABC Output'!$A$3:$C$18, 3, 0))</f>
        <v/>
      </c>
      <c r="I422" s="288" t="str">
        <f t="shared" si="21"/>
        <v>WS-44</v>
      </c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</row>
    <row r="423" spans="1:53" ht="17">
      <c r="B423" s="196" t="str">
        <f>IFERROR(INDEX('S15 Routing Clustered'!$A$3:$A$18, A423), "")</f>
        <v/>
      </c>
      <c r="D423" s="287" t="str">
        <f>IFERROR(HLOOKUP(C423, 'S15 Routing Clustered'!$B$2:$I$18,A423+1, 0), "")</f>
        <v/>
      </c>
      <c r="E423" s="287" t="str">
        <f t="shared" si="22"/>
        <v/>
      </c>
      <c r="F423" s="3" t="str">
        <f>IF(E423="", "", VLOOKUP(B423, 'S08 ABC Output'!$A$3:$C$18, 3, 0))</f>
        <v/>
      </c>
      <c r="I423" s="288"/>
    </row>
    <row r="424" spans="1:53" ht="17">
      <c r="B424" s="196" t="str">
        <f>IFERROR(INDEX('S15 Routing Clustered'!$A$3:$A$18, A424), "")</f>
        <v/>
      </c>
      <c r="D424" s="287" t="str">
        <f>IFERROR(HLOOKUP(C424, 'S15 Routing Clustered'!$B$2:$I$18,A424+1, 0), "")</f>
        <v/>
      </c>
      <c r="E424" s="287" t="str">
        <f t="shared" si="22"/>
        <v/>
      </c>
      <c r="F424" s="3" t="str">
        <f>IF(E424="", "", VLOOKUP(B424, 'S08 ABC Output'!$A$3:$C$18, 3, 0))</f>
        <v/>
      </c>
      <c r="I424" s="288"/>
    </row>
    <row r="425" spans="1:53" ht="17">
      <c r="A425" s="3">
        <v>10</v>
      </c>
      <c r="B425" s="196" t="str">
        <f>IFERROR(INDEX('S15 Routing Clustered'!$A$3:$A$18, A425), "")</f>
        <v>I-006</v>
      </c>
      <c r="C425" s="3">
        <v>10</v>
      </c>
      <c r="D425" s="287" t="str">
        <f>IFERROR(HLOOKUP(C425, 'S15 Routing Clustered'!$B$2:$I$18,A425+1, 0), "")</f>
        <v>WS-43</v>
      </c>
      <c r="E425" s="287" t="str">
        <f t="shared" si="22"/>
        <v>WS-40</v>
      </c>
      <c r="F425" s="3">
        <f>IF(E425="", "", VLOOKUP(B425, 'S08 ABC Output'!$A$3:$C$18, 3, 0))</f>
        <v>25689</v>
      </c>
      <c r="I425" s="288"/>
      <c r="J425" s="288" t="str">
        <f>J378</f>
        <v>WS-01</v>
      </c>
      <c r="K425" s="288" t="str">
        <f t="shared" ref="K425:BA425" si="23">K378</f>
        <v>WS-02</v>
      </c>
      <c r="L425" s="288" t="str">
        <f t="shared" si="23"/>
        <v>WS-03</v>
      </c>
      <c r="M425" s="288" t="str">
        <f t="shared" si="23"/>
        <v>WS-04</v>
      </c>
      <c r="N425" s="288" t="str">
        <f t="shared" si="23"/>
        <v>WS-05</v>
      </c>
      <c r="O425" s="288" t="str">
        <f t="shared" si="23"/>
        <v>WS-06</v>
      </c>
      <c r="P425" s="288" t="str">
        <f t="shared" si="23"/>
        <v>WS-07</v>
      </c>
      <c r="Q425" s="288" t="str">
        <f t="shared" si="23"/>
        <v>WS-08</v>
      </c>
      <c r="R425" s="288" t="str">
        <f t="shared" si="23"/>
        <v>WS-09</v>
      </c>
      <c r="S425" s="288" t="str">
        <f t="shared" si="23"/>
        <v>WS-10</v>
      </c>
      <c r="T425" s="288" t="str">
        <f t="shared" si="23"/>
        <v>WS-11</v>
      </c>
      <c r="U425" s="288" t="str">
        <f t="shared" si="23"/>
        <v>WS-12</v>
      </c>
      <c r="V425" s="288" t="str">
        <f t="shared" si="23"/>
        <v>WS-13</v>
      </c>
      <c r="W425" s="288" t="str">
        <f t="shared" si="23"/>
        <v>WS-14</v>
      </c>
      <c r="X425" s="288" t="str">
        <f t="shared" si="23"/>
        <v>WS-15</v>
      </c>
      <c r="Y425" s="288" t="str">
        <f t="shared" si="23"/>
        <v>WS-16</v>
      </c>
      <c r="Z425" s="288" t="str">
        <f t="shared" si="23"/>
        <v>WS-17</v>
      </c>
      <c r="AA425" s="288" t="str">
        <f t="shared" si="23"/>
        <v>WS-18</v>
      </c>
      <c r="AB425" s="288" t="str">
        <f t="shared" si="23"/>
        <v>WS-19</v>
      </c>
      <c r="AC425" s="288" t="str">
        <f t="shared" si="23"/>
        <v>WS-20</v>
      </c>
      <c r="AD425" s="288" t="str">
        <f t="shared" si="23"/>
        <v>WS-21</v>
      </c>
      <c r="AE425" s="288" t="str">
        <f t="shared" si="23"/>
        <v>WS-22</v>
      </c>
      <c r="AF425" s="288" t="str">
        <f t="shared" si="23"/>
        <v>WS-23</v>
      </c>
      <c r="AG425" s="288" t="str">
        <f t="shared" si="23"/>
        <v>WS-24</v>
      </c>
      <c r="AH425" s="288" t="str">
        <f t="shared" si="23"/>
        <v>WS-25</v>
      </c>
      <c r="AI425" s="288" t="str">
        <f t="shared" si="23"/>
        <v>WS-26</v>
      </c>
      <c r="AJ425" s="288" t="str">
        <f t="shared" si="23"/>
        <v>WS-27</v>
      </c>
      <c r="AK425" s="288" t="str">
        <f t="shared" si="23"/>
        <v>WS-28</v>
      </c>
      <c r="AL425" s="288" t="str">
        <f t="shared" si="23"/>
        <v>WS-29</v>
      </c>
      <c r="AM425" s="288" t="str">
        <f t="shared" si="23"/>
        <v>WS-30</v>
      </c>
      <c r="AN425" s="288" t="str">
        <f t="shared" si="23"/>
        <v>WS-31</v>
      </c>
      <c r="AO425" s="288" t="str">
        <f t="shared" si="23"/>
        <v>WS-32</v>
      </c>
      <c r="AP425" s="288" t="str">
        <f t="shared" si="23"/>
        <v>WS-33</v>
      </c>
      <c r="AQ425" s="288" t="str">
        <f t="shared" si="23"/>
        <v>WS-34</v>
      </c>
      <c r="AR425" s="288" t="str">
        <f t="shared" si="23"/>
        <v>WS-35</v>
      </c>
      <c r="AS425" s="288" t="str">
        <f t="shared" si="23"/>
        <v>WS-36</v>
      </c>
      <c r="AT425" s="288" t="str">
        <f t="shared" si="23"/>
        <v>WS-37</v>
      </c>
      <c r="AU425" s="288" t="str">
        <f t="shared" si="23"/>
        <v>WS-38</v>
      </c>
      <c r="AV425" s="288" t="str">
        <f t="shared" si="23"/>
        <v>WS-39</v>
      </c>
      <c r="AW425" s="288" t="str">
        <f t="shared" si="23"/>
        <v>WS-40</v>
      </c>
      <c r="AX425" s="288" t="str">
        <f t="shared" si="23"/>
        <v>WS-41</v>
      </c>
      <c r="AY425" s="288" t="str">
        <f t="shared" si="23"/>
        <v>WS-42</v>
      </c>
      <c r="AZ425" s="288" t="str">
        <f t="shared" si="23"/>
        <v>WS-43</v>
      </c>
      <c r="BA425" s="288" t="str">
        <f t="shared" si="23"/>
        <v>WS-44</v>
      </c>
    </row>
    <row r="426" spans="1:53" ht="17">
      <c r="A426" s="3">
        <v>10</v>
      </c>
      <c r="B426" s="196" t="str">
        <f>IFERROR(INDEX('S15 Routing Clustered'!$A$3:$A$18, A426), "")</f>
        <v>I-006</v>
      </c>
      <c r="C426" s="3">
        <v>20</v>
      </c>
      <c r="D426" s="287" t="str">
        <f>IFERROR(HLOOKUP(C426, 'S15 Routing Clustered'!$B$2:$I$18,A426+1, 0), "")</f>
        <v>WS-40</v>
      </c>
      <c r="E426" s="287" t="str">
        <f t="shared" si="22"/>
        <v>WS-02</v>
      </c>
      <c r="F426" s="3">
        <f>IF(E426="", "", VLOOKUP(B426, 'S08 ABC Output'!$A$3:$C$18, 3, 0))</f>
        <v>25689</v>
      </c>
      <c r="I426" s="288" t="str">
        <f>I379</f>
        <v>WS-01</v>
      </c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</row>
    <row r="427" spans="1:53" ht="17">
      <c r="A427" s="3">
        <v>10</v>
      </c>
      <c r="B427" s="196" t="str">
        <f>IFERROR(INDEX('S15 Routing Clustered'!$A$3:$A$18, A427), "")</f>
        <v>I-006</v>
      </c>
      <c r="C427" s="3">
        <v>30</v>
      </c>
      <c r="D427" s="287" t="str">
        <f>IFERROR(HLOOKUP(C427, 'S15 Routing Clustered'!$B$2:$I$18,A427+1, 0), "")</f>
        <v>WS-02</v>
      </c>
      <c r="E427" s="287" t="str">
        <f t="shared" si="22"/>
        <v>WS-18</v>
      </c>
      <c r="F427" s="3">
        <f>IF(E427="", "", VLOOKUP(B427, 'S08 ABC Output'!$A$3:$C$18, 3, 0))</f>
        <v>25689</v>
      </c>
      <c r="I427" s="288" t="str">
        <f t="shared" ref="I427:I469" si="24">I380</f>
        <v>WS-02</v>
      </c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>
        <v>25689</v>
      </c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</row>
    <row r="428" spans="1:53" ht="17">
      <c r="A428" s="3">
        <v>10</v>
      </c>
      <c r="B428" s="196" t="str">
        <f>IFERROR(INDEX('S15 Routing Clustered'!$A$3:$A$18, A428), "")</f>
        <v>I-006</v>
      </c>
      <c r="C428" s="3">
        <v>40</v>
      </c>
      <c r="D428" s="287" t="str">
        <f>IFERROR(HLOOKUP(C428, 'S15 Routing Clustered'!$B$2:$I$18,A428+1, 0), "")</f>
        <v>WS-18</v>
      </c>
      <c r="E428" s="287" t="str">
        <f t="shared" si="22"/>
        <v>WS-24</v>
      </c>
      <c r="F428" s="3">
        <f>IF(E428="", "", VLOOKUP(B428, 'S08 ABC Output'!$A$3:$C$18, 3, 0))</f>
        <v>25689</v>
      </c>
      <c r="I428" s="288" t="str">
        <f t="shared" si="24"/>
        <v>WS-03</v>
      </c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</row>
    <row r="429" spans="1:53" ht="17">
      <c r="A429" s="3">
        <v>10</v>
      </c>
      <c r="B429" s="196" t="str">
        <f>IFERROR(INDEX('S15 Routing Clustered'!$A$3:$A$18, A429), "")</f>
        <v>I-006</v>
      </c>
      <c r="C429" s="3">
        <v>50</v>
      </c>
      <c r="D429" s="287" t="str">
        <f>IFERROR(HLOOKUP(C429, 'S15 Routing Clustered'!$B$2:$I$18,A429+1, 0), "")</f>
        <v>WS-24</v>
      </c>
      <c r="E429" s="287" t="str">
        <f t="shared" si="22"/>
        <v>WS-29</v>
      </c>
      <c r="F429" s="3">
        <f>IF(E429="", "", VLOOKUP(B429, 'S08 ABC Output'!$A$3:$C$18, 3, 0))</f>
        <v>25689</v>
      </c>
      <c r="I429" s="288" t="str">
        <f t="shared" si="24"/>
        <v>WS-04</v>
      </c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</row>
    <row r="430" spans="1:53" ht="17">
      <c r="A430" s="3">
        <v>10</v>
      </c>
      <c r="B430" s="196" t="str">
        <f>IFERROR(INDEX('S15 Routing Clustered'!$A$3:$A$18, A430), "")</f>
        <v>I-006</v>
      </c>
      <c r="C430" s="3">
        <v>60</v>
      </c>
      <c r="D430" s="287" t="str">
        <f>IFERROR(HLOOKUP(C430, 'S15 Routing Clustered'!$B$2:$I$18,A430+1, 0), "")</f>
        <v>WS-29</v>
      </c>
      <c r="E430" s="287" t="str">
        <f t="shared" si="22"/>
        <v>WS-33</v>
      </c>
      <c r="F430" s="3">
        <f>IF(E430="", "", VLOOKUP(B430, 'S08 ABC Output'!$A$3:$C$18, 3, 0))</f>
        <v>25689</v>
      </c>
      <c r="I430" s="288" t="str">
        <f t="shared" si="24"/>
        <v>WS-05</v>
      </c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</row>
    <row r="431" spans="1:53" ht="17">
      <c r="A431" s="3">
        <v>10</v>
      </c>
      <c r="B431" s="196" t="str">
        <f>IFERROR(INDEX('S15 Routing Clustered'!$A$3:$A$18, A431), "")</f>
        <v>I-006</v>
      </c>
      <c r="C431" s="3">
        <v>70</v>
      </c>
      <c r="D431" s="287" t="str">
        <f>IFERROR(HLOOKUP(C431, 'S15 Routing Clustered'!$B$2:$I$18,A431+1, 0), "")</f>
        <v>WS-33</v>
      </c>
      <c r="E431" s="287" t="str">
        <f t="shared" si="22"/>
        <v>WS-44</v>
      </c>
      <c r="F431" s="3">
        <f>IF(E431="", "", VLOOKUP(B431, 'S08 ABC Output'!$A$3:$C$18, 3, 0))</f>
        <v>25689</v>
      </c>
      <c r="I431" s="288" t="str">
        <f t="shared" si="24"/>
        <v>WS-06</v>
      </c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</row>
    <row r="432" spans="1:53" ht="17">
      <c r="A432" s="3">
        <v>10</v>
      </c>
      <c r="B432" s="196" t="str">
        <f>IFERROR(INDEX('S15 Routing Clustered'!$A$3:$A$18, A432), "")</f>
        <v>I-006</v>
      </c>
      <c r="C432" s="3">
        <v>80</v>
      </c>
      <c r="D432" s="287" t="str">
        <f>IFERROR(HLOOKUP(C432, 'S15 Routing Clustered'!$B$2:$I$18,A432+1, 0), "")</f>
        <v>WS-44</v>
      </c>
      <c r="E432" s="287" t="str">
        <f t="shared" si="22"/>
        <v/>
      </c>
      <c r="F432" s="3" t="str">
        <f>IF(E432="", "", VLOOKUP(B432, 'S08 ABC Output'!$A$3:$C$18, 3, 0))</f>
        <v/>
      </c>
      <c r="I432" s="288" t="str">
        <f t="shared" si="24"/>
        <v>WS-07</v>
      </c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</row>
    <row r="433" spans="1:53" ht="17">
      <c r="A433" s="3">
        <v>10</v>
      </c>
      <c r="B433" s="196" t="str">
        <f>IFERROR(INDEX('S15 Routing Clustered'!$A$3:$A$18, A433), "")</f>
        <v>I-006</v>
      </c>
      <c r="C433" s="3">
        <v>90</v>
      </c>
      <c r="D433" s="287" t="str">
        <f>IFERROR(HLOOKUP(C433, 'S15 Routing Clustered'!$B$2:$I$18,A433+1, 0), "")</f>
        <v/>
      </c>
      <c r="E433" s="287" t="str">
        <f t="shared" si="22"/>
        <v/>
      </c>
      <c r="F433" s="3" t="str">
        <f>IF(E433="", "", VLOOKUP(B433, 'S08 ABC Output'!$A$3:$C$18, 3, 0))</f>
        <v/>
      </c>
      <c r="I433" s="288" t="str">
        <f t="shared" si="24"/>
        <v>WS-08</v>
      </c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</row>
    <row r="434" spans="1:53" ht="17">
      <c r="A434" s="3">
        <v>10</v>
      </c>
      <c r="B434" s="196" t="str">
        <f>IFERROR(INDEX('S15 Routing Clustered'!$A$3:$A$18, A434), "")</f>
        <v>I-006</v>
      </c>
      <c r="C434" s="3">
        <v>100</v>
      </c>
      <c r="D434" s="287" t="str">
        <f>IFERROR(HLOOKUP(C434, 'S15 Routing Clustered'!$B$2:$I$18,A434+1, 0), "")</f>
        <v/>
      </c>
      <c r="E434" s="287" t="str">
        <f t="shared" si="22"/>
        <v/>
      </c>
      <c r="F434" s="3" t="str">
        <f>IF(E434="", "", VLOOKUP(B434, 'S08 ABC Output'!$A$3:$C$18, 3, 0))</f>
        <v/>
      </c>
      <c r="I434" s="288" t="str">
        <f t="shared" si="24"/>
        <v>WS-09</v>
      </c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</row>
    <row r="435" spans="1:53" ht="17">
      <c r="A435" s="3">
        <v>10</v>
      </c>
      <c r="B435" s="196" t="str">
        <f>IFERROR(INDEX('S15 Routing Clustered'!$A$3:$A$18, A435), "")</f>
        <v>I-006</v>
      </c>
      <c r="C435" s="3">
        <v>110</v>
      </c>
      <c r="D435" s="287" t="str">
        <f>IFERROR(HLOOKUP(C435, 'S15 Routing Clustered'!$B$2:$I$18,A435+1, 0), "")</f>
        <v/>
      </c>
      <c r="E435" s="287" t="str">
        <f t="shared" si="22"/>
        <v/>
      </c>
      <c r="F435" s="3" t="str">
        <f>IF(E435="", "", VLOOKUP(B435, 'S08 ABC Output'!$A$3:$C$18, 3, 0))</f>
        <v/>
      </c>
      <c r="I435" s="288" t="str">
        <f t="shared" si="24"/>
        <v>WS-10</v>
      </c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</row>
    <row r="436" spans="1:53" ht="17">
      <c r="A436" s="3">
        <v>10</v>
      </c>
      <c r="B436" s="196" t="str">
        <f>IFERROR(INDEX('S15 Routing Clustered'!$A$3:$A$18, A436), "")</f>
        <v>I-006</v>
      </c>
      <c r="C436" s="3">
        <v>120</v>
      </c>
      <c r="D436" s="287" t="str">
        <f>IFERROR(HLOOKUP(C436, 'S15 Routing Clustered'!$B$2:$I$18,A436+1, 0), "")</f>
        <v/>
      </c>
      <c r="E436" s="287" t="str">
        <f t="shared" si="22"/>
        <v/>
      </c>
      <c r="F436" s="3" t="str">
        <f>IF(E436="", "", VLOOKUP(B436, 'S08 ABC Output'!$A$3:$C$18, 3, 0))</f>
        <v/>
      </c>
      <c r="I436" s="288" t="str">
        <f t="shared" si="24"/>
        <v>WS-11</v>
      </c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</row>
    <row r="437" spans="1:53" ht="17">
      <c r="A437" s="3">
        <v>10</v>
      </c>
      <c r="B437" s="196" t="str">
        <f>IFERROR(INDEX('S15 Routing Clustered'!$A$3:$A$18, A437), "")</f>
        <v>I-006</v>
      </c>
      <c r="C437" s="3">
        <v>130</v>
      </c>
      <c r="D437" s="287" t="str">
        <f>IFERROR(HLOOKUP(C437, 'S15 Routing Clustered'!$B$2:$I$18,A437+1, 0), "")</f>
        <v/>
      </c>
      <c r="E437" s="287" t="str">
        <f t="shared" si="22"/>
        <v/>
      </c>
      <c r="F437" s="3" t="str">
        <f>IF(E437="", "", VLOOKUP(B437, 'S08 ABC Output'!$A$3:$C$18, 3, 0))</f>
        <v/>
      </c>
      <c r="I437" s="288" t="str">
        <f t="shared" si="24"/>
        <v>WS-12</v>
      </c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</row>
    <row r="438" spans="1:53" ht="17">
      <c r="A438" s="3">
        <v>10</v>
      </c>
      <c r="B438" s="196" t="str">
        <f>IFERROR(INDEX('S15 Routing Clustered'!$A$3:$A$18, A438), "")</f>
        <v>I-006</v>
      </c>
      <c r="C438" s="3">
        <v>140</v>
      </c>
      <c r="D438" s="287" t="str">
        <f>IFERROR(HLOOKUP(C438, 'S15 Routing Clustered'!$B$2:$I$18,A438+1, 0), "")</f>
        <v/>
      </c>
      <c r="E438" s="287" t="str">
        <f t="shared" si="22"/>
        <v/>
      </c>
      <c r="F438" s="3" t="str">
        <f>IF(E438="", "", VLOOKUP(B438, 'S08 ABC Output'!$A$3:$C$18, 3, 0))</f>
        <v/>
      </c>
      <c r="I438" s="288" t="str">
        <f t="shared" si="24"/>
        <v>WS-13</v>
      </c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</row>
    <row r="439" spans="1:53" ht="17">
      <c r="A439" s="3">
        <v>10</v>
      </c>
      <c r="B439" s="196" t="str">
        <f>IFERROR(INDEX('S15 Routing Clustered'!$A$3:$A$18, A439), "")</f>
        <v>I-006</v>
      </c>
      <c r="C439" s="3">
        <v>150</v>
      </c>
      <c r="D439" s="287" t="str">
        <f>IFERROR(HLOOKUP(C439, 'S15 Routing Clustered'!$B$2:$I$18,A439+1, 0), "")</f>
        <v/>
      </c>
      <c r="E439" s="287" t="str">
        <f t="shared" si="22"/>
        <v/>
      </c>
      <c r="F439" s="3" t="str">
        <f>IF(E439="", "", VLOOKUP(B439, 'S08 ABC Output'!$A$3:$C$18, 3, 0))</f>
        <v/>
      </c>
      <c r="I439" s="288" t="str">
        <f t="shared" si="24"/>
        <v>WS-14</v>
      </c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</row>
    <row r="440" spans="1:53" ht="17">
      <c r="A440" s="3">
        <v>10</v>
      </c>
      <c r="B440" s="196" t="str">
        <f>IFERROR(INDEX('S15 Routing Clustered'!$A$3:$A$18, A440), "")</f>
        <v>I-006</v>
      </c>
      <c r="C440" s="3">
        <v>160</v>
      </c>
      <c r="D440" s="287" t="str">
        <f>IFERROR(HLOOKUP(C440, 'S15 Routing Clustered'!$B$2:$I$18,A440+1, 0), "")</f>
        <v/>
      </c>
      <c r="E440" s="287" t="str">
        <f t="shared" si="22"/>
        <v/>
      </c>
      <c r="F440" s="3" t="str">
        <f>IF(E440="", "", VLOOKUP(B440, 'S08 ABC Output'!$A$3:$C$18, 3, 0))</f>
        <v/>
      </c>
      <c r="I440" s="288" t="str">
        <f t="shared" si="24"/>
        <v>WS-15</v>
      </c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</row>
    <row r="441" spans="1:53" ht="17">
      <c r="A441" s="3">
        <v>10</v>
      </c>
      <c r="B441" s="196" t="str">
        <f>IFERROR(INDEX('S15 Routing Clustered'!$A$3:$A$18, A441), "")</f>
        <v>I-006</v>
      </c>
      <c r="C441" s="3">
        <v>170</v>
      </c>
      <c r="D441" s="287" t="str">
        <f>IFERROR(HLOOKUP(C441, 'S15 Routing Clustered'!$B$2:$I$18,A441+1, 0), "")</f>
        <v/>
      </c>
      <c r="E441" s="287" t="str">
        <f t="shared" si="22"/>
        <v/>
      </c>
      <c r="F441" s="3" t="str">
        <f>IF(E441="", "", VLOOKUP(B441, 'S08 ABC Output'!$A$3:$C$18, 3, 0))</f>
        <v/>
      </c>
      <c r="I441" s="288" t="str">
        <f t="shared" si="24"/>
        <v>WS-16</v>
      </c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</row>
    <row r="442" spans="1:53" ht="17">
      <c r="A442" s="3">
        <v>10</v>
      </c>
      <c r="B442" s="196" t="str">
        <f>IFERROR(INDEX('S15 Routing Clustered'!$A$3:$A$18, A442), "")</f>
        <v>I-006</v>
      </c>
      <c r="C442" s="3">
        <v>180</v>
      </c>
      <c r="D442" s="287" t="str">
        <f>IFERROR(HLOOKUP(C442, 'S15 Routing Clustered'!$B$2:$I$18,A442+1, 0), "")</f>
        <v/>
      </c>
      <c r="E442" s="287" t="str">
        <f t="shared" si="22"/>
        <v/>
      </c>
      <c r="F442" s="3" t="str">
        <f>IF(E442="", "", VLOOKUP(B442, 'S08 ABC Output'!$A$3:$C$18, 3, 0))</f>
        <v/>
      </c>
      <c r="I442" s="288" t="str">
        <f t="shared" si="24"/>
        <v>WS-17</v>
      </c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</row>
    <row r="443" spans="1:53" ht="17">
      <c r="A443" s="3">
        <v>10</v>
      </c>
      <c r="B443" s="196" t="str">
        <f>IFERROR(INDEX('S15 Routing Clustered'!$A$3:$A$18, A443), "")</f>
        <v>I-006</v>
      </c>
      <c r="C443" s="3">
        <v>190</v>
      </c>
      <c r="D443" s="287" t="str">
        <f>IFERROR(HLOOKUP(C443, 'S15 Routing Clustered'!$B$2:$I$18,A443+1, 0), "")</f>
        <v/>
      </c>
      <c r="E443" s="287" t="str">
        <f t="shared" si="22"/>
        <v/>
      </c>
      <c r="F443" s="3" t="str">
        <f>IF(E443="", "", VLOOKUP(B443, 'S08 ABC Output'!$A$3:$C$18, 3, 0))</f>
        <v/>
      </c>
      <c r="I443" s="288" t="str">
        <f t="shared" si="24"/>
        <v>WS-18</v>
      </c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>
        <v>25689</v>
      </c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</row>
    <row r="444" spans="1:53" ht="17">
      <c r="A444" s="3">
        <v>10</v>
      </c>
      <c r="B444" s="196" t="str">
        <f>IFERROR(INDEX('S15 Routing Clustered'!$A$3:$A$18, A444), "")</f>
        <v>I-006</v>
      </c>
      <c r="C444" s="3">
        <v>200</v>
      </c>
      <c r="D444" s="287" t="str">
        <f>IFERROR(HLOOKUP(C444, 'S15 Routing Clustered'!$B$2:$I$18,A444+1, 0), "")</f>
        <v/>
      </c>
      <c r="E444" s="287" t="str">
        <f t="shared" si="22"/>
        <v/>
      </c>
      <c r="F444" s="3" t="str">
        <f>IF(E444="", "", VLOOKUP(B444, 'S08 ABC Output'!$A$3:$C$18, 3, 0))</f>
        <v/>
      </c>
      <c r="I444" s="288" t="str">
        <f t="shared" si="24"/>
        <v>WS-19</v>
      </c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</row>
    <row r="445" spans="1:53" ht="17">
      <c r="A445" s="3">
        <v>10</v>
      </c>
      <c r="B445" s="196" t="str">
        <f>IFERROR(INDEX('S15 Routing Clustered'!$A$3:$A$18, A445), "")</f>
        <v>I-006</v>
      </c>
      <c r="C445" s="3">
        <v>210</v>
      </c>
      <c r="D445" s="287" t="str">
        <f>IFERROR(HLOOKUP(C445, 'S15 Routing Clustered'!$B$2:$I$18,A445+1, 0), "")</f>
        <v/>
      </c>
      <c r="E445" s="287" t="str">
        <f t="shared" si="22"/>
        <v/>
      </c>
      <c r="F445" s="3" t="str">
        <f>IF(E445="", "", VLOOKUP(B445, 'S08 ABC Output'!$A$3:$C$18, 3, 0))</f>
        <v/>
      </c>
      <c r="I445" s="288" t="str">
        <f t="shared" si="24"/>
        <v>WS-20</v>
      </c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</row>
    <row r="446" spans="1:53" ht="17">
      <c r="A446" s="3">
        <v>10</v>
      </c>
      <c r="B446" s="196" t="str">
        <f>IFERROR(INDEX('S15 Routing Clustered'!$A$3:$A$18, A446), "")</f>
        <v>I-006</v>
      </c>
      <c r="C446" s="3">
        <v>220</v>
      </c>
      <c r="D446" s="287" t="str">
        <f>IFERROR(HLOOKUP(C446, 'S15 Routing Clustered'!$B$2:$I$18,A446+1, 0), "")</f>
        <v/>
      </c>
      <c r="E446" s="287" t="str">
        <f t="shared" si="22"/>
        <v/>
      </c>
      <c r="F446" s="3" t="str">
        <f>IF(E446="", "", VLOOKUP(B446, 'S08 ABC Output'!$A$3:$C$18, 3, 0))</f>
        <v/>
      </c>
      <c r="I446" s="288" t="str">
        <f t="shared" si="24"/>
        <v>WS-21</v>
      </c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</row>
    <row r="447" spans="1:53" ht="17">
      <c r="A447" s="3">
        <v>10</v>
      </c>
      <c r="B447" s="196" t="str">
        <f>IFERROR(INDEX('S15 Routing Clustered'!$A$3:$A$18, A447), "")</f>
        <v>I-006</v>
      </c>
      <c r="C447" s="3">
        <v>230</v>
      </c>
      <c r="D447" s="287" t="str">
        <f>IFERROR(HLOOKUP(C447, 'S15 Routing Clustered'!$B$2:$I$18,A447+1, 0), "")</f>
        <v/>
      </c>
      <c r="E447" s="287" t="str">
        <f t="shared" si="22"/>
        <v/>
      </c>
      <c r="F447" s="3" t="str">
        <f>IF(E447="", "", VLOOKUP(B447, 'S08 ABC Output'!$A$3:$C$18, 3, 0))</f>
        <v/>
      </c>
      <c r="I447" s="288" t="str">
        <f t="shared" si="24"/>
        <v>WS-22</v>
      </c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</row>
    <row r="448" spans="1:53" ht="17">
      <c r="A448" s="3">
        <v>10</v>
      </c>
      <c r="B448" s="196" t="str">
        <f>IFERROR(INDEX('S15 Routing Clustered'!$A$3:$A$18, A448), "")</f>
        <v>I-006</v>
      </c>
      <c r="C448" s="3">
        <v>240</v>
      </c>
      <c r="D448" s="287" t="str">
        <f>IFERROR(HLOOKUP(C448, 'S15 Routing Clustered'!$B$2:$I$18,A448+1, 0), "")</f>
        <v/>
      </c>
      <c r="E448" s="287" t="str">
        <f t="shared" si="22"/>
        <v/>
      </c>
      <c r="F448" s="3" t="str">
        <f>IF(E448="", "", VLOOKUP(B448, 'S08 ABC Output'!$A$3:$C$18, 3, 0))</f>
        <v/>
      </c>
      <c r="I448" s="288" t="str">
        <f t="shared" si="24"/>
        <v>WS-23</v>
      </c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</row>
    <row r="449" spans="1:53" ht="17">
      <c r="A449" s="3">
        <v>10</v>
      </c>
      <c r="B449" s="196" t="str">
        <f>IFERROR(INDEX('S15 Routing Clustered'!$A$3:$A$18, A449), "")</f>
        <v>I-006</v>
      </c>
      <c r="C449" s="3">
        <v>250</v>
      </c>
      <c r="D449" s="287" t="str">
        <f>IFERROR(HLOOKUP(C449, 'S15 Routing Clustered'!$B$2:$I$18,A449+1, 0), "")</f>
        <v/>
      </c>
      <c r="E449" s="287" t="str">
        <f t="shared" si="22"/>
        <v/>
      </c>
      <c r="F449" s="3" t="str">
        <f>IF(E449="", "", VLOOKUP(B449, 'S08 ABC Output'!$A$3:$C$18, 3, 0))</f>
        <v/>
      </c>
      <c r="I449" s="288" t="str">
        <f t="shared" si="24"/>
        <v>WS-24</v>
      </c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>
        <v>25689</v>
      </c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</row>
    <row r="450" spans="1:53" ht="17">
      <c r="A450" s="3">
        <v>10</v>
      </c>
      <c r="B450" s="196" t="str">
        <f>IFERROR(INDEX('S15 Routing Clustered'!$A$3:$A$18, A450), "")</f>
        <v>I-006</v>
      </c>
      <c r="C450" s="3">
        <v>260</v>
      </c>
      <c r="D450" s="287" t="str">
        <f>IFERROR(HLOOKUP(C450, 'S15 Routing Clustered'!$B$2:$I$18,A450+1, 0), "")</f>
        <v/>
      </c>
      <c r="E450" s="287" t="str">
        <f t="shared" si="22"/>
        <v/>
      </c>
      <c r="F450" s="3" t="str">
        <f>IF(E450="", "", VLOOKUP(B450, 'S08 ABC Output'!$A$3:$C$18, 3, 0))</f>
        <v/>
      </c>
      <c r="I450" s="288" t="str">
        <f t="shared" si="24"/>
        <v>WS-25</v>
      </c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</row>
    <row r="451" spans="1:53" ht="17">
      <c r="A451" s="3">
        <v>10</v>
      </c>
      <c r="B451" s="196" t="str">
        <f>IFERROR(INDEX('S15 Routing Clustered'!$A$3:$A$18, A451), "")</f>
        <v>I-006</v>
      </c>
      <c r="C451" s="3">
        <v>270</v>
      </c>
      <c r="D451" s="287" t="str">
        <f>IFERROR(HLOOKUP(C451, 'S15 Routing Clustered'!$B$2:$I$18,A451+1, 0), "")</f>
        <v/>
      </c>
      <c r="E451" s="287" t="str">
        <f t="shared" ref="E451:E514" si="25">IF(D451="", "", D452)</f>
        <v/>
      </c>
      <c r="F451" s="3" t="str">
        <f>IF(E451="", "", VLOOKUP(B451, 'S08 ABC Output'!$A$3:$C$18, 3, 0))</f>
        <v/>
      </c>
      <c r="I451" s="288" t="str">
        <f t="shared" si="24"/>
        <v>WS-26</v>
      </c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</row>
    <row r="452" spans="1:53" ht="17">
      <c r="A452" s="3">
        <v>10</v>
      </c>
      <c r="B452" s="196" t="str">
        <f>IFERROR(INDEX('S15 Routing Clustered'!$A$3:$A$18, A452), "")</f>
        <v>I-006</v>
      </c>
      <c r="C452" s="3">
        <v>280</v>
      </c>
      <c r="D452" s="287" t="str">
        <f>IFERROR(HLOOKUP(C452, 'S15 Routing Clustered'!$B$2:$I$18,A452+1, 0), "")</f>
        <v/>
      </c>
      <c r="E452" s="287" t="str">
        <f t="shared" si="25"/>
        <v/>
      </c>
      <c r="F452" s="3" t="str">
        <f>IF(E452="", "", VLOOKUP(B452, 'S08 ABC Output'!$A$3:$C$18, 3, 0))</f>
        <v/>
      </c>
      <c r="I452" s="288" t="str">
        <f t="shared" si="24"/>
        <v>WS-27</v>
      </c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</row>
    <row r="453" spans="1:53" ht="17">
      <c r="A453" s="3">
        <v>10</v>
      </c>
      <c r="B453" s="196" t="str">
        <f>IFERROR(INDEX('S15 Routing Clustered'!$A$3:$A$18, A453), "")</f>
        <v>I-006</v>
      </c>
      <c r="C453" s="3">
        <v>290</v>
      </c>
      <c r="D453" s="287" t="str">
        <f>IFERROR(HLOOKUP(C453, 'S15 Routing Clustered'!$B$2:$I$18,A453+1, 0), "")</f>
        <v/>
      </c>
      <c r="E453" s="287" t="str">
        <f t="shared" si="25"/>
        <v/>
      </c>
      <c r="F453" s="3" t="str">
        <f>IF(E453="", "", VLOOKUP(B453, 'S08 ABC Output'!$A$3:$C$18, 3, 0))</f>
        <v/>
      </c>
      <c r="I453" s="288" t="str">
        <f t="shared" si="24"/>
        <v>WS-28</v>
      </c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</row>
    <row r="454" spans="1:53" ht="17">
      <c r="A454" s="3">
        <v>10</v>
      </c>
      <c r="B454" s="196" t="str">
        <f>IFERROR(INDEX('S15 Routing Clustered'!$A$3:$A$18, A454), "")</f>
        <v>I-006</v>
      </c>
      <c r="C454" s="3">
        <v>300</v>
      </c>
      <c r="D454" s="287" t="str">
        <f>IFERROR(HLOOKUP(C454, 'S15 Routing Clustered'!$B$2:$I$18,A454+1, 0), "")</f>
        <v/>
      </c>
      <c r="E454" s="287" t="str">
        <f t="shared" si="25"/>
        <v/>
      </c>
      <c r="F454" s="3" t="str">
        <f>IF(E454="", "", VLOOKUP(B454, 'S08 ABC Output'!$A$3:$C$18, 3, 0))</f>
        <v/>
      </c>
      <c r="I454" s="288" t="str">
        <f t="shared" si="24"/>
        <v>WS-29</v>
      </c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>
        <v>25689</v>
      </c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</row>
    <row r="455" spans="1:53" ht="17">
      <c r="A455" s="3">
        <v>10</v>
      </c>
      <c r="B455" s="196" t="str">
        <f>IFERROR(INDEX('S15 Routing Clustered'!$A$3:$A$18, A455), "")</f>
        <v>I-006</v>
      </c>
      <c r="C455" s="3">
        <v>310</v>
      </c>
      <c r="D455" s="287" t="str">
        <f>IFERROR(HLOOKUP(C455, 'S15 Routing Clustered'!$B$2:$I$18,A455+1, 0), "")</f>
        <v/>
      </c>
      <c r="E455" s="287" t="str">
        <f t="shared" si="25"/>
        <v/>
      </c>
      <c r="F455" s="3" t="str">
        <f>IF(E455="", "", VLOOKUP(B455, 'S08 ABC Output'!$A$3:$C$18, 3, 0))</f>
        <v/>
      </c>
      <c r="I455" s="288" t="str">
        <f t="shared" si="24"/>
        <v>WS-30</v>
      </c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</row>
    <row r="456" spans="1:53" ht="17">
      <c r="A456" s="3">
        <v>10</v>
      </c>
      <c r="B456" s="196" t="str">
        <f>IFERROR(INDEX('S15 Routing Clustered'!$A$3:$A$18, A456), "")</f>
        <v>I-006</v>
      </c>
      <c r="C456" s="3">
        <v>320</v>
      </c>
      <c r="D456" s="287" t="str">
        <f>IFERROR(HLOOKUP(C456, 'S15 Routing Clustered'!$B$2:$I$18,A456+1, 0), "")</f>
        <v/>
      </c>
      <c r="E456" s="287" t="str">
        <f t="shared" si="25"/>
        <v/>
      </c>
      <c r="F456" s="3" t="str">
        <f>IF(E456="", "", VLOOKUP(B456, 'S08 ABC Output'!$A$3:$C$18, 3, 0))</f>
        <v/>
      </c>
      <c r="I456" s="288" t="str">
        <f t="shared" si="24"/>
        <v>WS-31</v>
      </c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</row>
    <row r="457" spans="1:53" ht="17">
      <c r="A457" s="3">
        <v>10</v>
      </c>
      <c r="B457" s="196" t="str">
        <f>IFERROR(INDEX('S15 Routing Clustered'!$A$3:$A$18, A457), "")</f>
        <v>I-006</v>
      </c>
      <c r="C457" s="3">
        <v>330</v>
      </c>
      <c r="D457" s="287" t="str">
        <f>IFERROR(HLOOKUP(C457, 'S15 Routing Clustered'!$B$2:$I$18,A457+1, 0), "")</f>
        <v/>
      </c>
      <c r="E457" s="287" t="str">
        <f t="shared" si="25"/>
        <v/>
      </c>
      <c r="F457" s="3" t="str">
        <f>IF(E457="", "", VLOOKUP(B457, 'S08 ABC Output'!$A$3:$C$18, 3, 0))</f>
        <v/>
      </c>
      <c r="I457" s="288" t="str">
        <f t="shared" si="24"/>
        <v>WS-32</v>
      </c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</row>
    <row r="458" spans="1:53" ht="17">
      <c r="A458" s="3">
        <v>10</v>
      </c>
      <c r="B458" s="196" t="str">
        <f>IFERROR(INDEX('S15 Routing Clustered'!$A$3:$A$18, A458), "")</f>
        <v>I-006</v>
      </c>
      <c r="C458" s="3">
        <v>340</v>
      </c>
      <c r="D458" s="287" t="str">
        <f>IFERROR(HLOOKUP(C458, 'S15 Routing Clustered'!$B$2:$I$18,A458+1, 0), "")</f>
        <v/>
      </c>
      <c r="E458" s="287" t="str">
        <f t="shared" si="25"/>
        <v/>
      </c>
      <c r="F458" s="3" t="str">
        <f>IF(E458="", "", VLOOKUP(B458, 'S08 ABC Output'!$A$3:$C$18, 3, 0))</f>
        <v/>
      </c>
      <c r="I458" s="288" t="str">
        <f t="shared" si="24"/>
        <v>WS-33</v>
      </c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>
        <v>25689</v>
      </c>
    </row>
    <row r="459" spans="1:53" ht="17">
      <c r="A459" s="3">
        <v>10</v>
      </c>
      <c r="B459" s="196" t="str">
        <f>IFERROR(INDEX('S15 Routing Clustered'!$A$3:$A$18, A459), "")</f>
        <v>I-006</v>
      </c>
      <c r="C459" s="3">
        <v>350</v>
      </c>
      <c r="D459" s="287" t="str">
        <f>IFERROR(HLOOKUP(C459, 'S15 Routing Clustered'!$B$2:$I$18,A459+1, 0), "")</f>
        <v/>
      </c>
      <c r="E459" s="287" t="str">
        <f t="shared" si="25"/>
        <v/>
      </c>
      <c r="F459" s="3" t="str">
        <f>IF(E459="", "", VLOOKUP(B459, 'S08 ABC Output'!$A$3:$C$18, 3, 0))</f>
        <v/>
      </c>
      <c r="I459" s="288" t="str">
        <f t="shared" si="24"/>
        <v>WS-34</v>
      </c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</row>
    <row r="460" spans="1:53" ht="17">
      <c r="A460" s="3">
        <v>10</v>
      </c>
      <c r="B460" s="196" t="str">
        <f>IFERROR(INDEX('S15 Routing Clustered'!$A$3:$A$18, A460), "")</f>
        <v>I-006</v>
      </c>
      <c r="C460" s="3">
        <v>360</v>
      </c>
      <c r="D460" s="287" t="str">
        <f>IFERROR(HLOOKUP(C460, 'S15 Routing Clustered'!$B$2:$I$18,A460+1, 0), "")</f>
        <v/>
      </c>
      <c r="E460" s="287" t="str">
        <f t="shared" si="25"/>
        <v/>
      </c>
      <c r="F460" s="3" t="str">
        <f>IF(E460="", "", VLOOKUP(B460, 'S08 ABC Output'!$A$3:$C$18, 3, 0))</f>
        <v/>
      </c>
      <c r="I460" s="288" t="str">
        <f t="shared" si="24"/>
        <v>WS-35</v>
      </c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</row>
    <row r="461" spans="1:53" ht="17">
      <c r="A461" s="3">
        <v>10</v>
      </c>
      <c r="B461" s="196" t="str">
        <f>IFERROR(INDEX('S15 Routing Clustered'!$A$3:$A$18, A461), "")</f>
        <v>I-006</v>
      </c>
      <c r="C461" s="3">
        <v>370</v>
      </c>
      <c r="D461" s="287" t="str">
        <f>IFERROR(HLOOKUP(C461, 'S15 Routing Clustered'!$B$2:$I$18,A461+1, 0), "")</f>
        <v/>
      </c>
      <c r="E461" s="287" t="str">
        <f t="shared" si="25"/>
        <v/>
      </c>
      <c r="F461" s="3" t="str">
        <f>IF(E461="", "", VLOOKUP(B461, 'S08 ABC Output'!$A$3:$C$18, 3, 0))</f>
        <v/>
      </c>
      <c r="I461" s="288" t="str">
        <f t="shared" si="24"/>
        <v>WS-36</v>
      </c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</row>
    <row r="462" spans="1:53" ht="17">
      <c r="A462" s="3">
        <v>10</v>
      </c>
      <c r="B462" s="196" t="str">
        <f>IFERROR(INDEX('S15 Routing Clustered'!$A$3:$A$18, A462), "")</f>
        <v>I-006</v>
      </c>
      <c r="C462" s="3">
        <v>380</v>
      </c>
      <c r="D462" s="287" t="str">
        <f>IFERROR(HLOOKUP(C462, 'S15 Routing Clustered'!$B$2:$I$18,A462+1, 0), "")</f>
        <v/>
      </c>
      <c r="E462" s="287" t="str">
        <f t="shared" si="25"/>
        <v/>
      </c>
      <c r="F462" s="3" t="str">
        <f>IF(E462="", "", VLOOKUP(B462, 'S08 ABC Output'!$A$3:$C$18, 3, 0))</f>
        <v/>
      </c>
      <c r="I462" s="288" t="str">
        <f t="shared" si="24"/>
        <v>WS-37</v>
      </c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</row>
    <row r="463" spans="1:53" ht="17">
      <c r="A463" s="3">
        <v>10</v>
      </c>
      <c r="B463" s="196" t="str">
        <f>IFERROR(INDEX('S15 Routing Clustered'!$A$3:$A$18, A463), "")</f>
        <v>I-006</v>
      </c>
      <c r="C463" s="3">
        <v>390</v>
      </c>
      <c r="D463" s="287" t="str">
        <f>IFERROR(HLOOKUP(C463, 'S15 Routing Clustered'!$B$2:$I$18,A463+1, 0), "")</f>
        <v/>
      </c>
      <c r="E463" s="287" t="str">
        <f t="shared" si="25"/>
        <v/>
      </c>
      <c r="F463" s="3" t="str">
        <f>IF(E463="", "", VLOOKUP(B463, 'S08 ABC Output'!$A$3:$C$18, 3, 0))</f>
        <v/>
      </c>
      <c r="I463" s="288" t="str">
        <f t="shared" si="24"/>
        <v>WS-38</v>
      </c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</row>
    <row r="464" spans="1:53" ht="17">
      <c r="A464" s="3">
        <v>10</v>
      </c>
      <c r="B464" s="196" t="str">
        <f>IFERROR(INDEX('S15 Routing Clustered'!$A$3:$A$18, A464), "")</f>
        <v>I-006</v>
      </c>
      <c r="C464" s="3">
        <v>400</v>
      </c>
      <c r="D464" s="287" t="str">
        <f>IFERROR(HLOOKUP(C464, 'S15 Routing Clustered'!$B$2:$I$18,A464+1, 0), "")</f>
        <v/>
      </c>
      <c r="E464" s="287" t="str">
        <f t="shared" si="25"/>
        <v/>
      </c>
      <c r="F464" s="3" t="str">
        <f>IF(E464="", "", VLOOKUP(B464, 'S08 ABC Output'!$A$3:$C$18, 3, 0))</f>
        <v/>
      </c>
      <c r="I464" s="288" t="str">
        <f t="shared" si="24"/>
        <v>WS-39</v>
      </c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</row>
    <row r="465" spans="1:53" ht="17">
      <c r="A465" s="3">
        <v>10</v>
      </c>
      <c r="B465" s="196" t="str">
        <f>IFERROR(INDEX('S15 Routing Clustered'!$A$3:$A$18, A465), "")</f>
        <v>I-006</v>
      </c>
      <c r="C465" s="3">
        <v>410</v>
      </c>
      <c r="D465" s="287" t="str">
        <f>IFERROR(HLOOKUP(C465, 'S15 Routing Clustered'!$B$2:$I$18,A465+1, 0), "")</f>
        <v/>
      </c>
      <c r="E465" s="287" t="str">
        <f t="shared" si="25"/>
        <v/>
      </c>
      <c r="F465" s="3" t="str">
        <f>IF(E465="", "", VLOOKUP(B465, 'S08 ABC Output'!$A$3:$C$18, 3, 0))</f>
        <v/>
      </c>
      <c r="I465" s="288" t="str">
        <f t="shared" si="24"/>
        <v>WS-40</v>
      </c>
      <c r="J465" s="3"/>
      <c r="K465" s="3">
        <v>25689</v>
      </c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</row>
    <row r="466" spans="1:53" ht="17">
      <c r="A466" s="3">
        <v>10</v>
      </c>
      <c r="B466" s="196" t="str">
        <f>IFERROR(INDEX('S15 Routing Clustered'!$A$3:$A$18, A466), "")</f>
        <v>I-006</v>
      </c>
      <c r="C466" s="3">
        <v>420</v>
      </c>
      <c r="D466" s="287" t="str">
        <f>IFERROR(HLOOKUP(C466, 'S15 Routing Clustered'!$B$2:$I$18,A466+1, 0), "")</f>
        <v/>
      </c>
      <c r="E466" s="287" t="str">
        <f t="shared" si="25"/>
        <v/>
      </c>
      <c r="F466" s="3" t="str">
        <f>IF(E466="", "", VLOOKUP(B466, 'S08 ABC Output'!$A$3:$C$18, 3, 0))</f>
        <v/>
      </c>
      <c r="I466" s="288" t="str">
        <f t="shared" si="24"/>
        <v>WS-41</v>
      </c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</row>
    <row r="467" spans="1:53" ht="17">
      <c r="A467" s="3">
        <v>10</v>
      </c>
      <c r="B467" s="196" t="str">
        <f>IFERROR(INDEX('S15 Routing Clustered'!$A$3:$A$18, A467), "")</f>
        <v>I-006</v>
      </c>
      <c r="C467" s="3">
        <v>430</v>
      </c>
      <c r="D467" s="287" t="str">
        <f>IFERROR(HLOOKUP(C467, 'S15 Routing Clustered'!$B$2:$I$18,A467+1, 0), "")</f>
        <v/>
      </c>
      <c r="E467" s="287" t="str">
        <f t="shared" si="25"/>
        <v/>
      </c>
      <c r="F467" s="3" t="str">
        <f>IF(E467="", "", VLOOKUP(B467, 'S08 ABC Output'!$A$3:$C$18, 3, 0))</f>
        <v/>
      </c>
      <c r="I467" s="288" t="str">
        <f t="shared" si="24"/>
        <v>WS-42</v>
      </c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</row>
    <row r="468" spans="1:53" ht="17">
      <c r="A468" s="3">
        <v>10</v>
      </c>
      <c r="B468" s="196" t="str">
        <f>IFERROR(INDEX('S15 Routing Clustered'!$A$3:$A$18, A468), "")</f>
        <v>I-006</v>
      </c>
      <c r="C468" s="3">
        <v>440</v>
      </c>
      <c r="D468" s="287" t="str">
        <f>IFERROR(HLOOKUP(C468, 'S15 Routing Clustered'!$B$2:$I$18,A468+1, 0), "")</f>
        <v/>
      </c>
      <c r="E468" s="287" t="str">
        <f t="shared" si="25"/>
        <v/>
      </c>
      <c r="F468" s="3" t="str">
        <f>IF(E468="", "", VLOOKUP(B468, 'S08 ABC Output'!$A$3:$C$18, 3, 0))</f>
        <v/>
      </c>
      <c r="I468" s="288" t="str">
        <f t="shared" si="24"/>
        <v>WS-43</v>
      </c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>
        <v>25689</v>
      </c>
      <c r="AX468" s="3"/>
      <c r="AY468" s="3"/>
      <c r="AZ468" s="3"/>
      <c r="BA468" s="3"/>
    </row>
    <row r="469" spans="1:53" ht="17">
      <c r="A469" s="3">
        <v>10</v>
      </c>
      <c r="B469" s="196" t="str">
        <f>IFERROR(INDEX('S15 Routing Clustered'!$A$3:$A$18, A469), "")</f>
        <v>I-006</v>
      </c>
      <c r="C469" s="3">
        <v>450</v>
      </c>
      <c r="D469" s="287" t="str">
        <f>IFERROR(HLOOKUP(C469, 'S15 Routing Clustered'!$B$2:$I$18,A469+1, 0), "")</f>
        <v/>
      </c>
      <c r="E469" s="287" t="str">
        <f t="shared" si="25"/>
        <v/>
      </c>
      <c r="F469" s="3" t="str">
        <f>IF(E469="", "", VLOOKUP(B469, 'S08 ABC Output'!$A$3:$C$18, 3, 0))</f>
        <v/>
      </c>
      <c r="I469" s="288" t="str">
        <f t="shared" si="24"/>
        <v>WS-44</v>
      </c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</row>
    <row r="470" spans="1:53" ht="17">
      <c r="B470" s="196" t="str">
        <f>IFERROR(INDEX('S15 Routing Clustered'!$A$3:$A$18, A470), "")</f>
        <v/>
      </c>
      <c r="D470" s="287" t="str">
        <f>IFERROR(HLOOKUP(C470, 'S15 Routing Clustered'!$B$2:$I$18,A470+1, 0), "")</f>
        <v/>
      </c>
      <c r="E470" s="287" t="str">
        <f t="shared" si="25"/>
        <v/>
      </c>
      <c r="F470" s="3" t="str">
        <f>IF(E470="", "", VLOOKUP(B470, 'S08 ABC Output'!$A$3:$C$18, 3, 0))</f>
        <v/>
      </c>
      <c r="I470" s="288"/>
    </row>
    <row r="471" spans="1:53" ht="17">
      <c r="B471" s="196" t="str">
        <f>IFERROR(INDEX('S15 Routing Clustered'!$A$3:$A$18, A471), "")</f>
        <v/>
      </c>
      <c r="D471" s="287" t="str">
        <f>IFERROR(HLOOKUP(C471, 'S15 Routing Clustered'!$B$2:$I$18,A471+1, 0), "")</f>
        <v/>
      </c>
      <c r="E471" s="287" t="str">
        <f t="shared" si="25"/>
        <v/>
      </c>
      <c r="F471" s="3" t="str">
        <f>IF(E471="", "", VLOOKUP(B471, 'S08 ABC Output'!$A$3:$C$18, 3, 0))</f>
        <v/>
      </c>
      <c r="I471" s="288"/>
    </row>
    <row r="472" spans="1:53" ht="17">
      <c r="A472" s="3">
        <v>11</v>
      </c>
      <c r="B472" s="196" t="str">
        <f>IFERROR(INDEX('S15 Routing Clustered'!$A$3:$A$18, A472), "")</f>
        <v>I-007</v>
      </c>
      <c r="C472" s="3">
        <v>10</v>
      </c>
      <c r="D472" s="287" t="str">
        <f>IFERROR(HLOOKUP(C472, 'S15 Routing Clustered'!$B$2:$I$18,A472+1, 0), "")</f>
        <v>WS-43</v>
      </c>
      <c r="E472" s="287" t="str">
        <f t="shared" si="25"/>
        <v>WS-40</v>
      </c>
      <c r="F472" s="3">
        <f>IF(E472="", "", VLOOKUP(B472, 'S08 ABC Output'!$A$3:$C$18, 3, 0))</f>
        <v>25639</v>
      </c>
      <c r="I472" s="288"/>
      <c r="J472" s="288" t="str">
        <f>J425</f>
        <v>WS-01</v>
      </c>
      <c r="K472" s="288" t="str">
        <f t="shared" ref="K472:BA472" si="26">K425</f>
        <v>WS-02</v>
      </c>
      <c r="L472" s="288" t="str">
        <f t="shared" si="26"/>
        <v>WS-03</v>
      </c>
      <c r="M472" s="288" t="str">
        <f t="shared" si="26"/>
        <v>WS-04</v>
      </c>
      <c r="N472" s="288" t="str">
        <f t="shared" si="26"/>
        <v>WS-05</v>
      </c>
      <c r="O472" s="288" t="str">
        <f t="shared" si="26"/>
        <v>WS-06</v>
      </c>
      <c r="P472" s="288" t="str">
        <f t="shared" si="26"/>
        <v>WS-07</v>
      </c>
      <c r="Q472" s="288" t="str">
        <f t="shared" si="26"/>
        <v>WS-08</v>
      </c>
      <c r="R472" s="288" t="str">
        <f t="shared" si="26"/>
        <v>WS-09</v>
      </c>
      <c r="S472" s="288" t="str">
        <f t="shared" si="26"/>
        <v>WS-10</v>
      </c>
      <c r="T472" s="288" t="str">
        <f t="shared" si="26"/>
        <v>WS-11</v>
      </c>
      <c r="U472" s="288" t="str">
        <f t="shared" si="26"/>
        <v>WS-12</v>
      </c>
      <c r="V472" s="288" t="str">
        <f t="shared" si="26"/>
        <v>WS-13</v>
      </c>
      <c r="W472" s="288" t="str">
        <f t="shared" si="26"/>
        <v>WS-14</v>
      </c>
      <c r="X472" s="288" t="str">
        <f t="shared" si="26"/>
        <v>WS-15</v>
      </c>
      <c r="Y472" s="288" t="str">
        <f t="shared" si="26"/>
        <v>WS-16</v>
      </c>
      <c r="Z472" s="288" t="str">
        <f t="shared" si="26"/>
        <v>WS-17</v>
      </c>
      <c r="AA472" s="288" t="str">
        <f t="shared" si="26"/>
        <v>WS-18</v>
      </c>
      <c r="AB472" s="288" t="str">
        <f t="shared" si="26"/>
        <v>WS-19</v>
      </c>
      <c r="AC472" s="288" t="str">
        <f t="shared" si="26"/>
        <v>WS-20</v>
      </c>
      <c r="AD472" s="288" t="str">
        <f t="shared" si="26"/>
        <v>WS-21</v>
      </c>
      <c r="AE472" s="288" t="str">
        <f t="shared" si="26"/>
        <v>WS-22</v>
      </c>
      <c r="AF472" s="288" t="str">
        <f t="shared" si="26"/>
        <v>WS-23</v>
      </c>
      <c r="AG472" s="288" t="str">
        <f t="shared" si="26"/>
        <v>WS-24</v>
      </c>
      <c r="AH472" s="288" t="str">
        <f t="shared" si="26"/>
        <v>WS-25</v>
      </c>
      <c r="AI472" s="288" t="str">
        <f t="shared" si="26"/>
        <v>WS-26</v>
      </c>
      <c r="AJ472" s="288" t="str">
        <f t="shared" si="26"/>
        <v>WS-27</v>
      </c>
      <c r="AK472" s="288" t="str">
        <f t="shared" si="26"/>
        <v>WS-28</v>
      </c>
      <c r="AL472" s="288" t="str">
        <f t="shared" si="26"/>
        <v>WS-29</v>
      </c>
      <c r="AM472" s="288" t="str">
        <f t="shared" si="26"/>
        <v>WS-30</v>
      </c>
      <c r="AN472" s="288" t="str">
        <f t="shared" si="26"/>
        <v>WS-31</v>
      </c>
      <c r="AO472" s="288" t="str">
        <f t="shared" si="26"/>
        <v>WS-32</v>
      </c>
      <c r="AP472" s="288" t="str">
        <f t="shared" si="26"/>
        <v>WS-33</v>
      </c>
      <c r="AQ472" s="288" t="str">
        <f t="shared" si="26"/>
        <v>WS-34</v>
      </c>
      <c r="AR472" s="288" t="str">
        <f t="shared" si="26"/>
        <v>WS-35</v>
      </c>
      <c r="AS472" s="288" t="str">
        <f t="shared" si="26"/>
        <v>WS-36</v>
      </c>
      <c r="AT472" s="288" t="str">
        <f t="shared" si="26"/>
        <v>WS-37</v>
      </c>
      <c r="AU472" s="288" t="str">
        <f t="shared" si="26"/>
        <v>WS-38</v>
      </c>
      <c r="AV472" s="288" t="str">
        <f t="shared" si="26"/>
        <v>WS-39</v>
      </c>
      <c r="AW472" s="288" t="str">
        <f t="shared" si="26"/>
        <v>WS-40</v>
      </c>
      <c r="AX472" s="288" t="str">
        <f t="shared" si="26"/>
        <v>WS-41</v>
      </c>
      <c r="AY472" s="288" t="str">
        <f t="shared" si="26"/>
        <v>WS-42</v>
      </c>
      <c r="AZ472" s="288" t="str">
        <f t="shared" si="26"/>
        <v>WS-43</v>
      </c>
      <c r="BA472" s="288" t="str">
        <f t="shared" si="26"/>
        <v>WS-44</v>
      </c>
    </row>
    <row r="473" spans="1:53" ht="17">
      <c r="A473" s="3">
        <v>11</v>
      </c>
      <c r="B473" s="196" t="str">
        <f>IFERROR(INDEX('S15 Routing Clustered'!$A$3:$A$18, A473), "")</f>
        <v>I-007</v>
      </c>
      <c r="C473" s="3">
        <v>20</v>
      </c>
      <c r="D473" s="287" t="str">
        <f>IFERROR(HLOOKUP(C473, 'S15 Routing Clustered'!$B$2:$I$18,A473+1, 0), "")</f>
        <v>WS-40</v>
      </c>
      <c r="E473" s="287" t="str">
        <f t="shared" si="25"/>
        <v>WS-02</v>
      </c>
      <c r="F473" s="3">
        <f>IF(E473="", "", VLOOKUP(B473, 'S08 ABC Output'!$A$3:$C$18, 3, 0))</f>
        <v>25639</v>
      </c>
      <c r="I473" s="288" t="str">
        <f>I426</f>
        <v>WS-01</v>
      </c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</row>
    <row r="474" spans="1:53" ht="17">
      <c r="A474" s="3">
        <v>11</v>
      </c>
      <c r="B474" s="196" t="str">
        <f>IFERROR(INDEX('S15 Routing Clustered'!$A$3:$A$18, A474), "")</f>
        <v>I-007</v>
      </c>
      <c r="C474" s="3">
        <v>30</v>
      </c>
      <c r="D474" s="287" t="str">
        <f>IFERROR(HLOOKUP(C474, 'S15 Routing Clustered'!$B$2:$I$18,A474+1, 0), "")</f>
        <v>WS-02</v>
      </c>
      <c r="E474" s="287" t="str">
        <f t="shared" si="25"/>
        <v>WS-18</v>
      </c>
      <c r="F474" s="3">
        <f>IF(E474="", "", VLOOKUP(B474, 'S08 ABC Output'!$A$3:$C$18, 3, 0))</f>
        <v>25639</v>
      </c>
      <c r="I474" s="288" t="str">
        <f t="shared" ref="I474:I516" si="27">I427</f>
        <v>WS-02</v>
      </c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>
        <v>25639</v>
      </c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</row>
    <row r="475" spans="1:53" ht="17">
      <c r="A475" s="3">
        <v>11</v>
      </c>
      <c r="B475" s="196" t="str">
        <f>IFERROR(INDEX('S15 Routing Clustered'!$A$3:$A$18, A475), "")</f>
        <v>I-007</v>
      </c>
      <c r="C475" s="3">
        <v>40</v>
      </c>
      <c r="D475" s="287" t="str">
        <f>IFERROR(HLOOKUP(C475, 'S15 Routing Clustered'!$B$2:$I$18,A475+1, 0), "")</f>
        <v>WS-18</v>
      </c>
      <c r="E475" s="287" t="str">
        <f t="shared" si="25"/>
        <v>WS-24</v>
      </c>
      <c r="F475" s="3">
        <f>IF(E475="", "", VLOOKUP(B475, 'S08 ABC Output'!$A$3:$C$18, 3, 0))</f>
        <v>25639</v>
      </c>
      <c r="I475" s="288" t="str">
        <f t="shared" si="27"/>
        <v>WS-03</v>
      </c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</row>
    <row r="476" spans="1:53" ht="17">
      <c r="A476" s="3">
        <v>11</v>
      </c>
      <c r="B476" s="196" t="str">
        <f>IFERROR(INDEX('S15 Routing Clustered'!$A$3:$A$18, A476), "")</f>
        <v>I-007</v>
      </c>
      <c r="C476" s="3">
        <v>50</v>
      </c>
      <c r="D476" s="287" t="str">
        <f>IFERROR(HLOOKUP(C476, 'S15 Routing Clustered'!$B$2:$I$18,A476+1, 0), "")</f>
        <v>WS-24</v>
      </c>
      <c r="E476" s="287" t="str">
        <f t="shared" si="25"/>
        <v>WS-29</v>
      </c>
      <c r="F476" s="3">
        <f>IF(E476="", "", VLOOKUP(B476, 'S08 ABC Output'!$A$3:$C$18, 3, 0))</f>
        <v>25639</v>
      </c>
      <c r="I476" s="288" t="str">
        <f t="shared" si="27"/>
        <v>WS-04</v>
      </c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</row>
    <row r="477" spans="1:53" ht="17">
      <c r="A477" s="3">
        <v>11</v>
      </c>
      <c r="B477" s="196" t="str">
        <f>IFERROR(INDEX('S15 Routing Clustered'!$A$3:$A$18, A477), "")</f>
        <v>I-007</v>
      </c>
      <c r="C477" s="3">
        <v>60</v>
      </c>
      <c r="D477" s="287" t="str">
        <f>IFERROR(HLOOKUP(C477, 'S15 Routing Clustered'!$B$2:$I$18,A477+1, 0), "")</f>
        <v>WS-29</v>
      </c>
      <c r="E477" s="287" t="str">
        <f t="shared" si="25"/>
        <v>WS-33</v>
      </c>
      <c r="F477" s="3">
        <f>IF(E477="", "", VLOOKUP(B477, 'S08 ABC Output'!$A$3:$C$18, 3, 0))</f>
        <v>25639</v>
      </c>
      <c r="I477" s="288" t="str">
        <f t="shared" si="27"/>
        <v>WS-05</v>
      </c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</row>
    <row r="478" spans="1:53" ht="17">
      <c r="A478" s="3">
        <v>11</v>
      </c>
      <c r="B478" s="196" t="str">
        <f>IFERROR(INDEX('S15 Routing Clustered'!$A$3:$A$18, A478), "")</f>
        <v>I-007</v>
      </c>
      <c r="C478" s="3">
        <v>70</v>
      </c>
      <c r="D478" s="287" t="str">
        <f>IFERROR(HLOOKUP(C478, 'S15 Routing Clustered'!$B$2:$I$18,A478+1, 0), "")</f>
        <v>WS-33</v>
      </c>
      <c r="E478" s="287" t="str">
        <f t="shared" si="25"/>
        <v>WS-44</v>
      </c>
      <c r="F478" s="3">
        <f>IF(E478="", "", VLOOKUP(B478, 'S08 ABC Output'!$A$3:$C$18, 3, 0))</f>
        <v>25639</v>
      </c>
      <c r="I478" s="288" t="str">
        <f t="shared" si="27"/>
        <v>WS-06</v>
      </c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</row>
    <row r="479" spans="1:53" ht="17">
      <c r="A479" s="3">
        <v>11</v>
      </c>
      <c r="B479" s="196" t="str">
        <f>IFERROR(INDEX('S15 Routing Clustered'!$A$3:$A$18, A479), "")</f>
        <v>I-007</v>
      </c>
      <c r="C479" s="3">
        <v>80</v>
      </c>
      <c r="D479" s="287" t="str">
        <f>IFERROR(HLOOKUP(C479, 'S15 Routing Clustered'!$B$2:$I$18,A479+1, 0), "")</f>
        <v>WS-44</v>
      </c>
      <c r="E479" s="287" t="str">
        <f t="shared" si="25"/>
        <v/>
      </c>
      <c r="F479" s="3" t="str">
        <f>IF(E479="", "", VLOOKUP(B479, 'S08 ABC Output'!$A$3:$C$18, 3, 0))</f>
        <v/>
      </c>
      <c r="I479" s="288" t="str">
        <f t="shared" si="27"/>
        <v>WS-07</v>
      </c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</row>
    <row r="480" spans="1:53" ht="17">
      <c r="A480" s="3">
        <v>11</v>
      </c>
      <c r="B480" s="196" t="str">
        <f>IFERROR(INDEX('S15 Routing Clustered'!$A$3:$A$18, A480), "")</f>
        <v>I-007</v>
      </c>
      <c r="C480" s="3">
        <v>90</v>
      </c>
      <c r="D480" s="287" t="str">
        <f>IFERROR(HLOOKUP(C480, 'S15 Routing Clustered'!$B$2:$I$18,A480+1, 0), "")</f>
        <v/>
      </c>
      <c r="E480" s="287" t="str">
        <f t="shared" si="25"/>
        <v/>
      </c>
      <c r="F480" s="3" t="str">
        <f>IF(E480="", "", VLOOKUP(B480, 'S08 ABC Output'!$A$3:$C$18, 3, 0))</f>
        <v/>
      </c>
      <c r="I480" s="288" t="str">
        <f t="shared" si="27"/>
        <v>WS-08</v>
      </c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</row>
    <row r="481" spans="1:53" ht="17">
      <c r="A481" s="3">
        <v>11</v>
      </c>
      <c r="B481" s="196" t="str">
        <f>IFERROR(INDEX('S15 Routing Clustered'!$A$3:$A$18, A481), "")</f>
        <v>I-007</v>
      </c>
      <c r="C481" s="3">
        <v>100</v>
      </c>
      <c r="D481" s="287" t="str">
        <f>IFERROR(HLOOKUP(C481, 'S15 Routing Clustered'!$B$2:$I$18,A481+1, 0), "")</f>
        <v/>
      </c>
      <c r="E481" s="287" t="str">
        <f t="shared" si="25"/>
        <v/>
      </c>
      <c r="F481" s="3" t="str">
        <f>IF(E481="", "", VLOOKUP(B481, 'S08 ABC Output'!$A$3:$C$18, 3, 0))</f>
        <v/>
      </c>
      <c r="I481" s="288" t="str">
        <f t="shared" si="27"/>
        <v>WS-09</v>
      </c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</row>
    <row r="482" spans="1:53" ht="17">
      <c r="A482" s="3">
        <v>11</v>
      </c>
      <c r="B482" s="196" t="str">
        <f>IFERROR(INDEX('S15 Routing Clustered'!$A$3:$A$18, A482), "")</f>
        <v>I-007</v>
      </c>
      <c r="C482" s="3">
        <v>110</v>
      </c>
      <c r="D482" s="287" t="str">
        <f>IFERROR(HLOOKUP(C482, 'S15 Routing Clustered'!$B$2:$I$18,A482+1, 0), "")</f>
        <v/>
      </c>
      <c r="E482" s="287" t="str">
        <f t="shared" si="25"/>
        <v/>
      </c>
      <c r="F482" s="3" t="str">
        <f>IF(E482="", "", VLOOKUP(B482, 'S08 ABC Output'!$A$3:$C$18, 3, 0))</f>
        <v/>
      </c>
      <c r="I482" s="288" t="str">
        <f t="shared" si="27"/>
        <v>WS-10</v>
      </c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</row>
    <row r="483" spans="1:53" ht="17">
      <c r="A483" s="3">
        <v>11</v>
      </c>
      <c r="B483" s="196" t="str">
        <f>IFERROR(INDEX('S15 Routing Clustered'!$A$3:$A$18, A483), "")</f>
        <v>I-007</v>
      </c>
      <c r="C483" s="3">
        <v>120</v>
      </c>
      <c r="D483" s="287" t="str">
        <f>IFERROR(HLOOKUP(C483, 'S15 Routing Clustered'!$B$2:$I$18,A483+1, 0), "")</f>
        <v/>
      </c>
      <c r="E483" s="287" t="str">
        <f t="shared" si="25"/>
        <v/>
      </c>
      <c r="F483" s="3" t="str">
        <f>IF(E483="", "", VLOOKUP(B483, 'S08 ABC Output'!$A$3:$C$18, 3, 0))</f>
        <v/>
      </c>
      <c r="I483" s="288" t="str">
        <f t="shared" si="27"/>
        <v>WS-11</v>
      </c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</row>
    <row r="484" spans="1:53" ht="17">
      <c r="A484" s="3">
        <v>11</v>
      </c>
      <c r="B484" s="196" t="str">
        <f>IFERROR(INDEX('S15 Routing Clustered'!$A$3:$A$18, A484), "")</f>
        <v>I-007</v>
      </c>
      <c r="C484" s="3">
        <v>130</v>
      </c>
      <c r="D484" s="287" t="str">
        <f>IFERROR(HLOOKUP(C484, 'S15 Routing Clustered'!$B$2:$I$18,A484+1, 0), "")</f>
        <v/>
      </c>
      <c r="E484" s="287" t="str">
        <f t="shared" si="25"/>
        <v/>
      </c>
      <c r="F484" s="3" t="str">
        <f>IF(E484="", "", VLOOKUP(B484, 'S08 ABC Output'!$A$3:$C$18, 3, 0))</f>
        <v/>
      </c>
      <c r="I484" s="288" t="str">
        <f t="shared" si="27"/>
        <v>WS-12</v>
      </c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</row>
    <row r="485" spans="1:53" ht="17">
      <c r="A485" s="3">
        <v>11</v>
      </c>
      <c r="B485" s="196" t="str">
        <f>IFERROR(INDEX('S15 Routing Clustered'!$A$3:$A$18, A485), "")</f>
        <v>I-007</v>
      </c>
      <c r="C485" s="3">
        <v>140</v>
      </c>
      <c r="D485" s="287" t="str">
        <f>IFERROR(HLOOKUP(C485, 'S15 Routing Clustered'!$B$2:$I$18,A485+1, 0), "")</f>
        <v/>
      </c>
      <c r="E485" s="287" t="str">
        <f t="shared" si="25"/>
        <v/>
      </c>
      <c r="F485" s="3" t="str">
        <f>IF(E485="", "", VLOOKUP(B485, 'S08 ABC Output'!$A$3:$C$18, 3, 0))</f>
        <v/>
      </c>
      <c r="I485" s="288" t="str">
        <f t="shared" si="27"/>
        <v>WS-13</v>
      </c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</row>
    <row r="486" spans="1:53" ht="17">
      <c r="A486" s="3">
        <v>11</v>
      </c>
      <c r="B486" s="196" t="str">
        <f>IFERROR(INDEX('S15 Routing Clustered'!$A$3:$A$18, A486), "")</f>
        <v>I-007</v>
      </c>
      <c r="C486" s="3">
        <v>150</v>
      </c>
      <c r="D486" s="287" t="str">
        <f>IFERROR(HLOOKUP(C486, 'S15 Routing Clustered'!$B$2:$I$18,A486+1, 0), "")</f>
        <v/>
      </c>
      <c r="E486" s="287" t="str">
        <f t="shared" si="25"/>
        <v/>
      </c>
      <c r="F486" s="3" t="str">
        <f>IF(E486="", "", VLOOKUP(B486, 'S08 ABC Output'!$A$3:$C$18, 3, 0))</f>
        <v/>
      </c>
      <c r="I486" s="288" t="str">
        <f t="shared" si="27"/>
        <v>WS-14</v>
      </c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</row>
    <row r="487" spans="1:53" ht="17">
      <c r="A487" s="3">
        <v>11</v>
      </c>
      <c r="B487" s="196" t="str">
        <f>IFERROR(INDEX('S15 Routing Clustered'!$A$3:$A$18, A487), "")</f>
        <v>I-007</v>
      </c>
      <c r="C487" s="3">
        <v>160</v>
      </c>
      <c r="D487" s="287" t="str">
        <f>IFERROR(HLOOKUP(C487, 'S15 Routing Clustered'!$B$2:$I$18,A487+1, 0), "")</f>
        <v/>
      </c>
      <c r="E487" s="287" t="str">
        <f t="shared" si="25"/>
        <v/>
      </c>
      <c r="F487" s="3" t="str">
        <f>IF(E487="", "", VLOOKUP(B487, 'S08 ABC Output'!$A$3:$C$18, 3, 0))</f>
        <v/>
      </c>
      <c r="I487" s="288" t="str">
        <f t="shared" si="27"/>
        <v>WS-15</v>
      </c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</row>
    <row r="488" spans="1:53" ht="17">
      <c r="A488" s="3">
        <v>11</v>
      </c>
      <c r="B488" s="196" t="str">
        <f>IFERROR(INDEX('S15 Routing Clustered'!$A$3:$A$18, A488), "")</f>
        <v>I-007</v>
      </c>
      <c r="C488" s="3">
        <v>170</v>
      </c>
      <c r="D488" s="287" t="str">
        <f>IFERROR(HLOOKUP(C488, 'S15 Routing Clustered'!$B$2:$I$18,A488+1, 0), "")</f>
        <v/>
      </c>
      <c r="E488" s="287" t="str">
        <f t="shared" si="25"/>
        <v/>
      </c>
      <c r="F488" s="3" t="str">
        <f>IF(E488="", "", VLOOKUP(B488, 'S08 ABC Output'!$A$3:$C$18, 3, 0))</f>
        <v/>
      </c>
      <c r="I488" s="288" t="str">
        <f t="shared" si="27"/>
        <v>WS-16</v>
      </c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</row>
    <row r="489" spans="1:53" ht="17">
      <c r="A489" s="3">
        <v>11</v>
      </c>
      <c r="B489" s="196" t="str">
        <f>IFERROR(INDEX('S15 Routing Clustered'!$A$3:$A$18, A489), "")</f>
        <v>I-007</v>
      </c>
      <c r="C489" s="3">
        <v>180</v>
      </c>
      <c r="D489" s="287" t="str">
        <f>IFERROR(HLOOKUP(C489, 'S15 Routing Clustered'!$B$2:$I$18,A489+1, 0), "")</f>
        <v/>
      </c>
      <c r="E489" s="287" t="str">
        <f t="shared" si="25"/>
        <v/>
      </c>
      <c r="F489" s="3" t="str">
        <f>IF(E489="", "", VLOOKUP(B489, 'S08 ABC Output'!$A$3:$C$18, 3, 0))</f>
        <v/>
      </c>
      <c r="I489" s="288" t="str">
        <f t="shared" si="27"/>
        <v>WS-17</v>
      </c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</row>
    <row r="490" spans="1:53" ht="17">
      <c r="A490" s="3">
        <v>11</v>
      </c>
      <c r="B490" s="196" t="str">
        <f>IFERROR(INDEX('S15 Routing Clustered'!$A$3:$A$18, A490), "")</f>
        <v>I-007</v>
      </c>
      <c r="C490" s="3">
        <v>190</v>
      </c>
      <c r="D490" s="287" t="str">
        <f>IFERROR(HLOOKUP(C490, 'S15 Routing Clustered'!$B$2:$I$18,A490+1, 0), "")</f>
        <v/>
      </c>
      <c r="E490" s="287" t="str">
        <f t="shared" si="25"/>
        <v/>
      </c>
      <c r="F490" s="3" t="str">
        <f>IF(E490="", "", VLOOKUP(B490, 'S08 ABC Output'!$A$3:$C$18, 3, 0))</f>
        <v/>
      </c>
      <c r="I490" s="288" t="str">
        <f t="shared" si="27"/>
        <v>WS-18</v>
      </c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>
        <v>25639</v>
      </c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</row>
    <row r="491" spans="1:53" ht="17">
      <c r="A491" s="3">
        <v>11</v>
      </c>
      <c r="B491" s="196" t="str">
        <f>IFERROR(INDEX('S15 Routing Clustered'!$A$3:$A$18, A491), "")</f>
        <v>I-007</v>
      </c>
      <c r="C491" s="3">
        <v>200</v>
      </c>
      <c r="D491" s="287" t="str">
        <f>IFERROR(HLOOKUP(C491, 'S15 Routing Clustered'!$B$2:$I$18,A491+1, 0), "")</f>
        <v/>
      </c>
      <c r="E491" s="287" t="str">
        <f t="shared" si="25"/>
        <v/>
      </c>
      <c r="F491" s="3" t="str">
        <f>IF(E491="", "", VLOOKUP(B491, 'S08 ABC Output'!$A$3:$C$18, 3, 0))</f>
        <v/>
      </c>
      <c r="I491" s="288" t="str">
        <f t="shared" si="27"/>
        <v>WS-19</v>
      </c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</row>
    <row r="492" spans="1:53" ht="17">
      <c r="A492" s="3">
        <v>11</v>
      </c>
      <c r="B492" s="196" t="str">
        <f>IFERROR(INDEX('S15 Routing Clustered'!$A$3:$A$18, A492), "")</f>
        <v>I-007</v>
      </c>
      <c r="C492" s="3">
        <v>210</v>
      </c>
      <c r="D492" s="287" t="str">
        <f>IFERROR(HLOOKUP(C492, 'S15 Routing Clustered'!$B$2:$I$18,A492+1, 0), "")</f>
        <v/>
      </c>
      <c r="E492" s="287" t="str">
        <f t="shared" si="25"/>
        <v/>
      </c>
      <c r="F492" s="3" t="str">
        <f>IF(E492="", "", VLOOKUP(B492, 'S08 ABC Output'!$A$3:$C$18, 3, 0))</f>
        <v/>
      </c>
      <c r="I492" s="288" t="str">
        <f t="shared" si="27"/>
        <v>WS-20</v>
      </c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</row>
    <row r="493" spans="1:53" ht="17">
      <c r="A493" s="3">
        <v>11</v>
      </c>
      <c r="B493" s="196" t="str">
        <f>IFERROR(INDEX('S15 Routing Clustered'!$A$3:$A$18, A493), "")</f>
        <v>I-007</v>
      </c>
      <c r="C493" s="3">
        <v>220</v>
      </c>
      <c r="D493" s="287" t="str">
        <f>IFERROR(HLOOKUP(C493, 'S15 Routing Clustered'!$B$2:$I$18,A493+1, 0), "")</f>
        <v/>
      </c>
      <c r="E493" s="287" t="str">
        <f t="shared" si="25"/>
        <v/>
      </c>
      <c r="F493" s="3" t="str">
        <f>IF(E493="", "", VLOOKUP(B493, 'S08 ABC Output'!$A$3:$C$18, 3, 0))</f>
        <v/>
      </c>
      <c r="I493" s="288" t="str">
        <f t="shared" si="27"/>
        <v>WS-21</v>
      </c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</row>
    <row r="494" spans="1:53" ht="17">
      <c r="A494" s="3">
        <v>11</v>
      </c>
      <c r="B494" s="196" t="str">
        <f>IFERROR(INDEX('S15 Routing Clustered'!$A$3:$A$18, A494), "")</f>
        <v>I-007</v>
      </c>
      <c r="C494" s="3">
        <v>230</v>
      </c>
      <c r="D494" s="287" t="str">
        <f>IFERROR(HLOOKUP(C494, 'S15 Routing Clustered'!$B$2:$I$18,A494+1, 0), "")</f>
        <v/>
      </c>
      <c r="E494" s="287" t="str">
        <f t="shared" si="25"/>
        <v/>
      </c>
      <c r="F494" s="3" t="str">
        <f>IF(E494="", "", VLOOKUP(B494, 'S08 ABC Output'!$A$3:$C$18, 3, 0))</f>
        <v/>
      </c>
      <c r="I494" s="288" t="str">
        <f t="shared" si="27"/>
        <v>WS-22</v>
      </c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</row>
    <row r="495" spans="1:53" ht="17">
      <c r="A495" s="3">
        <v>11</v>
      </c>
      <c r="B495" s="196" t="str">
        <f>IFERROR(INDEX('S15 Routing Clustered'!$A$3:$A$18, A495), "")</f>
        <v>I-007</v>
      </c>
      <c r="C495" s="3">
        <v>240</v>
      </c>
      <c r="D495" s="287" t="str">
        <f>IFERROR(HLOOKUP(C495, 'S15 Routing Clustered'!$B$2:$I$18,A495+1, 0), "")</f>
        <v/>
      </c>
      <c r="E495" s="287" t="str">
        <f t="shared" si="25"/>
        <v/>
      </c>
      <c r="F495" s="3" t="str">
        <f>IF(E495="", "", VLOOKUP(B495, 'S08 ABC Output'!$A$3:$C$18, 3, 0))</f>
        <v/>
      </c>
      <c r="I495" s="288" t="str">
        <f t="shared" si="27"/>
        <v>WS-23</v>
      </c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</row>
    <row r="496" spans="1:53" ht="17">
      <c r="A496" s="3">
        <v>11</v>
      </c>
      <c r="B496" s="196" t="str">
        <f>IFERROR(INDEX('S15 Routing Clustered'!$A$3:$A$18, A496), "")</f>
        <v>I-007</v>
      </c>
      <c r="C496" s="3">
        <v>250</v>
      </c>
      <c r="D496" s="287" t="str">
        <f>IFERROR(HLOOKUP(C496, 'S15 Routing Clustered'!$B$2:$I$18,A496+1, 0), "")</f>
        <v/>
      </c>
      <c r="E496" s="287" t="str">
        <f t="shared" si="25"/>
        <v/>
      </c>
      <c r="F496" s="3" t="str">
        <f>IF(E496="", "", VLOOKUP(B496, 'S08 ABC Output'!$A$3:$C$18, 3, 0))</f>
        <v/>
      </c>
      <c r="I496" s="288" t="str">
        <f t="shared" si="27"/>
        <v>WS-24</v>
      </c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>
        <v>25639</v>
      </c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</row>
    <row r="497" spans="1:53" ht="17">
      <c r="A497" s="3">
        <v>11</v>
      </c>
      <c r="B497" s="196" t="str">
        <f>IFERROR(INDEX('S15 Routing Clustered'!$A$3:$A$18, A497), "")</f>
        <v>I-007</v>
      </c>
      <c r="C497" s="3">
        <v>260</v>
      </c>
      <c r="D497" s="287" t="str">
        <f>IFERROR(HLOOKUP(C497, 'S15 Routing Clustered'!$B$2:$I$18,A497+1, 0), "")</f>
        <v/>
      </c>
      <c r="E497" s="287" t="str">
        <f t="shared" si="25"/>
        <v/>
      </c>
      <c r="F497" s="3" t="str">
        <f>IF(E497="", "", VLOOKUP(B497, 'S08 ABC Output'!$A$3:$C$18, 3, 0))</f>
        <v/>
      </c>
      <c r="I497" s="288" t="str">
        <f t="shared" si="27"/>
        <v>WS-25</v>
      </c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</row>
    <row r="498" spans="1:53" ht="17">
      <c r="A498" s="3">
        <v>11</v>
      </c>
      <c r="B498" s="196" t="str">
        <f>IFERROR(INDEX('S15 Routing Clustered'!$A$3:$A$18, A498), "")</f>
        <v>I-007</v>
      </c>
      <c r="C498" s="3">
        <v>270</v>
      </c>
      <c r="D498" s="287" t="str">
        <f>IFERROR(HLOOKUP(C498, 'S15 Routing Clustered'!$B$2:$I$18,A498+1, 0), "")</f>
        <v/>
      </c>
      <c r="E498" s="287" t="str">
        <f t="shared" si="25"/>
        <v/>
      </c>
      <c r="F498" s="3" t="str">
        <f>IF(E498="", "", VLOOKUP(B498, 'S08 ABC Output'!$A$3:$C$18, 3, 0))</f>
        <v/>
      </c>
      <c r="I498" s="288" t="str">
        <f t="shared" si="27"/>
        <v>WS-26</v>
      </c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</row>
    <row r="499" spans="1:53" ht="17">
      <c r="A499" s="3">
        <v>11</v>
      </c>
      <c r="B499" s="196" t="str">
        <f>IFERROR(INDEX('S15 Routing Clustered'!$A$3:$A$18, A499), "")</f>
        <v>I-007</v>
      </c>
      <c r="C499" s="3">
        <v>280</v>
      </c>
      <c r="D499" s="287" t="str">
        <f>IFERROR(HLOOKUP(C499, 'S15 Routing Clustered'!$B$2:$I$18,A499+1, 0), "")</f>
        <v/>
      </c>
      <c r="E499" s="287" t="str">
        <f t="shared" si="25"/>
        <v/>
      </c>
      <c r="F499" s="3" t="str">
        <f>IF(E499="", "", VLOOKUP(B499, 'S08 ABC Output'!$A$3:$C$18, 3, 0))</f>
        <v/>
      </c>
      <c r="I499" s="288" t="str">
        <f t="shared" si="27"/>
        <v>WS-27</v>
      </c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</row>
    <row r="500" spans="1:53" ht="17">
      <c r="A500" s="3">
        <v>11</v>
      </c>
      <c r="B500" s="196" t="str">
        <f>IFERROR(INDEX('S15 Routing Clustered'!$A$3:$A$18, A500), "")</f>
        <v>I-007</v>
      </c>
      <c r="C500" s="3">
        <v>290</v>
      </c>
      <c r="D500" s="287" t="str">
        <f>IFERROR(HLOOKUP(C500, 'S15 Routing Clustered'!$B$2:$I$18,A500+1, 0), "")</f>
        <v/>
      </c>
      <c r="E500" s="287" t="str">
        <f t="shared" si="25"/>
        <v/>
      </c>
      <c r="F500" s="3" t="str">
        <f>IF(E500="", "", VLOOKUP(B500, 'S08 ABC Output'!$A$3:$C$18, 3, 0))</f>
        <v/>
      </c>
      <c r="I500" s="288" t="str">
        <f t="shared" si="27"/>
        <v>WS-28</v>
      </c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</row>
    <row r="501" spans="1:53" ht="17">
      <c r="A501" s="3">
        <v>11</v>
      </c>
      <c r="B501" s="196" t="str">
        <f>IFERROR(INDEX('S15 Routing Clustered'!$A$3:$A$18, A501), "")</f>
        <v>I-007</v>
      </c>
      <c r="C501" s="3">
        <v>300</v>
      </c>
      <c r="D501" s="287" t="str">
        <f>IFERROR(HLOOKUP(C501, 'S15 Routing Clustered'!$B$2:$I$18,A501+1, 0), "")</f>
        <v/>
      </c>
      <c r="E501" s="287" t="str">
        <f t="shared" si="25"/>
        <v/>
      </c>
      <c r="F501" s="3" t="str">
        <f>IF(E501="", "", VLOOKUP(B501, 'S08 ABC Output'!$A$3:$C$18, 3, 0))</f>
        <v/>
      </c>
      <c r="I501" s="288" t="str">
        <f t="shared" si="27"/>
        <v>WS-29</v>
      </c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>
        <v>25639</v>
      </c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</row>
    <row r="502" spans="1:53" ht="17">
      <c r="A502" s="3">
        <v>11</v>
      </c>
      <c r="B502" s="196" t="str">
        <f>IFERROR(INDEX('S15 Routing Clustered'!$A$3:$A$18, A502), "")</f>
        <v>I-007</v>
      </c>
      <c r="C502" s="3">
        <v>310</v>
      </c>
      <c r="D502" s="287" t="str">
        <f>IFERROR(HLOOKUP(C502, 'S15 Routing Clustered'!$B$2:$I$18,A502+1, 0), "")</f>
        <v/>
      </c>
      <c r="E502" s="287" t="str">
        <f t="shared" si="25"/>
        <v/>
      </c>
      <c r="F502" s="3" t="str">
        <f>IF(E502="", "", VLOOKUP(B502, 'S08 ABC Output'!$A$3:$C$18, 3, 0))</f>
        <v/>
      </c>
      <c r="I502" s="288" t="str">
        <f t="shared" si="27"/>
        <v>WS-30</v>
      </c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</row>
    <row r="503" spans="1:53" ht="17">
      <c r="A503" s="3">
        <v>11</v>
      </c>
      <c r="B503" s="196" t="str">
        <f>IFERROR(INDEX('S15 Routing Clustered'!$A$3:$A$18, A503), "")</f>
        <v>I-007</v>
      </c>
      <c r="C503" s="3">
        <v>320</v>
      </c>
      <c r="D503" s="287" t="str">
        <f>IFERROR(HLOOKUP(C503, 'S15 Routing Clustered'!$B$2:$I$18,A503+1, 0), "")</f>
        <v/>
      </c>
      <c r="E503" s="287" t="str">
        <f t="shared" si="25"/>
        <v/>
      </c>
      <c r="F503" s="3" t="str">
        <f>IF(E503="", "", VLOOKUP(B503, 'S08 ABC Output'!$A$3:$C$18, 3, 0))</f>
        <v/>
      </c>
      <c r="I503" s="288" t="str">
        <f t="shared" si="27"/>
        <v>WS-31</v>
      </c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</row>
    <row r="504" spans="1:53" ht="17">
      <c r="A504" s="3">
        <v>11</v>
      </c>
      <c r="B504" s="196" t="str">
        <f>IFERROR(INDEX('S15 Routing Clustered'!$A$3:$A$18, A504), "")</f>
        <v>I-007</v>
      </c>
      <c r="C504" s="3">
        <v>330</v>
      </c>
      <c r="D504" s="287" t="str">
        <f>IFERROR(HLOOKUP(C504, 'S15 Routing Clustered'!$B$2:$I$18,A504+1, 0), "")</f>
        <v/>
      </c>
      <c r="E504" s="287" t="str">
        <f t="shared" si="25"/>
        <v/>
      </c>
      <c r="F504" s="3" t="str">
        <f>IF(E504="", "", VLOOKUP(B504, 'S08 ABC Output'!$A$3:$C$18, 3, 0))</f>
        <v/>
      </c>
      <c r="I504" s="288" t="str">
        <f t="shared" si="27"/>
        <v>WS-32</v>
      </c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</row>
    <row r="505" spans="1:53" ht="17">
      <c r="A505" s="3">
        <v>11</v>
      </c>
      <c r="B505" s="196" t="str">
        <f>IFERROR(INDEX('S15 Routing Clustered'!$A$3:$A$18, A505), "")</f>
        <v>I-007</v>
      </c>
      <c r="C505" s="3">
        <v>340</v>
      </c>
      <c r="D505" s="287" t="str">
        <f>IFERROR(HLOOKUP(C505, 'S15 Routing Clustered'!$B$2:$I$18,A505+1, 0), "")</f>
        <v/>
      </c>
      <c r="E505" s="287" t="str">
        <f t="shared" si="25"/>
        <v/>
      </c>
      <c r="F505" s="3" t="str">
        <f>IF(E505="", "", VLOOKUP(B505, 'S08 ABC Output'!$A$3:$C$18, 3, 0))</f>
        <v/>
      </c>
      <c r="I505" s="288" t="str">
        <f t="shared" si="27"/>
        <v>WS-33</v>
      </c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>
        <v>25639</v>
      </c>
    </row>
    <row r="506" spans="1:53" ht="17">
      <c r="A506" s="3">
        <v>11</v>
      </c>
      <c r="B506" s="196" t="str">
        <f>IFERROR(INDEX('S15 Routing Clustered'!$A$3:$A$18, A506), "")</f>
        <v>I-007</v>
      </c>
      <c r="C506" s="3">
        <v>350</v>
      </c>
      <c r="D506" s="287" t="str">
        <f>IFERROR(HLOOKUP(C506, 'S15 Routing Clustered'!$B$2:$I$18,A506+1, 0), "")</f>
        <v/>
      </c>
      <c r="E506" s="287" t="str">
        <f t="shared" si="25"/>
        <v/>
      </c>
      <c r="F506" s="3" t="str">
        <f>IF(E506="", "", VLOOKUP(B506, 'S08 ABC Output'!$A$3:$C$18, 3, 0))</f>
        <v/>
      </c>
      <c r="I506" s="288" t="str">
        <f t="shared" si="27"/>
        <v>WS-34</v>
      </c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</row>
    <row r="507" spans="1:53" ht="17">
      <c r="A507" s="3">
        <v>11</v>
      </c>
      <c r="B507" s="196" t="str">
        <f>IFERROR(INDEX('S15 Routing Clustered'!$A$3:$A$18, A507), "")</f>
        <v>I-007</v>
      </c>
      <c r="C507" s="3">
        <v>360</v>
      </c>
      <c r="D507" s="287" t="str">
        <f>IFERROR(HLOOKUP(C507, 'S15 Routing Clustered'!$B$2:$I$18,A507+1, 0), "")</f>
        <v/>
      </c>
      <c r="E507" s="287" t="str">
        <f t="shared" si="25"/>
        <v/>
      </c>
      <c r="F507" s="3" t="str">
        <f>IF(E507="", "", VLOOKUP(B507, 'S08 ABC Output'!$A$3:$C$18, 3, 0))</f>
        <v/>
      </c>
      <c r="I507" s="288" t="str">
        <f t="shared" si="27"/>
        <v>WS-35</v>
      </c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</row>
    <row r="508" spans="1:53" ht="17">
      <c r="A508" s="3">
        <v>11</v>
      </c>
      <c r="B508" s="196" t="str">
        <f>IFERROR(INDEX('S15 Routing Clustered'!$A$3:$A$18, A508), "")</f>
        <v>I-007</v>
      </c>
      <c r="C508" s="3">
        <v>370</v>
      </c>
      <c r="D508" s="287" t="str">
        <f>IFERROR(HLOOKUP(C508, 'S15 Routing Clustered'!$B$2:$I$18,A508+1, 0), "")</f>
        <v/>
      </c>
      <c r="E508" s="287" t="str">
        <f t="shared" si="25"/>
        <v/>
      </c>
      <c r="F508" s="3" t="str">
        <f>IF(E508="", "", VLOOKUP(B508, 'S08 ABC Output'!$A$3:$C$18, 3, 0))</f>
        <v/>
      </c>
      <c r="I508" s="288" t="str">
        <f t="shared" si="27"/>
        <v>WS-36</v>
      </c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</row>
    <row r="509" spans="1:53" ht="17">
      <c r="A509" s="3">
        <v>11</v>
      </c>
      <c r="B509" s="196" t="str">
        <f>IFERROR(INDEX('S15 Routing Clustered'!$A$3:$A$18, A509), "")</f>
        <v>I-007</v>
      </c>
      <c r="C509" s="3">
        <v>380</v>
      </c>
      <c r="D509" s="287" t="str">
        <f>IFERROR(HLOOKUP(C509, 'S15 Routing Clustered'!$B$2:$I$18,A509+1, 0), "")</f>
        <v/>
      </c>
      <c r="E509" s="287" t="str">
        <f t="shared" si="25"/>
        <v/>
      </c>
      <c r="F509" s="3" t="str">
        <f>IF(E509="", "", VLOOKUP(B509, 'S08 ABC Output'!$A$3:$C$18, 3, 0))</f>
        <v/>
      </c>
      <c r="I509" s="288" t="str">
        <f t="shared" si="27"/>
        <v>WS-37</v>
      </c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</row>
    <row r="510" spans="1:53" ht="17">
      <c r="A510" s="3">
        <v>11</v>
      </c>
      <c r="B510" s="196" t="str">
        <f>IFERROR(INDEX('S15 Routing Clustered'!$A$3:$A$18, A510), "")</f>
        <v>I-007</v>
      </c>
      <c r="C510" s="3">
        <v>390</v>
      </c>
      <c r="D510" s="287" t="str">
        <f>IFERROR(HLOOKUP(C510, 'S15 Routing Clustered'!$B$2:$I$18,A510+1, 0), "")</f>
        <v/>
      </c>
      <c r="E510" s="287" t="str">
        <f t="shared" si="25"/>
        <v/>
      </c>
      <c r="F510" s="3" t="str">
        <f>IF(E510="", "", VLOOKUP(B510, 'S08 ABC Output'!$A$3:$C$18, 3, 0))</f>
        <v/>
      </c>
      <c r="I510" s="288" t="str">
        <f t="shared" si="27"/>
        <v>WS-38</v>
      </c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</row>
    <row r="511" spans="1:53" ht="17">
      <c r="A511" s="3">
        <v>11</v>
      </c>
      <c r="B511" s="196" t="str">
        <f>IFERROR(INDEX('S15 Routing Clustered'!$A$3:$A$18, A511), "")</f>
        <v>I-007</v>
      </c>
      <c r="C511" s="3">
        <v>400</v>
      </c>
      <c r="D511" s="287" t="str">
        <f>IFERROR(HLOOKUP(C511, 'S15 Routing Clustered'!$B$2:$I$18,A511+1, 0), "")</f>
        <v/>
      </c>
      <c r="E511" s="287" t="str">
        <f t="shared" si="25"/>
        <v/>
      </c>
      <c r="F511" s="3" t="str">
        <f>IF(E511="", "", VLOOKUP(B511, 'S08 ABC Output'!$A$3:$C$18, 3, 0))</f>
        <v/>
      </c>
      <c r="I511" s="288" t="str">
        <f t="shared" si="27"/>
        <v>WS-39</v>
      </c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</row>
    <row r="512" spans="1:53" ht="17">
      <c r="A512" s="3">
        <v>11</v>
      </c>
      <c r="B512" s="196" t="str">
        <f>IFERROR(INDEX('S15 Routing Clustered'!$A$3:$A$18, A512), "")</f>
        <v>I-007</v>
      </c>
      <c r="C512" s="3">
        <v>410</v>
      </c>
      <c r="D512" s="287" t="str">
        <f>IFERROR(HLOOKUP(C512, 'S15 Routing Clustered'!$B$2:$I$18,A512+1, 0), "")</f>
        <v/>
      </c>
      <c r="E512" s="287" t="str">
        <f t="shared" si="25"/>
        <v/>
      </c>
      <c r="F512" s="3" t="str">
        <f>IF(E512="", "", VLOOKUP(B512, 'S08 ABC Output'!$A$3:$C$18, 3, 0))</f>
        <v/>
      </c>
      <c r="I512" s="288" t="str">
        <f t="shared" si="27"/>
        <v>WS-40</v>
      </c>
      <c r="J512" s="3"/>
      <c r="K512" s="3">
        <v>25639</v>
      </c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</row>
    <row r="513" spans="1:53" ht="17">
      <c r="A513" s="3">
        <v>11</v>
      </c>
      <c r="B513" s="196" t="str">
        <f>IFERROR(INDEX('S15 Routing Clustered'!$A$3:$A$18, A513), "")</f>
        <v>I-007</v>
      </c>
      <c r="C513" s="3">
        <v>420</v>
      </c>
      <c r="D513" s="287" t="str">
        <f>IFERROR(HLOOKUP(C513, 'S15 Routing Clustered'!$B$2:$I$18,A513+1, 0), "")</f>
        <v/>
      </c>
      <c r="E513" s="287" t="str">
        <f t="shared" si="25"/>
        <v/>
      </c>
      <c r="F513" s="3" t="str">
        <f>IF(E513="", "", VLOOKUP(B513, 'S08 ABC Output'!$A$3:$C$18, 3, 0))</f>
        <v/>
      </c>
      <c r="I513" s="288" t="str">
        <f t="shared" si="27"/>
        <v>WS-41</v>
      </c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</row>
    <row r="514" spans="1:53" ht="17">
      <c r="A514" s="3">
        <v>11</v>
      </c>
      <c r="B514" s="196" t="str">
        <f>IFERROR(INDEX('S15 Routing Clustered'!$A$3:$A$18, A514), "")</f>
        <v>I-007</v>
      </c>
      <c r="C514" s="3">
        <v>430</v>
      </c>
      <c r="D514" s="287" t="str">
        <f>IFERROR(HLOOKUP(C514, 'S15 Routing Clustered'!$B$2:$I$18,A514+1, 0), "")</f>
        <v/>
      </c>
      <c r="E514" s="287" t="str">
        <f t="shared" si="25"/>
        <v/>
      </c>
      <c r="F514" s="3" t="str">
        <f>IF(E514="", "", VLOOKUP(B514, 'S08 ABC Output'!$A$3:$C$18, 3, 0))</f>
        <v/>
      </c>
      <c r="I514" s="288" t="str">
        <f t="shared" si="27"/>
        <v>WS-42</v>
      </c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</row>
    <row r="515" spans="1:53" ht="17">
      <c r="A515" s="3">
        <v>11</v>
      </c>
      <c r="B515" s="196" t="str">
        <f>IFERROR(INDEX('S15 Routing Clustered'!$A$3:$A$18, A515), "")</f>
        <v>I-007</v>
      </c>
      <c r="C515" s="3">
        <v>440</v>
      </c>
      <c r="D515" s="287" t="str">
        <f>IFERROR(HLOOKUP(C515, 'S15 Routing Clustered'!$B$2:$I$18,A515+1, 0), "")</f>
        <v/>
      </c>
      <c r="E515" s="287" t="str">
        <f t="shared" ref="E515:E578" si="28">IF(D515="", "", D516)</f>
        <v/>
      </c>
      <c r="F515" s="3" t="str">
        <f>IF(E515="", "", VLOOKUP(B515, 'S08 ABC Output'!$A$3:$C$18, 3, 0))</f>
        <v/>
      </c>
      <c r="I515" s="288" t="str">
        <f t="shared" si="27"/>
        <v>WS-43</v>
      </c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>
        <v>25639</v>
      </c>
      <c r="AX515" s="3"/>
      <c r="AY515" s="3"/>
      <c r="AZ515" s="3"/>
      <c r="BA515" s="3"/>
    </row>
    <row r="516" spans="1:53" ht="17">
      <c r="A516" s="3">
        <v>11</v>
      </c>
      <c r="B516" s="196" t="str">
        <f>IFERROR(INDEX('S15 Routing Clustered'!$A$3:$A$18, A516), "")</f>
        <v>I-007</v>
      </c>
      <c r="C516" s="3">
        <v>450</v>
      </c>
      <c r="D516" s="287" t="str">
        <f>IFERROR(HLOOKUP(C516, 'S15 Routing Clustered'!$B$2:$I$18,A516+1, 0), "")</f>
        <v/>
      </c>
      <c r="E516" s="287" t="str">
        <f t="shared" si="28"/>
        <v/>
      </c>
      <c r="F516" s="3" t="str">
        <f>IF(E516="", "", VLOOKUP(B516, 'S08 ABC Output'!$A$3:$C$18, 3, 0))</f>
        <v/>
      </c>
      <c r="I516" s="288" t="str">
        <f t="shared" si="27"/>
        <v>WS-44</v>
      </c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</row>
    <row r="517" spans="1:53" ht="17">
      <c r="B517" s="196" t="str">
        <f>IFERROR(INDEX('S15 Routing Clustered'!$A$3:$A$18, A517), "")</f>
        <v/>
      </c>
      <c r="D517" s="287" t="str">
        <f>IFERROR(HLOOKUP(C517, 'S15 Routing Clustered'!$B$2:$I$18,A517+1, 0), "")</f>
        <v/>
      </c>
      <c r="E517" s="287" t="str">
        <f t="shared" si="28"/>
        <v/>
      </c>
      <c r="F517" s="3" t="str">
        <f>IF(E517="", "", VLOOKUP(B517, 'S08 ABC Output'!$A$3:$C$18, 3, 0))</f>
        <v/>
      </c>
      <c r="I517" s="288"/>
    </row>
    <row r="518" spans="1:53" ht="17">
      <c r="B518" s="196" t="str">
        <f>IFERROR(INDEX('S15 Routing Clustered'!$A$3:$A$18, A518), "")</f>
        <v/>
      </c>
      <c r="D518" s="287" t="str">
        <f>IFERROR(HLOOKUP(C518, 'S15 Routing Clustered'!$B$2:$I$18,A518+1, 0), "")</f>
        <v/>
      </c>
      <c r="E518" s="287" t="str">
        <f t="shared" si="28"/>
        <v/>
      </c>
      <c r="F518" s="3" t="str">
        <f>IF(E518="", "", VLOOKUP(B518, 'S08 ABC Output'!$A$3:$C$18, 3, 0))</f>
        <v/>
      </c>
      <c r="I518" s="288"/>
    </row>
    <row r="519" spans="1:53" ht="17">
      <c r="A519" s="3">
        <v>12</v>
      </c>
      <c r="B519" s="196" t="str">
        <f>IFERROR(INDEX('S15 Routing Clustered'!$A$3:$A$18, A519), "")</f>
        <v>I-010</v>
      </c>
      <c r="C519" s="3">
        <v>10</v>
      </c>
      <c r="D519" s="287" t="str">
        <f>IFERROR(HLOOKUP(C519, 'S15 Routing Clustered'!$B$2:$I$18,A519+1, 0), "")</f>
        <v>WS-43</v>
      </c>
      <c r="E519" s="287" t="str">
        <f t="shared" si="28"/>
        <v>WS-40</v>
      </c>
      <c r="F519" s="3">
        <f>IF(E519="", "", VLOOKUP(B519, 'S08 ABC Output'!$A$3:$C$18, 3, 0))</f>
        <v>250356</v>
      </c>
      <c r="I519" s="288"/>
      <c r="J519" s="288" t="str">
        <f>J472</f>
        <v>WS-01</v>
      </c>
      <c r="K519" s="288" t="str">
        <f t="shared" ref="K519:BA519" si="29">K472</f>
        <v>WS-02</v>
      </c>
      <c r="L519" s="288" t="str">
        <f t="shared" si="29"/>
        <v>WS-03</v>
      </c>
      <c r="M519" s="288" t="str">
        <f t="shared" si="29"/>
        <v>WS-04</v>
      </c>
      <c r="N519" s="288" t="str">
        <f t="shared" si="29"/>
        <v>WS-05</v>
      </c>
      <c r="O519" s="288" t="str">
        <f t="shared" si="29"/>
        <v>WS-06</v>
      </c>
      <c r="P519" s="288" t="str">
        <f t="shared" si="29"/>
        <v>WS-07</v>
      </c>
      <c r="Q519" s="288" t="str">
        <f t="shared" si="29"/>
        <v>WS-08</v>
      </c>
      <c r="R519" s="288" t="str">
        <f t="shared" si="29"/>
        <v>WS-09</v>
      </c>
      <c r="S519" s="288" t="str">
        <f t="shared" si="29"/>
        <v>WS-10</v>
      </c>
      <c r="T519" s="288" t="str">
        <f t="shared" si="29"/>
        <v>WS-11</v>
      </c>
      <c r="U519" s="288" t="str">
        <f t="shared" si="29"/>
        <v>WS-12</v>
      </c>
      <c r="V519" s="288" t="str">
        <f t="shared" si="29"/>
        <v>WS-13</v>
      </c>
      <c r="W519" s="288" t="str">
        <f t="shared" si="29"/>
        <v>WS-14</v>
      </c>
      <c r="X519" s="288" t="str">
        <f t="shared" si="29"/>
        <v>WS-15</v>
      </c>
      <c r="Y519" s="288" t="str">
        <f t="shared" si="29"/>
        <v>WS-16</v>
      </c>
      <c r="Z519" s="288" t="str">
        <f t="shared" si="29"/>
        <v>WS-17</v>
      </c>
      <c r="AA519" s="288" t="str">
        <f t="shared" si="29"/>
        <v>WS-18</v>
      </c>
      <c r="AB519" s="288" t="str">
        <f t="shared" si="29"/>
        <v>WS-19</v>
      </c>
      <c r="AC519" s="288" t="str">
        <f t="shared" si="29"/>
        <v>WS-20</v>
      </c>
      <c r="AD519" s="288" t="str">
        <f t="shared" si="29"/>
        <v>WS-21</v>
      </c>
      <c r="AE519" s="288" t="str">
        <f t="shared" si="29"/>
        <v>WS-22</v>
      </c>
      <c r="AF519" s="288" t="str">
        <f t="shared" si="29"/>
        <v>WS-23</v>
      </c>
      <c r="AG519" s="288" t="str">
        <f t="shared" si="29"/>
        <v>WS-24</v>
      </c>
      <c r="AH519" s="288" t="str">
        <f t="shared" si="29"/>
        <v>WS-25</v>
      </c>
      <c r="AI519" s="288" t="str">
        <f t="shared" si="29"/>
        <v>WS-26</v>
      </c>
      <c r="AJ519" s="288" t="str">
        <f t="shared" si="29"/>
        <v>WS-27</v>
      </c>
      <c r="AK519" s="288" t="str">
        <f t="shared" si="29"/>
        <v>WS-28</v>
      </c>
      <c r="AL519" s="288" t="str">
        <f t="shared" si="29"/>
        <v>WS-29</v>
      </c>
      <c r="AM519" s="288" t="str">
        <f t="shared" si="29"/>
        <v>WS-30</v>
      </c>
      <c r="AN519" s="288" t="str">
        <f t="shared" si="29"/>
        <v>WS-31</v>
      </c>
      <c r="AO519" s="288" t="str">
        <f t="shared" si="29"/>
        <v>WS-32</v>
      </c>
      <c r="AP519" s="288" t="str">
        <f t="shared" si="29"/>
        <v>WS-33</v>
      </c>
      <c r="AQ519" s="288" t="str">
        <f t="shared" si="29"/>
        <v>WS-34</v>
      </c>
      <c r="AR519" s="288" t="str">
        <f t="shared" si="29"/>
        <v>WS-35</v>
      </c>
      <c r="AS519" s="288" t="str">
        <f t="shared" si="29"/>
        <v>WS-36</v>
      </c>
      <c r="AT519" s="288" t="str">
        <f t="shared" si="29"/>
        <v>WS-37</v>
      </c>
      <c r="AU519" s="288" t="str">
        <f t="shared" si="29"/>
        <v>WS-38</v>
      </c>
      <c r="AV519" s="288" t="str">
        <f t="shared" si="29"/>
        <v>WS-39</v>
      </c>
      <c r="AW519" s="288" t="str">
        <f t="shared" si="29"/>
        <v>WS-40</v>
      </c>
      <c r="AX519" s="288" t="str">
        <f t="shared" si="29"/>
        <v>WS-41</v>
      </c>
      <c r="AY519" s="288" t="str">
        <f t="shared" si="29"/>
        <v>WS-42</v>
      </c>
      <c r="AZ519" s="288" t="str">
        <f t="shared" si="29"/>
        <v>WS-43</v>
      </c>
      <c r="BA519" s="288" t="str">
        <f t="shared" si="29"/>
        <v>WS-44</v>
      </c>
    </row>
    <row r="520" spans="1:53" ht="17">
      <c r="A520" s="3">
        <v>12</v>
      </c>
      <c r="B520" s="196" t="str">
        <f>IFERROR(INDEX('S15 Routing Clustered'!$A$3:$A$18, A520), "")</f>
        <v>I-010</v>
      </c>
      <c r="C520" s="3">
        <v>20</v>
      </c>
      <c r="D520" s="287" t="str">
        <f>IFERROR(HLOOKUP(C520, 'S15 Routing Clustered'!$B$2:$I$18,A520+1, 0), "")</f>
        <v>WS-40</v>
      </c>
      <c r="E520" s="287" t="str">
        <f t="shared" si="28"/>
        <v>WS-02</v>
      </c>
      <c r="F520" s="3">
        <f>IF(E520="", "", VLOOKUP(B520, 'S08 ABC Output'!$A$3:$C$18, 3, 0))</f>
        <v>250356</v>
      </c>
      <c r="I520" s="288" t="str">
        <f t="shared" ref="I520:I563" si="30">I473</f>
        <v>WS-01</v>
      </c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</row>
    <row r="521" spans="1:53" ht="17">
      <c r="A521" s="3">
        <v>12</v>
      </c>
      <c r="B521" s="196" t="str">
        <f>IFERROR(INDEX('S15 Routing Clustered'!$A$3:$A$18, A521), "")</f>
        <v>I-010</v>
      </c>
      <c r="C521" s="3">
        <v>30</v>
      </c>
      <c r="D521" s="287" t="str">
        <f>IFERROR(HLOOKUP(C521, 'S15 Routing Clustered'!$B$2:$I$18,A521+1, 0), "")</f>
        <v>WS-02</v>
      </c>
      <c r="E521" s="287" t="str">
        <f t="shared" si="28"/>
        <v>WS-18</v>
      </c>
      <c r="F521" s="3">
        <f>IF(E521="", "", VLOOKUP(B521, 'S08 ABC Output'!$A$3:$C$18, 3, 0))</f>
        <v>250356</v>
      </c>
      <c r="I521" s="288" t="str">
        <f t="shared" si="30"/>
        <v>WS-02</v>
      </c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>
        <v>250356</v>
      </c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</row>
    <row r="522" spans="1:53" ht="17">
      <c r="A522" s="3">
        <v>12</v>
      </c>
      <c r="B522" s="196" t="str">
        <f>IFERROR(INDEX('S15 Routing Clustered'!$A$3:$A$18, A522), "")</f>
        <v>I-010</v>
      </c>
      <c r="C522" s="3">
        <v>40</v>
      </c>
      <c r="D522" s="287" t="str">
        <f>IFERROR(HLOOKUP(C522, 'S15 Routing Clustered'!$B$2:$I$18,A522+1, 0), "")</f>
        <v>WS-18</v>
      </c>
      <c r="E522" s="287" t="str">
        <f t="shared" si="28"/>
        <v>WS-24</v>
      </c>
      <c r="F522" s="3">
        <f>IF(E522="", "", VLOOKUP(B522, 'S08 ABC Output'!$A$3:$C$18, 3, 0))</f>
        <v>250356</v>
      </c>
      <c r="I522" s="288" t="str">
        <f t="shared" si="30"/>
        <v>WS-03</v>
      </c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</row>
    <row r="523" spans="1:53" ht="17">
      <c r="A523" s="3">
        <v>12</v>
      </c>
      <c r="B523" s="196" t="str">
        <f>IFERROR(INDEX('S15 Routing Clustered'!$A$3:$A$18, A523), "")</f>
        <v>I-010</v>
      </c>
      <c r="C523" s="3">
        <v>50</v>
      </c>
      <c r="D523" s="287" t="str">
        <f>IFERROR(HLOOKUP(C523, 'S15 Routing Clustered'!$B$2:$I$18,A523+1, 0), "")</f>
        <v>WS-24</v>
      </c>
      <c r="E523" s="287" t="str">
        <f t="shared" si="28"/>
        <v>WS-29</v>
      </c>
      <c r="F523" s="3">
        <f>IF(E523="", "", VLOOKUP(B523, 'S08 ABC Output'!$A$3:$C$18, 3, 0))</f>
        <v>250356</v>
      </c>
      <c r="I523" s="288" t="str">
        <f t="shared" si="30"/>
        <v>WS-04</v>
      </c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</row>
    <row r="524" spans="1:53" ht="17">
      <c r="A524" s="3">
        <v>12</v>
      </c>
      <c r="B524" s="196" t="str">
        <f>IFERROR(INDEX('S15 Routing Clustered'!$A$3:$A$18, A524), "")</f>
        <v>I-010</v>
      </c>
      <c r="C524" s="3">
        <v>60</v>
      </c>
      <c r="D524" s="287" t="str">
        <f>IFERROR(HLOOKUP(C524, 'S15 Routing Clustered'!$B$2:$I$18,A524+1, 0), "")</f>
        <v>WS-29</v>
      </c>
      <c r="E524" s="287" t="str">
        <f t="shared" si="28"/>
        <v>WS-33</v>
      </c>
      <c r="F524" s="3">
        <f>IF(E524="", "", VLOOKUP(B524, 'S08 ABC Output'!$A$3:$C$18, 3, 0))</f>
        <v>250356</v>
      </c>
      <c r="I524" s="288" t="str">
        <f t="shared" si="30"/>
        <v>WS-05</v>
      </c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</row>
    <row r="525" spans="1:53" ht="17">
      <c r="A525" s="3">
        <v>12</v>
      </c>
      <c r="B525" s="196" t="str">
        <f>IFERROR(INDEX('S15 Routing Clustered'!$A$3:$A$18, A525), "")</f>
        <v>I-010</v>
      </c>
      <c r="C525" s="3">
        <v>70</v>
      </c>
      <c r="D525" s="287" t="str">
        <f>IFERROR(HLOOKUP(C525, 'S15 Routing Clustered'!$B$2:$I$18,A525+1, 0), "")</f>
        <v>WS-33</v>
      </c>
      <c r="E525" s="287" t="str">
        <f t="shared" si="28"/>
        <v>WS-44</v>
      </c>
      <c r="F525" s="3">
        <f>IF(E525="", "", VLOOKUP(B525, 'S08 ABC Output'!$A$3:$C$18, 3, 0))</f>
        <v>250356</v>
      </c>
      <c r="I525" s="288" t="str">
        <f t="shared" si="30"/>
        <v>WS-06</v>
      </c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</row>
    <row r="526" spans="1:53" ht="17">
      <c r="A526" s="3">
        <v>12</v>
      </c>
      <c r="B526" s="196" t="str">
        <f>IFERROR(INDEX('S15 Routing Clustered'!$A$3:$A$18, A526), "")</f>
        <v>I-010</v>
      </c>
      <c r="C526" s="3">
        <v>80</v>
      </c>
      <c r="D526" s="287" t="str">
        <f>IFERROR(HLOOKUP(C526, 'S15 Routing Clustered'!$B$2:$I$18,A526+1, 0), "")</f>
        <v>WS-44</v>
      </c>
      <c r="E526" s="287" t="str">
        <f t="shared" si="28"/>
        <v/>
      </c>
      <c r="F526" s="3" t="str">
        <f>IF(E526="", "", VLOOKUP(B526, 'S08 ABC Output'!$A$3:$C$18, 3, 0))</f>
        <v/>
      </c>
      <c r="I526" s="288" t="str">
        <f t="shared" si="30"/>
        <v>WS-07</v>
      </c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</row>
    <row r="527" spans="1:53" ht="17">
      <c r="A527" s="3">
        <v>12</v>
      </c>
      <c r="B527" s="196" t="str">
        <f>IFERROR(INDEX('S15 Routing Clustered'!$A$3:$A$18, A527), "")</f>
        <v>I-010</v>
      </c>
      <c r="C527" s="3">
        <v>90</v>
      </c>
      <c r="D527" s="287" t="str">
        <f>IFERROR(HLOOKUP(C527, 'S15 Routing Clustered'!$B$2:$I$18,A527+1, 0), "")</f>
        <v/>
      </c>
      <c r="E527" s="287" t="str">
        <f t="shared" si="28"/>
        <v/>
      </c>
      <c r="F527" s="3" t="str">
        <f>IF(E527="", "", VLOOKUP(B527, 'S08 ABC Output'!$A$3:$C$18, 3, 0))</f>
        <v/>
      </c>
      <c r="I527" s="288" t="str">
        <f t="shared" si="30"/>
        <v>WS-08</v>
      </c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</row>
    <row r="528" spans="1:53" ht="17">
      <c r="A528" s="3">
        <v>12</v>
      </c>
      <c r="B528" s="196" t="str">
        <f>IFERROR(INDEX('S15 Routing Clustered'!$A$3:$A$18, A528), "")</f>
        <v>I-010</v>
      </c>
      <c r="C528" s="3">
        <v>100</v>
      </c>
      <c r="D528" s="287" t="str">
        <f>IFERROR(HLOOKUP(C528, 'S15 Routing Clustered'!$B$2:$I$18,A528+1, 0), "")</f>
        <v/>
      </c>
      <c r="E528" s="287" t="str">
        <f t="shared" si="28"/>
        <v/>
      </c>
      <c r="F528" s="3" t="str">
        <f>IF(E528="", "", VLOOKUP(B528, 'S08 ABC Output'!$A$3:$C$18, 3, 0))</f>
        <v/>
      </c>
      <c r="I528" s="288" t="str">
        <f t="shared" si="30"/>
        <v>WS-09</v>
      </c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</row>
    <row r="529" spans="1:53" ht="17">
      <c r="A529" s="3">
        <v>12</v>
      </c>
      <c r="B529" s="196" t="str">
        <f>IFERROR(INDEX('S15 Routing Clustered'!$A$3:$A$18, A529), "")</f>
        <v>I-010</v>
      </c>
      <c r="C529" s="3">
        <v>110</v>
      </c>
      <c r="D529" s="287" t="str">
        <f>IFERROR(HLOOKUP(C529, 'S15 Routing Clustered'!$B$2:$I$18,A529+1, 0), "")</f>
        <v/>
      </c>
      <c r="E529" s="287" t="str">
        <f t="shared" si="28"/>
        <v/>
      </c>
      <c r="F529" s="3" t="str">
        <f>IF(E529="", "", VLOOKUP(B529, 'S08 ABC Output'!$A$3:$C$18, 3, 0))</f>
        <v/>
      </c>
      <c r="I529" s="288" t="str">
        <f t="shared" si="30"/>
        <v>WS-10</v>
      </c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</row>
    <row r="530" spans="1:53" ht="17">
      <c r="A530" s="3">
        <v>12</v>
      </c>
      <c r="B530" s="196" t="str">
        <f>IFERROR(INDEX('S15 Routing Clustered'!$A$3:$A$18, A530), "")</f>
        <v>I-010</v>
      </c>
      <c r="C530" s="3">
        <v>120</v>
      </c>
      <c r="D530" s="287" t="str">
        <f>IFERROR(HLOOKUP(C530, 'S15 Routing Clustered'!$B$2:$I$18,A530+1, 0), "")</f>
        <v/>
      </c>
      <c r="E530" s="287" t="str">
        <f t="shared" si="28"/>
        <v/>
      </c>
      <c r="F530" s="3" t="str">
        <f>IF(E530="", "", VLOOKUP(B530, 'S08 ABC Output'!$A$3:$C$18, 3, 0))</f>
        <v/>
      </c>
      <c r="I530" s="288" t="str">
        <f t="shared" si="30"/>
        <v>WS-11</v>
      </c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</row>
    <row r="531" spans="1:53" ht="17">
      <c r="A531" s="3">
        <v>12</v>
      </c>
      <c r="B531" s="196" t="str">
        <f>IFERROR(INDEX('S15 Routing Clustered'!$A$3:$A$18, A531), "")</f>
        <v>I-010</v>
      </c>
      <c r="C531" s="3">
        <v>130</v>
      </c>
      <c r="D531" s="287" t="str">
        <f>IFERROR(HLOOKUP(C531, 'S15 Routing Clustered'!$B$2:$I$18,A531+1, 0), "")</f>
        <v/>
      </c>
      <c r="E531" s="287" t="str">
        <f t="shared" si="28"/>
        <v/>
      </c>
      <c r="F531" s="3" t="str">
        <f>IF(E531="", "", VLOOKUP(B531, 'S08 ABC Output'!$A$3:$C$18, 3, 0))</f>
        <v/>
      </c>
      <c r="I531" s="288" t="str">
        <f t="shared" si="30"/>
        <v>WS-12</v>
      </c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</row>
    <row r="532" spans="1:53" ht="17">
      <c r="A532" s="3">
        <v>12</v>
      </c>
      <c r="B532" s="196" t="str">
        <f>IFERROR(INDEX('S15 Routing Clustered'!$A$3:$A$18, A532), "")</f>
        <v>I-010</v>
      </c>
      <c r="C532" s="3">
        <v>140</v>
      </c>
      <c r="D532" s="287" t="str">
        <f>IFERROR(HLOOKUP(C532, 'S15 Routing Clustered'!$B$2:$I$18,A532+1, 0), "")</f>
        <v/>
      </c>
      <c r="E532" s="287" t="str">
        <f t="shared" si="28"/>
        <v/>
      </c>
      <c r="F532" s="3" t="str">
        <f>IF(E532="", "", VLOOKUP(B532, 'S08 ABC Output'!$A$3:$C$18, 3, 0))</f>
        <v/>
      </c>
      <c r="I532" s="288" t="str">
        <f t="shared" si="30"/>
        <v>WS-13</v>
      </c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</row>
    <row r="533" spans="1:53" ht="17">
      <c r="A533" s="3">
        <v>12</v>
      </c>
      <c r="B533" s="196" t="str">
        <f>IFERROR(INDEX('S15 Routing Clustered'!$A$3:$A$18, A533), "")</f>
        <v>I-010</v>
      </c>
      <c r="C533" s="3">
        <v>150</v>
      </c>
      <c r="D533" s="287" t="str">
        <f>IFERROR(HLOOKUP(C533, 'S15 Routing Clustered'!$B$2:$I$18,A533+1, 0), "")</f>
        <v/>
      </c>
      <c r="E533" s="287" t="str">
        <f t="shared" si="28"/>
        <v/>
      </c>
      <c r="F533" s="3" t="str">
        <f>IF(E533="", "", VLOOKUP(B533, 'S08 ABC Output'!$A$3:$C$18, 3, 0))</f>
        <v/>
      </c>
      <c r="I533" s="288" t="str">
        <f t="shared" si="30"/>
        <v>WS-14</v>
      </c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</row>
    <row r="534" spans="1:53" ht="17">
      <c r="A534" s="3">
        <v>12</v>
      </c>
      <c r="B534" s="196" t="str">
        <f>IFERROR(INDEX('S15 Routing Clustered'!$A$3:$A$18, A534), "")</f>
        <v>I-010</v>
      </c>
      <c r="C534" s="3">
        <v>160</v>
      </c>
      <c r="D534" s="287" t="str">
        <f>IFERROR(HLOOKUP(C534, 'S15 Routing Clustered'!$B$2:$I$18,A534+1, 0), "")</f>
        <v/>
      </c>
      <c r="E534" s="287" t="str">
        <f t="shared" si="28"/>
        <v/>
      </c>
      <c r="F534" s="3" t="str">
        <f>IF(E534="", "", VLOOKUP(B534, 'S08 ABC Output'!$A$3:$C$18, 3, 0))</f>
        <v/>
      </c>
      <c r="I534" s="288" t="str">
        <f t="shared" si="30"/>
        <v>WS-15</v>
      </c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</row>
    <row r="535" spans="1:53" ht="17">
      <c r="A535" s="3">
        <v>12</v>
      </c>
      <c r="B535" s="196" t="str">
        <f>IFERROR(INDEX('S15 Routing Clustered'!$A$3:$A$18, A535), "")</f>
        <v>I-010</v>
      </c>
      <c r="C535" s="3">
        <v>170</v>
      </c>
      <c r="D535" s="287" t="str">
        <f>IFERROR(HLOOKUP(C535, 'S15 Routing Clustered'!$B$2:$I$18,A535+1, 0), "")</f>
        <v/>
      </c>
      <c r="E535" s="287" t="str">
        <f t="shared" si="28"/>
        <v/>
      </c>
      <c r="F535" s="3" t="str">
        <f>IF(E535="", "", VLOOKUP(B535, 'S08 ABC Output'!$A$3:$C$18, 3, 0))</f>
        <v/>
      </c>
      <c r="I535" s="288" t="str">
        <f t="shared" si="30"/>
        <v>WS-16</v>
      </c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</row>
    <row r="536" spans="1:53" ht="17">
      <c r="A536" s="3">
        <v>12</v>
      </c>
      <c r="B536" s="196" t="str">
        <f>IFERROR(INDEX('S15 Routing Clustered'!$A$3:$A$18, A536), "")</f>
        <v>I-010</v>
      </c>
      <c r="C536" s="3">
        <v>180</v>
      </c>
      <c r="D536" s="287" t="str">
        <f>IFERROR(HLOOKUP(C536, 'S15 Routing Clustered'!$B$2:$I$18,A536+1, 0), "")</f>
        <v/>
      </c>
      <c r="E536" s="287" t="str">
        <f t="shared" si="28"/>
        <v/>
      </c>
      <c r="F536" s="3" t="str">
        <f>IF(E536="", "", VLOOKUP(B536, 'S08 ABC Output'!$A$3:$C$18, 3, 0))</f>
        <v/>
      </c>
      <c r="I536" s="288" t="str">
        <f t="shared" si="30"/>
        <v>WS-17</v>
      </c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</row>
    <row r="537" spans="1:53" ht="17">
      <c r="A537" s="3">
        <v>12</v>
      </c>
      <c r="B537" s="196" t="str">
        <f>IFERROR(INDEX('S15 Routing Clustered'!$A$3:$A$18, A537), "")</f>
        <v>I-010</v>
      </c>
      <c r="C537" s="3">
        <v>190</v>
      </c>
      <c r="D537" s="287" t="str">
        <f>IFERROR(HLOOKUP(C537, 'S15 Routing Clustered'!$B$2:$I$18,A537+1, 0), "")</f>
        <v/>
      </c>
      <c r="E537" s="287" t="str">
        <f t="shared" si="28"/>
        <v/>
      </c>
      <c r="F537" s="3" t="str">
        <f>IF(E537="", "", VLOOKUP(B537, 'S08 ABC Output'!$A$3:$C$18, 3, 0))</f>
        <v/>
      </c>
      <c r="I537" s="288" t="str">
        <f t="shared" si="30"/>
        <v>WS-18</v>
      </c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>
        <v>250356</v>
      </c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</row>
    <row r="538" spans="1:53" ht="17">
      <c r="A538" s="3">
        <v>12</v>
      </c>
      <c r="B538" s="196" t="str">
        <f>IFERROR(INDEX('S15 Routing Clustered'!$A$3:$A$18, A538), "")</f>
        <v>I-010</v>
      </c>
      <c r="C538" s="3">
        <v>200</v>
      </c>
      <c r="D538" s="287" t="str">
        <f>IFERROR(HLOOKUP(C538, 'S15 Routing Clustered'!$B$2:$I$18,A538+1, 0), "")</f>
        <v/>
      </c>
      <c r="E538" s="287" t="str">
        <f t="shared" si="28"/>
        <v/>
      </c>
      <c r="F538" s="3" t="str">
        <f>IF(E538="", "", VLOOKUP(B538, 'S08 ABC Output'!$A$3:$C$18, 3, 0))</f>
        <v/>
      </c>
      <c r="I538" s="288" t="str">
        <f t="shared" si="30"/>
        <v>WS-19</v>
      </c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</row>
    <row r="539" spans="1:53" ht="17">
      <c r="A539" s="3">
        <v>12</v>
      </c>
      <c r="B539" s="196" t="str">
        <f>IFERROR(INDEX('S15 Routing Clustered'!$A$3:$A$18, A539), "")</f>
        <v>I-010</v>
      </c>
      <c r="C539" s="3">
        <v>210</v>
      </c>
      <c r="D539" s="287" t="str">
        <f>IFERROR(HLOOKUP(C539, 'S15 Routing Clustered'!$B$2:$I$18,A539+1, 0), "")</f>
        <v/>
      </c>
      <c r="E539" s="287" t="str">
        <f t="shared" si="28"/>
        <v/>
      </c>
      <c r="F539" s="3" t="str">
        <f>IF(E539="", "", VLOOKUP(B539, 'S08 ABC Output'!$A$3:$C$18, 3, 0))</f>
        <v/>
      </c>
      <c r="I539" s="288" t="str">
        <f t="shared" si="30"/>
        <v>WS-20</v>
      </c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</row>
    <row r="540" spans="1:53" ht="17">
      <c r="A540" s="3">
        <v>12</v>
      </c>
      <c r="B540" s="196" t="str">
        <f>IFERROR(INDEX('S15 Routing Clustered'!$A$3:$A$18, A540), "")</f>
        <v>I-010</v>
      </c>
      <c r="C540" s="3">
        <v>220</v>
      </c>
      <c r="D540" s="287" t="str">
        <f>IFERROR(HLOOKUP(C540, 'S15 Routing Clustered'!$B$2:$I$18,A540+1, 0), "")</f>
        <v/>
      </c>
      <c r="E540" s="287" t="str">
        <f t="shared" si="28"/>
        <v/>
      </c>
      <c r="F540" s="3" t="str">
        <f>IF(E540="", "", VLOOKUP(B540, 'S08 ABC Output'!$A$3:$C$18, 3, 0))</f>
        <v/>
      </c>
      <c r="I540" s="288" t="str">
        <f t="shared" si="30"/>
        <v>WS-21</v>
      </c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</row>
    <row r="541" spans="1:53" ht="17">
      <c r="A541" s="3">
        <v>12</v>
      </c>
      <c r="B541" s="196" t="str">
        <f>IFERROR(INDEX('S15 Routing Clustered'!$A$3:$A$18, A541), "")</f>
        <v>I-010</v>
      </c>
      <c r="C541" s="3">
        <v>230</v>
      </c>
      <c r="D541" s="287" t="str">
        <f>IFERROR(HLOOKUP(C541, 'S15 Routing Clustered'!$B$2:$I$18,A541+1, 0), "")</f>
        <v/>
      </c>
      <c r="E541" s="287" t="str">
        <f t="shared" si="28"/>
        <v/>
      </c>
      <c r="F541" s="3" t="str">
        <f>IF(E541="", "", VLOOKUP(B541, 'S08 ABC Output'!$A$3:$C$18, 3, 0))</f>
        <v/>
      </c>
      <c r="I541" s="288" t="str">
        <f t="shared" si="30"/>
        <v>WS-22</v>
      </c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</row>
    <row r="542" spans="1:53" ht="17">
      <c r="A542" s="3">
        <v>12</v>
      </c>
      <c r="B542" s="196" t="str">
        <f>IFERROR(INDEX('S15 Routing Clustered'!$A$3:$A$18, A542), "")</f>
        <v>I-010</v>
      </c>
      <c r="C542" s="3">
        <v>240</v>
      </c>
      <c r="D542" s="287" t="str">
        <f>IFERROR(HLOOKUP(C542, 'S15 Routing Clustered'!$B$2:$I$18,A542+1, 0), "")</f>
        <v/>
      </c>
      <c r="E542" s="287" t="str">
        <f t="shared" si="28"/>
        <v/>
      </c>
      <c r="F542" s="3" t="str">
        <f>IF(E542="", "", VLOOKUP(B542, 'S08 ABC Output'!$A$3:$C$18, 3, 0))</f>
        <v/>
      </c>
      <c r="I542" s="288" t="str">
        <f t="shared" si="30"/>
        <v>WS-23</v>
      </c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</row>
    <row r="543" spans="1:53" ht="17">
      <c r="A543" s="3">
        <v>12</v>
      </c>
      <c r="B543" s="196" t="str">
        <f>IFERROR(INDEX('S15 Routing Clustered'!$A$3:$A$18, A543), "")</f>
        <v>I-010</v>
      </c>
      <c r="C543" s="3">
        <v>250</v>
      </c>
      <c r="D543" s="287" t="str">
        <f>IFERROR(HLOOKUP(C543, 'S15 Routing Clustered'!$B$2:$I$18,A543+1, 0), "")</f>
        <v/>
      </c>
      <c r="E543" s="287" t="str">
        <f t="shared" si="28"/>
        <v/>
      </c>
      <c r="F543" s="3" t="str">
        <f>IF(E543="", "", VLOOKUP(B543, 'S08 ABC Output'!$A$3:$C$18, 3, 0))</f>
        <v/>
      </c>
      <c r="I543" s="288" t="str">
        <f t="shared" si="30"/>
        <v>WS-24</v>
      </c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>
        <v>250356</v>
      </c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</row>
    <row r="544" spans="1:53" ht="17">
      <c r="A544" s="3">
        <v>12</v>
      </c>
      <c r="B544" s="196" t="str">
        <f>IFERROR(INDEX('S15 Routing Clustered'!$A$3:$A$18, A544), "")</f>
        <v>I-010</v>
      </c>
      <c r="C544" s="3">
        <v>260</v>
      </c>
      <c r="D544" s="287" t="str">
        <f>IFERROR(HLOOKUP(C544, 'S15 Routing Clustered'!$B$2:$I$18,A544+1, 0), "")</f>
        <v/>
      </c>
      <c r="E544" s="287" t="str">
        <f t="shared" si="28"/>
        <v/>
      </c>
      <c r="F544" s="3" t="str">
        <f>IF(E544="", "", VLOOKUP(B544, 'S08 ABC Output'!$A$3:$C$18, 3, 0))</f>
        <v/>
      </c>
      <c r="I544" s="288" t="str">
        <f t="shared" si="30"/>
        <v>WS-25</v>
      </c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</row>
    <row r="545" spans="1:53" ht="17">
      <c r="A545" s="3">
        <v>12</v>
      </c>
      <c r="B545" s="196" t="str">
        <f>IFERROR(INDEX('S15 Routing Clustered'!$A$3:$A$18, A545), "")</f>
        <v>I-010</v>
      </c>
      <c r="C545" s="3">
        <v>270</v>
      </c>
      <c r="D545" s="287" t="str">
        <f>IFERROR(HLOOKUP(C545, 'S15 Routing Clustered'!$B$2:$I$18,A545+1, 0), "")</f>
        <v/>
      </c>
      <c r="E545" s="287" t="str">
        <f t="shared" si="28"/>
        <v/>
      </c>
      <c r="F545" s="3" t="str">
        <f>IF(E545="", "", VLOOKUP(B545, 'S08 ABC Output'!$A$3:$C$18, 3, 0))</f>
        <v/>
      </c>
      <c r="I545" s="288" t="str">
        <f t="shared" si="30"/>
        <v>WS-26</v>
      </c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</row>
    <row r="546" spans="1:53" ht="17">
      <c r="A546" s="3">
        <v>12</v>
      </c>
      <c r="B546" s="196" t="str">
        <f>IFERROR(INDEX('S15 Routing Clustered'!$A$3:$A$18, A546), "")</f>
        <v>I-010</v>
      </c>
      <c r="C546" s="3">
        <v>280</v>
      </c>
      <c r="D546" s="287" t="str">
        <f>IFERROR(HLOOKUP(C546, 'S15 Routing Clustered'!$B$2:$I$18,A546+1, 0), "")</f>
        <v/>
      </c>
      <c r="E546" s="287" t="str">
        <f t="shared" si="28"/>
        <v/>
      </c>
      <c r="F546" s="3" t="str">
        <f>IF(E546="", "", VLOOKUP(B546, 'S08 ABC Output'!$A$3:$C$18, 3, 0))</f>
        <v/>
      </c>
      <c r="I546" s="288" t="str">
        <f t="shared" si="30"/>
        <v>WS-27</v>
      </c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</row>
    <row r="547" spans="1:53" ht="17">
      <c r="A547" s="3">
        <v>12</v>
      </c>
      <c r="B547" s="196" t="str">
        <f>IFERROR(INDEX('S15 Routing Clustered'!$A$3:$A$18, A547), "")</f>
        <v>I-010</v>
      </c>
      <c r="C547" s="3">
        <v>290</v>
      </c>
      <c r="D547" s="287" t="str">
        <f>IFERROR(HLOOKUP(C547, 'S15 Routing Clustered'!$B$2:$I$18,A547+1, 0), "")</f>
        <v/>
      </c>
      <c r="E547" s="287" t="str">
        <f t="shared" si="28"/>
        <v/>
      </c>
      <c r="F547" s="3" t="str">
        <f>IF(E547="", "", VLOOKUP(B547, 'S08 ABC Output'!$A$3:$C$18, 3, 0))</f>
        <v/>
      </c>
      <c r="I547" s="288" t="str">
        <f t="shared" si="30"/>
        <v>WS-28</v>
      </c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</row>
    <row r="548" spans="1:53" ht="17">
      <c r="A548" s="3">
        <v>12</v>
      </c>
      <c r="B548" s="196" t="str">
        <f>IFERROR(INDEX('S15 Routing Clustered'!$A$3:$A$18, A548), "")</f>
        <v>I-010</v>
      </c>
      <c r="C548" s="3">
        <v>300</v>
      </c>
      <c r="D548" s="287" t="str">
        <f>IFERROR(HLOOKUP(C548, 'S15 Routing Clustered'!$B$2:$I$18,A548+1, 0), "")</f>
        <v/>
      </c>
      <c r="E548" s="287" t="str">
        <f t="shared" si="28"/>
        <v/>
      </c>
      <c r="F548" s="3" t="str">
        <f>IF(E548="", "", VLOOKUP(B548, 'S08 ABC Output'!$A$3:$C$18, 3, 0))</f>
        <v/>
      </c>
      <c r="I548" s="288" t="str">
        <f t="shared" si="30"/>
        <v>WS-29</v>
      </c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>
        <v>250356</v>
      </c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</row>
    <row r="549" spans="1:53" ht="17">
      <c r="A549" s="3">
        <v>12</v>
      </c>
      <c r="B549" s="196" t="str">
        <f>IFERROR(INDEX('S15 Routing Clustered'!$A$3:$A$18, A549), "")</f>
        <v>I-010</v>
      </c>
      <c r="C549" s="3">
        <v>310</v>
      </c>
      <c r="D549" s="287" t="str">
        <f>IFERROR(HLOOKUP(C549, 'S15 Routing Clustered'!$B$2:$I$18,A549+1, 0), "")</f>
        <v/>
      </c>
      <c r="E549" s="287" t="str">
        <f t="shared" si="28"/>
        <v/>
      </c>
      <c r="F549" s="3" t="str">
        <f>IF(E549="", "", VLOOKUP(B549, 'S08 ABC Output'!$A$3:$C$18, 3, 0))</f>
        <v/>
      </c>
      <c r="I549" s="288" t="str">
        <f t="shared" si="30"/>
        <v>WS-30</v>
      </c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</row>
    <row r="550" spans="1:53" ht="17">
      <c r="A550" s="3">
        <v>12</v>
      </c>
      <c r="B550" s="196" t="str">
        <f>IFERROR(INDEX('S15 Routing Clustered'!$A$3:$A$18, A550), "")</f>
        <v>I-010</v>
      </c>
      <c r="C550" s="3">
        <v>320</v>
      </c>
      <c r="D550" s="287" t="str">
        <f>IFERROR(HLOOKUP(C550, 'S15 Routing Clustered'!$B$2:$I$18,A550+1, 0), "")</f>
        <v/>
      </c>
      <c r="E550" s="287" t="str">
        <f t="shared" si="28"/>
        <v/>
      </c>
      <c r="F550" s="3" t="str">
        <f>IF(E550="", "", VLOOKUP(B550, 'S08 ABC Output'!$A$3:$C$18, 3, 0))</f>
        <v/>
      </c>
      <c r="I550" s="288" t="str">
        <f t="shared" si="30"/>
        <v>WS-31</v>
      </c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</row>
    <row r="551" spans="1:53" ht="17">
      <c r="A551" s="3">
        <v>12</v>
      </c>
      <c r="B551" s="196" t="str">
        <f>IFERROR(INDEX('S15 Routing Clustered'!$A$3:$A$18, A551), "")</f>
        <v>I-010</v>
      </c>
      <c r="C551" s="3">
        <v>330</v>
      </c>
      <c r="D551" s="287" t="str">
        <f>IFERROR(HLOOKUP(C551, 'S15 Routing Clustered'!$B$2:$I$18,A551+1, 0), "")</f>
        <v/>
      </c>
      <c r="E551" s="287" t="str">
        <f t="shared" si="28"/>
        <v/>
      </c>
      <c r="F551" s="3" t="str">
        <f>IF(E551="", "", VLOOKUP(B551, 'S08 ABC Output'!$A$3:$C$18, 3, 0))</f>
        <v/>
      </c>
      <c r="I551" s="288" t="str">
        <f t="shared" si="30"/>
        <v>WS-32</v>
      </c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</row>
    <row r="552" spans="1:53" ht="17">
      <c r="A552" s="3">
        <v>12</v>
      </c>
      <c r="B552" s="196" t="str">
        <f>IFERROR(INDEX('S15 Routing Clustered'!$A$3:$A$18, A552), "")</f>
        <v>I-010</v>
      </c>
      <c r="C552" s="3">
        <v>340</v>
      </c>
      <c r="D552" s="287" t="str">
        <f>IFERROR(HLOOKUP(C552, 'S15 Routing Clustered'!$B$2:$I$18,A552+1, 0), "")</f>
        <v/>
      </c>
      <c r="E552" s="287" t="str">
        <f t="shared" si="28"/>
        <v/>
      </c>
      <c r="F552" s="3" t="str">
        <f>IF(E552="", "", VLOOKUP(B552, 'S08 ABC Output'!$A$3:$C$18, 3, 0))</f>
        <v/>
      </c>
      <c r="I552" s="288" t="str">
        <f t="shared" si="30"/>
        <v>WS-33</v>
      </c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>
        <v>250356</v>
      </c>
    </row>
    <row r="553" spans="1:53" ht="17">
      <c r="A553" s="3">
        <v>12</v>
      </c>
      <c r="B553" s="196" t="str">
        <f>IFERROR(INDEX('S15 Routing Clustered'!$A$3:$A$18, A553), "")</f>
        <v>I-010</v>
      </c>
      <c r="C553" s="3">
        <v>350</v>
      </c>
      <c r="D553" s="287" t="str">
        <f>IFERROR(HLOOKUP(C553, 'S15 Routing Clustered'!$B$2:$I$18,A553+1, 0), "")</f>
        <v/>
      </c>
      <c r="E553" s="287" t="str">
        <f t="shared" si="28"/>
        <v/>
      </c>
      <c r="F553" s="3" t="str">
        <f>IF(E553="", "", VLOOKUP(B553, 'S08 ABC Output'!$A$3:$C$18, 3, 0))</f>
        <v/>
      </c>
      <c r="I553" s="288" t="str">
        <f t="shared" si="30"/>
        <v>WS-34</v>
      </c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</row>
    <row r="554" spans="1:53" ht="17">
      <c r="A554" s="3">
        <v>12</v>
      </c>
      <c r="B554" s="196" t="str">
        <f>IFERROR(INDEX('S15 Routing Clustered'!$A$3:$A$18, A554), "")</f>
        <v>I-010</v>
      </c>
      <c r="C554" s="3">
        <v>360</v>
      </c>
      <c r="D554" s="287" t="str">
        <f>IFERROR(HLOOKUP(C554, 'S15 Routing Clustered'!$B$2:$I$18,A554+1, 0), "")</f>
        <v/>
      </c>
      <c r="E554" s="287" t="str">
        <f t="shared" si="28"/>
        <v/>
      </c>
      <c r="F554" s="3" t="str">
        <f>IF(E554="", "", VLOOKUP(B554, 'S08 ABC Output'!$A$3:$C$18, 3, 0))</f>
        <v/>
      </c>
      <c r="I554" s="288" t="str">
        <f t="shared" si="30"/>
        <v>WS-35</v>
      </c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</row>
    <row r="555" spans="1:53" ht="17">
      <c r="A555" s="3">
        <v>12</v>
      </c>
      <c r="B555" s="196" t="str">
        <f>IFERROR(INDEX('S15 Routing Clustered'!$A$3:$A$18, A555), "")</f>
        <v>I-010</v>
      </c>
      <c r="C555" s="3">
        <v>370</v>
      </c>
      <c r="D555" s="287" t="str">
        <f>IFERROR(HLOOKUP(C555, 'S15 Routing Clustered'!$B$2:$I$18,A555+1, 0), "")</f>
        <v/>
      </c>
      <c r="E555" s="287" t="str">
        <f t="shared" si="28"/>
        <v/>
      </c>
      <c r="F555" s="3" t="str">
        <f>IF(E555="", "", VLOOKUP(B555, 'S08 ABC Output'!$A$3:$C$18, 3, 0))</f>
        <v/>
      </c>
      <c r="I555" s="288" t="str">
        <f t="shared" si="30"/>
        <v>WS-36</v>
      </c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</row>
    <row r="556" spans="1:53" ht="17">
      <c r="A556" s="3">
        <v>12</v>
      </c>
      <c r="B556" s="196" t="str">
        <f>IFERROR(INDEX('S15 Routing Clustered'!$A$3:$A$18, A556), "")</f>
        <v>I-010</v>
      </c>
      <c r="C556" s="3">
        <v>380</v>
      </c>
      <c r="D556" s="287" t="str">
        <f>IFERROR(HLOOKUP(C556, 'S15 Routing Clustered'!$B$2:$I$18,A556+1, 0), "")</f>
        <v/>
      </c>
      <c r="E556" s="287" t="str">
        <f t="shared" si="28"/>
        <v/>
      </c>
      <c r="F556" s="3" t="str">
        <f>IF(E556="", "", VLOOKUP(B556, 'S08 ABC Output'!$A$3:$C$18, 3, 0))</f>
        <v/>
      </c>
      <c r="I556" s="288" t="str">
        <f t="shared" si="30"/>
        <v>WS-37</v>
      </c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</row>
    <row r="557" spans="1:53" ht="17">
      <c r="A557" s="3">
        <v>12</v>
      </c>
      <c r="B557" s="196" t="str">
        <f>IFERROR(INDEX('S15 Routing Clustered'!$A$3:$A$18, A557), "")</f>
        <v>I-010</v>
      </c>
      <c r="C557" s="3">
        <v>390</v>
      </c>
      <c r="D557" s="287" t="str">
        <f>IFERROR(HLOOKUP(C557, 'S15 Routing Clustered'!$B$2:$I$18,A557+1, 0), "")</f>
        <v/>
      </c>
      <c r="E557" s="287" t="str">
        <f t="shared" si="28"/>
        <v/>
      </c>
      <c r="F557" s="3" t="str">
        <f>IF(E557="", "", VLOOKUP(B557, 'S08 ABC Output'!$A$3:$C$18, 3, 0))</f>
        <v/>
      </c>
      <c r="I557" s="288" t="str">
        <f t="shared" si="30"/>
        <v>WS-38</v>
      </c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</row>
    <row r="558" spans="1:53" ht="17">
      <c r="A558" s="3">
        <v>12</v>
      </c>
      <c r="B558" s="196" t="str">
        <f>IFERROR(INDEX('S15 Routing Clustered'!$A$3:$A$18, A558), "")</f>
        <v>I-010</v>
      </c>
      <c r="C558" s="3">
        <v>400</v>
      </c>
      <c r="D558" s="287" t="str">
        <f>IFERROR(HLOOKUP(C558, 'S15 Routing Clustered'!$B$2:$I$18,A558+1, 0), "")</f>
        <v/>
      </c>
      <c r="E558" s="287" t="str">
        <f t="shared" si="28"/>
        <v/>
      </c>
      <c r="F558" s="3" t="str">
        <f>IF(E558="", "", VLOOKUP(B558, 'S08 ABC Output'!$A$3:$C$18, 3, 0))</f>
        <v/>
      </c>
      <c r="I558" s="288" t="str">
        <f t="shared" si="30"/>
        <v>WS-39</v>
      </c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</row>
    <row r="559" spans="1:53" ht="17">
      <c r="A559" s="3">
        <v>12</v>
      </c>
      <c r="B559" s="196" t="str">
        <f>IFERROR(INDEX('S15 Routing Clustered'!$A$3:$A$18, A559), "")</f>
        <v>I-010</v>
      </c>
      <c r="C559" s="3">
        <v>410</v>
      </c>
      <c r="D559" s="287" t="str">
        <f>IFERROR(HLOOKUP(C559, 'S15 Routing Clustered'!$B$2:$I$18,A559+1, 0), "")</f>
        <v/>
      </c>
      <c r="E559" s="287" t="str">
        <f t="shared" si="28"/>
        <v/>
      </c>
      <c r="F559" s="3" t="str">
        <f>IF(E559="", "", VLOOKUP(B559, 'S08 ABC Output'!$A$3:$C$18, 3, 0))</f>
        <v/>
      </c>
      <c r="I559" s="288" t="str">
        <f t="shared" si="30"/>
        <v>WS-40</v>
      </c>
      <c r="J559" s="3"/>
      <c r="K559" s="3">
        <v>250356</v>
      </c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</row>
    <row r="560" spans="1:53" ht="17">
      <c r="A560" s="3">
        <v>12</v>
      </c>
      <c r="B560" s="196" t="str">
        <f>IFERROR(INDEX('S15 Routing Clustered'!$A$3:$A$18, A560), "")</f>
        <v>I-010</v>
      </c>
      <c r="C560" s="3">
        <v>420</v>
      </c>
      <c r="D560" s="287" t="str">
        <f>IFERROR(HLOOKUP(C560, 'S15 Routing Clustered'!$B$2:$I$18,A560+1, 0), "")</f>
        <v/>
      </c>
      <c r="E560" s="287" t="str">
        <f t="shared" si="28"/>
        <v/>
      </c>
      <c r="F560" s="3" t="str">
        <f>IF(E560="", "", VLOOKUP(B560, 'S08 ABC Output'!$A$3:$C$18, 3, 0))</f>
        <v/>
      </c>
      <c r="I560" s="288" t="str">
        <f t="shared" si="30"/>
        <v>WS-41</v>
      </c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</row>
    <row r="561" spans="1:53" ht="17">
      <c r="A561" s="3">
        <v>12</v>
      </c>
      <c r="B561" s="196" t="str">
        <f>IFERROR(INDEX('S15 Routing Clustered'!$A$3:$A$18, A561), "")</f>
        <v>I-010</v>
      </c>
      <c r="C561" s="3">
        <v>430</v>
      </c>
      <c r="D561" s="287" t="str">
        <f>IFERROR(HLOOKUP(C561, 'S15 Routing Clustered'!$B$2:$I$18,A561+1, 0), "")</f>
        <v/>
      </c>
      <c r="E561" s="287" t="str">
        <f t="shared" si="28"/>
        <v/>
      </c>
      <c r="F561" s="3" t="str">
        <f>IF(E561="", "", VLOOKUP(B561, 'S08 ABC Output'!$A$3:$C$18, 3, 0))</f>
        <v/>
      </c>
      <c r="I561" s="288" t="str">
        <f t="shared" si="30"/>
        <v>WS-42</v>
      </c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</row>
    <row r="562" spans="1:53" ht="17">
      <c r="A562" s="3">
        <v>12</v>
      </c>
      <c r="B562" s="196" t="str">
        <f>IFERROR(INDEX('S15 Routing Clustered'!$A$3:$A$18, A562), "")</f>
        <v>I-010</v>
      </c>
      <c r="C562" s="3">
        <v>440</v>
      </c>
      <c r="D562" s="287" t="str">
        <f>IFERROR(HLOOKUP(C562, 'S15 Routing Clustered'!$B$2:$I$18,A562+1, 0), "")</f>
        <v/>
      </c>
      <c r="E562" s="287" t="str">
        <f t="shared" si="28"/>
        <v/>
      </c>
      <c r="F562" s="3" t="str">
        <f>IF(E562="", "", VLOOKUP(B562, 'S08 ABC Output'!$A$3:$C$18, 3, 0))</f>
        <v/>
      </c>
      <c r="I562" s="288" t="str">
        <f t="shared" si="30"/>
        <v>WS-43</v>
      </c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>
        <v>250356</v>
      </c>
      <c r="AX562" s="3"/>
      <c r="AY562" s="3"/>
      <c r="AZ562" s="3"/>
      <c r="BA562" s="3"/>
    </row>
    <row r="563" spans="1:53" ht="17">
      <c r="A563" s="3">
        <v>12</v>
      </c>
      <c r="B563" s="196" t="str">
        <f>IFERROR(INDEX('S15 Routing Clustered'!$A$3:$A$18, A563), "")</f>
        <v>I-010</v>
      </c>
      <c r="C563" s="3">
        <v>450</v>
      </c>
      <c r="D563" s="287" t="str">
        <f>IFERROR(HLOOKUP(C563, 'S15 Routing Clustered'!$B$2:$I$18,A563+1, 0), "")</f>
        <v/>
      </c>
      <c r="E563" s="287" t="str">
        <f t="shared" si="28"/>
        <v/>
      </c>
      <c r="F563" s="3" t="str">
        <f>IF(E563="", "", VLOOKUP(B563, 'S08 ABC Output'!$A$3:$C$18, 3, 0))</f>
        <v/>
      </c>
      <c r="I563" s="288" t="str">
        <f t="shared" si="30"/>
        <v>WS-44</v>
      </c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</row>
    <row r="564" spans="1:53" ht="17">
      <c r="B564" s="196" t="str">
        <f>IFERROR(INDEX('S15 Routing Clustered'!$A$3:$A$18, A564), "")</f>
        <v/>
      </c>
      <c r="C564" s="43"/>
      <c r="D564" s="287" t="str">
        <f>IFERROR(HLOOKUP(C564, 'S15 Routing Clustered'!$B$2:$I$18,A564+1, 0), "")</f>
        <v/>
      </c>
      <c r="E564" s="287" t="str">
        <f t="shared" si="28"/>
        <v/>
      </c>
      <c r="F564" s="3" t="str">
        <f>IF(E564="", "", VLOOKUP(B564, 'S08 ABC Output'!$A$3:$C$18, 3, 0))</f>
        <v/>
      </c>
      <c r="I564" s="288"/>
    </row>
    <row r="565" spans="1:53" ht="17">
      <c r="B565" s="196" t="str">
        <f>IFERROR(INDEX('S15 Routing Clustered'!$A$3:$A$18, A565), "")</f>
        <v/>
      </c>
      <c r="D565" s="287" t="str">
        <f>IFERROR(HLOOKUP(C565, 'S15 Routing Clustered'!$B$2:$I$18,A565+1, 0), "")</f>
        <v/>
      </c>
      <c r="E565" s="287" t="str">
        <f t="shared" si="28"/>
        <v/>
      </c>
      <c r="F565" s="3" t="str">
        <f>IF(E565="", "", VLOOKUP(B565, 'S08 ABC Output'!$A$3:$C$18, 3, 0))</f>
        <v/>
      </c>
      <c r="I565" s="288"/>
    </row>
    <row r="566" spans="1:53" ht="17">
      <c r="A566" s="3">
        <v>13</v>
      </c>
      <c r="B566" s="196" t="str">
        <f>IFERROR(INDEX('S15 Routing Clustered'!$A$3:$A$18, A566), "")</f>
        <v>I-012</v>
      </c>
      <c r="C566" s="3">
        <v>10</v>
      </c>
      <c r="D566" s="287" t="str">
        <f>IFERROR(HLOOKUP(C566, 'S15 Routing Clustered'!$B$2:$I$18,A566+1, 0), "")</f>
        <v>WS-43</v>
      </c>
      <c r="E566" s="287" t="str">
        <f t="shared" si="28"/>
        <v>WS-40</v>
      </c>
      <c r="F566" s="3">
        <f>IF(E566="", "", VLOOKUP(B566, 'S08 ABC Output'!$A$3:$C$18, 3, 0))</f>
        <v>50689</v>
      </c>
      <c r="I566" s="288"/>
      <c r="J566" s="288" t="str">
        <f>J519</f>
        <v>WS-01</v>
      </c>
      <c r="K566" s="288" t="str">
        <f t="shared" ref="K566:BA566" si="31">K519</f>
        <v>WS-02</v>
      </c>
      <c r="L566" s="288" t="str">
        <f t="shared" si="31"/>
        <v>WS-03</v>
      </c>
      <c r="M566" s="288" t="str">
        <f t="shared" si="31"/>
        <v>WS-04</v>
      </c>
      <c r="N566" s="288" t="str">
        <f t="shared" si="31"/>
        <v>WS-05</v>
      </c>
      <c r="O566" s="288" t="str">
        <f t="shared" si="31"/>
        <v>WS-06</v>
      </c>
      <c r="P566" s="288" t="str">
        <f t="shared" si="31"/>
        <v>WS-07</v>
      </c>
      <c r="Q566" s="288" t="str">
        <f t="shared" si="31"/>
        <v>WS-08</v>
      </c>
      <c r="R566" s="288" t="str">
        <f t="shared" si="31"/>
        <v>WS-09</v>
      </c>
      <c r="S566" s="288" t="str">
        <f t="shared" si="31"/>
        <v>WS-10</v>
      </c>
      <c r="T566" s="288" t="str">
        <f t="shared" si="31"/>
        <v>WS-11</v>
      </c>
      <c r="U566" s="288" t="str">
        <f t="shared" si="31"/>
        <v>WS-12</v>
      </c>
      <c r="V566" s="288" t="str">
        <f t="shared" si="31"/>
        <v>WS-13</v>
      </c>
      <c r="W566" s="288" t="str">
        <f t="shared" si="31"/>
        <v>WS-14</v>
      </c>
      <c r="X566" s="288" t="str">
        <f t="shared" si="31"/>
        <v>WS-15</v>
      </c>
      <c r="Y566" s="288" t="str">
        <f t="shared" si="31"/>
        <v>WS-16</v>
      </c>
      <c r="Z566" s="288" t="str">
        <f t="shared" si="31"/>
        <v>WS-17</v>
      </c>
      <c r="AA566" s="288" t="str">
        <f t="shared" si="31"/>
        <v>WS-18</v>
      </c>
      <c r="AB566" s="288" t="str">
        <f t="shared" si="31"/>
        <v>WS-19</v>
      </c>
      <c r="AC566" s="288" t="str">
        <f t="shared" si="31"/>
        <v>WS-20</v>
      </c>
      <c r="AD566" s="288" t="str">
        <f t="shared" si="31"/>
        <v>WS-21</v>
      </c>
      <c r="AE566" s="288" t="str">
        <f t="shared" si="31"/>
        <v>WS-22</v>
      </c>
      <c r="AF566" s="288" t="str">
        <f t="shared" si="31"/>
        <v>WS-23</v>
      </c>
      <c r="AG566" s="288" t="str">
        <f t="shared" si="31"/>
        <v>WS-24</v>
      </c>
      <c r="AH566" s="288" t="str">
        <f t="shared" si="31"/>
        <v>WS-25</v>
      </c>
      <c r="AI566" s="288" t="str">
        <f t="shared" si="31"/>
        <v>WS-26</v>
      </c>
      <c r="AJ566" s="288" t="str">
        <f t="shared" si="31"/>
        <v>WS-27</v>
      </c>
      <c r="AK566" s="288" t="str">
        <f t="shared" si="31"/>
        <v>WS-28</v>
      </c>
      <c r="AL566" s="288" t="str">
        <f t="shared" si="31"/>
        <v>WS-29</v>
      </c>
      <c r="AM566" s="288" t="str">
        <f t="shared" si="31"/>
        <v>WS-30</v>
      </c>
      <c r="AN566" s="288" t="str">
        <f t="shared" si="31"/>
        <v>WS-31</v>
      </c>
      <c r="AO566" s="288" t="str">
        <f t="shared" si="31"/>
        <v>WS-32</v>
      </c>
      <c r="AP566" s="288" t="str">
        <f t="shared" si="31"/>
        <v>WS-33</v>
      </c>
      <c r="AQ566" s="288" t="str">
        <f t="shared" si="31"/>
        <v>WS-34</v>
      </c>
      <c r="AR566" s="288" t="str">
        <f t="shared" si="31"/>
        <v>WS-35</v>
      </c>
      <c r="AS566" s="288" t="str">
        <f t="shared" si="31"/>
        <v>WS-36</v>
      </c>
      <c r="AT566" s="288" t="str">
        <f t="shared" si="31"/>
        <v>WS-37</v>
      </c>
      <c r="AU566" s="288" t="str">
        <f t="shared" si="31"/>
        <v>WS-38</v>
      </c>
      <c r="AV566" s="288" t="str">
        <f t="shared" si="31"/>
        <v>WS-39</v>
      </c>
      <c r="AW566" s="288" t="str">
        <f t="shared" si="31"/>
        <v>WS-40</v>
      </c>
      <c r="AX566" s="288" t="str">
        <f t="shared" si="31"/>
        <v>WS-41</v>
      </c>
      <c r="AY566" s="288" t="str">
        <f t="shared" si="31"/>
        <v>WS-42</v>
      </c>
      <c r="AZ566" s="288" t="str">
        <f t="shared" si="31"/>
        <v>WS-43</v>
      </c>
      <c r="BA566" s="288" t="str">
        <f t="shared" si="31"/>
        <v>WS-44</v>
      </c>
    </row>
    <row r="567" spans="1:53" ht="17">
      <c r="A567" s="3">
        <v>13</v>
      </c>
      <c r="B567" s="196" t="str">
        <f>IFERROR(INDEX('S15 Routing Clustered'!$A$3:$A$18, A567), "")</f>
        <v>I-012</v>
      </c>
      <c r="C567" s="3">
        <v>20</v>
      </c>
      <c r="D567" s="287" t="str">
        <f>IFERROR(HLOOKUP(C567, 'S15 Routing Clustered'!$B$2:$I$18,A567+1, 0), "")</f>
        <v>WS-40</v>
      </c>
      <c r="E567" s="287" t="str">
        <f t="shared" si="28"/>
        <v>WS-07</v>
      </c>
      <c r="F567" s="3">
        <f>IF(E567="", "", VLOOKUP(B567, 'S08 ABC Output'!$A$3:$C$18, 3, 0))</f>
        <v>50689</v>
      </c>
      <c r="I567" s="288" t="str">
        <f t="shared" ref="I567:I610" si="32">I520</f>
        <v>WS-01</v>
      </c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</row>
    <row r="568" spans="1:53" ht="17">
      <c r="A568" s="3">
        <v>13</v>
      </c>
      <c r="B568" s="196" t="str">
        <f>IFERROR(INDEX('S15 Routing Clustered'!$A$3:$A$18, A568), "")</f>
        <v>I-012</v>
      </c>
      <c r="C568" s="3">
        <v>30</v>
      </c>
      <c r="D568" s="287" t="str">
        <f>IFERROR(HLOOKUP(C568, 'S15 Routing Clustered'!$B$2:$I$18,A568+1, 0), "")</f>
        <v>WS-07</v>
      </c>
      <c r="E568" s="287" t="str">
        <f t="shared" si="28"/>
        <v>WS-08</v>
      </c>
      <c r="F568" s="3">
        <f>IF(E568="", "", VLOOKUP(B568, 'S08 ABC Output'!$A$3:$C$18, 3, 0))</f>
        <v>50689</v>
      </c>
      <c r="I568" s="288" t="str">
        <f t="shared" si="32"/>
        <v>WS-02</v>
      </c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</row>
    <row r="569" spans="1:53" ht="17">
      <c r="A569" s="3">
        <v>13</v>
      </c>
      <c r="B569" s="196" t="str">
        <f>IFERROR(INDEX('S15 Routing Clustered'!$A$3:$A$18, A569), "")</f>
        <v>I-012</v>
      </c>
      <c r="C569" s="3">
        <v>40</v>
      </c>
      <c r="D569" s="287" t="str">
        <f>IFERROR(HLOOKUP(C569, 'S15 Routing Clustered'!$B$2:$I$18,A569+1, 0), "")</f>
        <v>WS-08</v>
      </c>
      <c r="E569" s="287" t="str">
        <f t="shared" si="28"/>
        <v>WS-20</v>
      </c>
      <c r="F569" s="3">
        <f>IF(E569="", "", VLOOKUP(B569, 'S08 ABC Output'!$A$3:$C$18, 3, 0))</f>
        <v>50689</v>
      </c>
      <c r="I569" s="288" t="str">
        <f t="shared" si="32"/>
        <v>WS-03</v>
      </c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</row>
    <row r="570" spans="1:53" ht="17">
      <c r="A570" s="3">
        <v>13</v>
      </c>
      <c r="B570" s="196" t="str">
        <f>IFERROR(INDEX('S15 Routing Clustered'!$A$3:$A$18, A570), "")</f>
        <v>I-012</v>
      </c>
      <c r="C570" s="3">
        <v>50</v>
      </c>
      <c r="D570" s="287" t="str">
        <f>IFERROR(HLOOKUP(C570, 'S15 Routing Clustered'!$B$2:$I$18,A570+1, 0), "")</f>
        <v>WS-20</v>
      </c>
      <c r="E570" s="287" t="str">
        <f t="shared" si="28"/>
        <v>WS-26</v>
      </c>
      <c r="F570" s="3">
        <f>IF(E570="", "", VLOOKUP(B570, 'S08 ABC Output'!$A$3:$C$18, 3, 0))</f>
        <v>50689</v>
      </c>
      <c r="I570" s="288" t="str">
        <f t="shared" si="32"/>
        <v>WS-04</v>
      </c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</row>
    <row r="571" spans="1:53" ht="17">
      <c r="A571" s="3">
        <v>13</v>
      </c>
      <c r="B571" s="196" t="str">
        <f>IFERROR(INDEX('S15 Routing Clustered'!$A$3:$A$18, A571), "")</f>
        <v>I-012</v>
      </c>
      <c r="C571" s="3">
        <v>60</v>
      </c>
      <c r="D571" s="287" t="str">
        <f>IFERROR(HLOOKUP(C571, 'S15 Routing Clustered'!$B$2:$I$18,A571+1, 0), "")</f>
        <v>WS-26</v>
      </c>
      <c r="E571" s="287" t="str">
        <f t="shared" si="28"/>
        <v>WS-32</v>
      </c>
      <c r="F571" s="3">
        <f>IF(E571="", "", VLOOKUP(B571, 'S08 ABC Output'!$A$3:$C$18, 3, 0))</f>
        <v>50689</v>
      </c>
      <c r="I571" s="288" t="str">
        <f t="shared" si="32"/>
        <v>WS-05</v>
      </c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</row>
    <row r="572" spans="1:53" ht="17">
      <c r="A572" s="3">
        <v>13</v>
      </c>
      <c r="B572" s="196" t="str">
        <f>IFERROR(INDEX('S15 Routing Clustered'!$A$3:$A$18, A572), "")</f>
        <v>I-012</v>
      </c>
      <c r="C572" s="3">
        <v>70</v>
      </c>
      <c r="D572" s="287" t="str">
        <f>IFERROR(HLOOKUP(C572, 'S15 Routing Clustered'!$B$2:$I$18,A572+1, 0), "")</f>
        <v>WS-32</v>
      </c>
      <c r="E572" s="287" t="str">
        <f t="shared" si="28"/>
        <v>WS-44</v>
      </c>
      <c r="F572" s="3">
        <f>IF(E572="", "", VLOOKUP(B572, 'S08 ABC Output'!$A$3:$C$18, 3, 0))</f>
        <v>50689</v>
      </c>
      <c r="I572" s="288" t="str">
        <f t="shared" si="32"/>
        <v>WS-06</v>
      </c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</row>
    <row r="573" spans="1:53" ht="17">
      <c r="A573" s="3">
        <v>13</v>
      </c>
      <c r="B573" s="196" t="str">
        <f>IFERROR(INDEX('S15 Routing Clustered'!$A$3:$A$18, A573), "")</f>
        <v>I-012</v>
      </c>
      <c r="C573" s="3">
        <v>80</v>
      </c>
      <c r="D573" s="287" t="str">
        <f>IFERROR(HLOOKUP(C573, 'S15 Routing Clustered'!$B$2:$I$18,A573+1, 0), "")</f>
        <v>WS-44</v>
      </c>
      <c r="E573" s="287" t="str">
        <f t="shared" si="28"/>
        <v/>
      </c>
      <c r="F573" s="3" t="str">
        <f>IF(E573="", "", VLOOKUP(B573, 'S08 ABC Output'!$A$3:$C$18, 3, 0))</f>
        <v/>
      </c>
      <c r="I573" s="288" t="str">
        <f t="shared" si="32"/>
        <v>WS-07</v>
      </c>
      <c r="J573" s="3"/>
      <c r="K573" s="3"/>
      <c r="L573" s="3"/>
      <c r="M573" s="3"/>
      <c r="N573" s="3"/>
      <c r="O573" s="3"/>
      <c r="P573" s="3"/>
      <c r="Q573" s="3">
        <v>50689</v>
      </c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</row>
    <row r="574" spans="1:53" ht="17">
      <c r="A574" s="3">
        <v>13</v>
      </c>
      <c r="B574" s="196" t="str">
        <f>IFERROR(INDEX('S15 Routing Clustered'!$A$3:$A$18, A574), "")</f>
        <v>I-012</v>
      </c>
      <c r="C574" s="3">
        <v>90</v>
      </c>
      <c r="D574" s="287" t="str">
        <f>IFERROR(HLOOKUP(C574, 'S15 Routing Clustered'!$B$2:$I$18,A574+1, 0), "")</f>
        <v/>
      </c>
      <c r="E574" s="287" t="str">
        <f t="shared" si="28"/>
        <v/>
      </c>
      <c r="F574" s="3" t="str">
        <f>IF(E574="", "", VLOOKUP(B574, 'S08 ABC Output'!$A$3:$C$18, 3, 0))</f>
        <v/>
      </c>
      <c r="I574" s="288" t="str">
        <f t="shared" si="32"/>
        <v>WS-08</v>
      </c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>
        <v>50689</v>
      </c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</row>
    <row r="575" spans="1:53" ht="17">
      <c r="A575" s="3">
        <v>13</v>
      </c>
      <c r="B575" s="196" t="str">
        <f>IFERROR(INDEX('S15 Routing Clustered'!$A$3:$A$18, A575), "")</f>
        <v>I-012</v>
      </c>
      <c r="C575" s="3">
        <v>100</v>
      </c>
      <c r="D575" s="287" t="str">
        <f>IFERROR(HLOOKUP(C575, 'S15 Routing Clustered'!$B$2:$I$18,A575+1, 0), "")</f>
        <v/>
      </c>
      <c r="E575" s="287" t="str">
        <f t="shared" si="28"/>
        <v/>
      </c>
      <c r="F575" s="3" t="str">
        <f>IF(E575="", "", VLOOKUP(B575, 'S08 ABC Output'!$A$3:$C$18, 3, 0))</f>
        <v/>
      </c>
      <c r="I575" s="288" t="str">
        <f t="shared" si="32"/>
        <v>WS-09</v>
      </c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</row>
    <row r="576" spans="1:53" ht="17">
      <c r="A576" s="3">
        <v>13</v>
      </c>
      <c r="B576" s="196" t="str">
        <f>IFERROR(INDEX('S15 Routing Clustered'!$A$3:$A$18, A576), "")</f>
        <v>I-012</v>
      </c>
      <c r="C576" s="3">
        <v>110</v>
      </c>
      <c r="D576" s="287" t="str">
        <f>IFERROR(HLOOKUP(C576, 'S15 Routing Clustered'!$B$2:$I$18,A576+1, 0), "")</f>
        <v/>
      </c>
      <c r="E576" s="287" t="str">
        <f t="shared" si="28"/>
        <v/>
      </c>
      <c r="F576" s="3" t="str">
        <f>IF(E576="", "", VLOOKUP(B576, 'S08 ABC Output'!$A$3:$C$18, 3, 0))</f>
        <v/>
      </c>
      <c r="I576" s="288" t="str">
        <f t="shared" si="32"/>
        <v>WS-10</v>
      </c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</row>
    <row r="577" spans="1:53" ht="17">
      <c r="A577" s="3">
        <v>13</v>
      </c>
      <c r="B577" s="196" t="str">
        <f>IFERROR(INDEX('S15 Routing Clustered'!$A$3:$A$18, A577), "")</f>
        <v>I-012</v>
      </c>
      <c r="C577" s="3">
        <v>120</v>
      </c>
      <c r="D577" s="287" t="str">
        <f>IFERROR(HLOOKUP(C577, 'S15 Routing Clustered'!$B$2:$I$18,A577+1, 0), "")</f>
        <v/>
      </c>
      <c r="E577" s="287" t="str">
        <f t="shared" si="28"/>
        <v/>
      </c>
      <c r="F577" s="3" t="str">
        <f>IF(E577="", "", VLOOKUP(B577, 'S08 ABC Output'!$A$3:$C$18, 3, 0))</f>
        <v/>
      </c>
      <c r="I577" s="288" t="str">
        <f t="shared" si="32"/>
        <v>WS-11</v>
      </c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</row>
    <row r="578" spans="1:53" ht="17">
      <c r="A578" s="3">
        <v>13</v>
      </c>
      <c r="B578" s="196" t="str">
        <f>IFERROR(INDEX('S15 Routing Clustered'!$A$3:$A$18, A578), "")</f>
        <v>I-012</v>
      </c>
      <c r="C578" s="3">
        <v>130</v>
      </c>
      <c r="D578" s="287" t="str">
        <f>IFERROR(HLOOKUP(C578, 'S15 Routing Clustered'!$B$2:$I$18,A578+1, 0), "")</f>
        <v/>
      </c>
      <c r="E578" s="287" t="str">
        <f t="shared" si="28"/>
        <v/>
      </c>
      <c r="F578" s="3" t="str">
        <f>IF(E578="", "", VLOOKUP(B578, 'S08 ABC Output'!$A$3:$C$18, 3, 0))</f>
        <v/>
      </c>
      <c r="I578" s="288" t="str">
        <f t="shared" si="32"/>
        <v>WS-12</v>
      </c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</row>
    <row r="579" spans="1:53" ht="17">
      <c r="A579" s="3">
        <v>13</v>
      </c>
      <c r="B579" s="196" t="str">
        <f>IFERROR(INDEX('S15 Routing Clustered'!$A$3:$A$18, A579), "")</f>
        <v>I-012</v>
      </c>
      <c r="C579" s="3">
        <v>140</v>
      </c>
      <c r="D579" s="287" t="str">
        <f>IFERROR(HLOOKUP(C579, 'S15 Routing Clustered'!$B$2:$I$18,A579+1, 0), "")</f>
        <v/>
      </c>
      <c r="E579" s="287" t="str">
        <f t="shared" ref="E579:E642" si="33">IF(D579="", "", D580)</f>
        <v/>
      </c>
      <c r="F579" s="3" t="str">
        <f>IF(E579="", "", VLOOKUP(B579, 'S08 ABC Output'!$A$3:$C$18, 3, 0))</f>
        <v/>
      </c>
      <c r="I579" s="288" t="str">
        <f t="shared" si="32"/>
        <v>WS-13</v>
      </c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</row>
    <row r="580" spans="1:53" ht="17">
      <c r="A580" s="3">
        <v>13</v>
      </c>
      <c r="B580" s="196" t="str">
        <f>IFERROR(INDEX('S15 Routing Clustered'!$A$3:$A$18, A580), "")</f>
        <v>I-012</v>
      </c>
      <c r="C580" s="3">
        <v>150</v>
      </c>
      <c r="D580" s="287" t="str">
        <f>IFERROR(HLOOKUP(C580, 'S15 Routing Clustered'!$B$2:$I$18,A580+1, 0), "")</f>
        <v/>
      </c>
      <c r="E580" s="287" t="str">
        <f t="shared" si="33"/>
        <v/>
      </c>
      <c r="F580" s="3" t="str">
        <f>IF(E580="", "", VLOOKUP(B580, 'S08 ABC Output'!$A$3:$C$18, 3, 0))</f>
        <v/>
      </c>
      <c r="I580" s="288" t="str">
        <f t="shared" si="32"/>
        <v>WS-14</v>
      </c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</row>
    <row r="581" spans="1:53" ht="17">
      <c r="A581" s="3">
        <v>13</v>
      </c>
      <c r="B581" s="196" t="str">
        <f>IFERROR(INDEX('S15 Routing Clustered'!$A$3:$A$18, A581), "")</f>
        <v>I-012</v>
      </c>
      <c r="C581" s="3">
        <v>160</v>
      </c>
      <c r="D581" s="287" t="str">
        <f>IFERROR(HLOOKUP(C581, 'S15 Routing Clustered'!$B$2:$I$18,A581+1, 0), "")</f>
        <v/>
      </c>
      <c r="E581" s="287" t="str">
        <f t="shared" si="33"/>
        <v/>
      </c>
      <c r="F581" s="3" t="str">
        <f>IF(E581="", "", VLOOKUP(B581, 'S08 ABC Output'!$A$3:$C$18, 3, 0))</f>
        <v/>
      </c>
      <c r="I581" s="288" t="str">
        <f t="shared" si="32"/>
        <v>WS-15</v>
      </c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</row>
    <row r="582" spans="1:53" ht="17">
      <c r="A582" s="3">
        <v>13</v>
      </c>
      <c r="B582" s="196" t="str">
        <f>IFERROR(INDEX('S15 Routing Clustered'!$A$3:$A$18, A582), "")</f>
        <v>I-012</v>
      </c>
      <c r="C582" s="3">
        <v>170</v>
      </c>
      <c r="D582" s="287" t="str">
        <f>IFERROR(HLOOKUP(C582, 'S15 Routing Clustered'!$B$2:$I$18,A582+1, 0), "")</f>
        <v/>
      </c>
      <c r="E582" s="287" t="str">
        <f t="shared" si="33"/>
        <v/>
      </c>
      <c r="F582" s="3" t="str">
        <f>IF(E582="", "", VLOOKUP(B582, 'S08 ABC Output'!$A$3:$C$18, 3, 0))</f>
        <v/>
      </c>
      <c r="I582" s="288" t="str">
        <f t="shared" si="32"/>
        <v>WS-16</v>
      </c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</row>
    <row r="583" spans="1:53" ht="17">
      <c r="A583" s="3">
        <v>13</v>
      </c>
      <c r="B583" s="196" t="str">
        <f>IFERROR(INDEX('S15 Routing Clustered'!$A$3:$A$18, A583), "")</f>
        <v>I-012</v>
      </c>
      <c r="C583" s="3">
        <v>180</v>
      </c>
      <c r="D583" s="287" t="str">
        <f>IFERROR(HLOOKUP(C583, 'S15 Routing Clustered'!$B$2:$I$18,A583+1, 0), "")</f>
        <v/>
      </c>
      <c r="E583" s="287" t="str">
        <f t="shared" si="33"/>
        <v/>
      </c>
      <c r="F583" s="3" t="str">
        <f>IF(E583="", "", VLOOKUP(B583, 'S08 ABC Output'!$A$3:$C$18, 3, 0))</f>
        <v/>
      </c>
      <c r="I583" s="288" t="str">
        <f t="shared" si="32"/>
        <v>WS-17</v>
      </c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</row>
    <row r="584" spans="1:53" ht="17">
      <c r="A584" s="3">
        <v>13</v>
      </c>
      <c r="B584" s="196" t="str">
        <f>IFERROR(INDEX('S15 Routing Clustered'!$A$3:$A$18, A584), "")</f>
        <v>I-012</v>
      </c>
      <c r="C584" s="3">
        <v>190</v>
      </c>
      <c r="D584" s="287" t="str">
        <f>IFERROR(HLOOKUP(C584, 'S15 Routing Clustered'!$B$2:$I$18,A584+1, 0), "")</f>
        <v/>
      </c>
      <c r="E584" s="287" t="str">
        <f t="shared" si="33"/>
        <v/>
      </c>
      <c r="F584" s="3" t="str">
        <f>IF(E584="", "", VLOOKUP(B584, 'S08 ABC Output'!$A$3:$C$18, 3, 0))</f>
        <v/>
      </c>
      <c r="I584" s="288" t="str">
        <f t="shared" si="32"/>
        <v>WS-18</v>
      </c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</row>
    <row r="585" spans="1:53" ht="17">
      <c r="A585" s="3">
        <v>13</v>
      </c>
      <c r="B585" s="196" t="str">
        <f>IFERROR(INDEX('S15 Routing Clustered'!$A$3:$A$18, A585), "")</f>
        <v>I-012</v>
      </c>
      <c r="C585" s="3">
        <v>200</v>
      </c>
      <c r="D585" s="287" t="str">
        <f>IFERROR(HLOOKUP(C585, 'S15 Routing Clustered'!$B$2:$I$18,A585+1, 0), "")</f>
        <v/>
      </c>
      <c r="E585" s="287" t="str">
        <f t="shared" si="33"/>
        <v/>
      </c>
      <c r="F585" s="3" t="str">
        <f>IF(E585="", "", VLOOKUP(B585, 'S08 ABC Output'!$A$3:$C$18, 3, 0))</f>
        <v/>
      </c>
      <c r="I585" s="288" t="str">
        <f t="shared" si="32"/>
        <v>WS-19</v>
      </c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</row>
    <row r="586" spans="1:53" ht="17">
      <c r="A586" s="3">
        <v>13</v>
      </c>
      <c r="B586" s="196" t="str">
        <f>IFERROR(INDEX('S15 Routing Clustered'!$A$3:$A$18, A586), "")</f>
        <v>I-012</v>
      </c>
      <c r="C586" s="3">
        <v>210</v>
      </c>
      <c r="D586" s="287" t="str">
        <f>IFERROR(HLOOKUP(C586, 'S15 Routing Clustered'!$B$2:$I$18,A586+1, 0), "")</f>
        <v/>
      </c>
      <c r="E586" s="287" t="str">
        <f t="shared" si="33"/>
        <v/>
      </c>
      <c r="F586" s="3" t="str">
        <f>IF(E586="", "", VLOOKUP(B586, 'S08 ABC Output'!$A$3:$C$18, 3, 0))</f>
        <v/>
      </c>
      <c r="I586" s="288" t="str">
        <f t="shared" si="32"/>
        <v>WS-20</v>
      </c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>
        <v>50689</v>
      </c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</row>
    <row r="587" spans="1:53" ht="17">
      <c r="A587" s="3">
        <v>13</v>
      </c>
      <c r="B587" s="196" t="str">
        <f>IFERROR(INDEX('S15 Routing Clustered'!$A$3:$A$18, A587), "")</f>
        <v>I-012</v>
      </c>
      <c r="C587" s="3">
        <v>220</v>
      </c>
      <c r="D587" s="287" t="str">
        <f>IFERROR(HLOOKUP(C587, 'S15 Routing Clustered'!$B$2:$I$18,A587+1, 0), "")</f>
        <v/>
      </c>
      <c r="E587" s="287" t="str">
        <f t="shared" si="33"/>
        <v/>
      </c>
      <c r="F587" s="3" t="str">
        <f>IF(E587="", "", VLOOKUP(B587, 'S08 ABC Output'!$A$3:$C$18, 3, 0))</f>
        <v/>
      </c>
      <c r="I587" s="288" t="str">
        <f t="shared" si="32"/>
        <v>WS-21</v>
      </c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</row>
    <row r="588" spans="1:53" ht="17">
      <c r="A588" s="3">
        <v>13</v>
      </c>
      <c r="B588" s="196" t="str">
        <f>IFERROR(INDEX('S15 Routing Clustered'!$A$3:$A$18, A588), "")</f>
        <v>I-012</v>
      </c>
      <c r="C588" s="3">
        <v>230</v>
      </c>
      <c r="D588" s="287" t="str">
        <f>IFERROR(HLOOKUP(C588, 'S15 Routing Clustered'!$B$2:$I$18,A588+1, 0), "")</f>
        <v/>
      </c>
      <c r="E588" s="287" t="str">
        <f t="shared" si="33"/>
        <v/>
      </c>
      <c r="F588" s="3" t="str">
        <f>IF(E588="", "", VLOOKUP(B588, 'S08 ABC Output'!$A$3:$C$18, 3, 0))</f>
        <v/>
      </c>
      <c r="I588" s="288" t="str">
        <f t="shared" si="32"/>
        <v>WS-22</v>
      </c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</row>
    <row r="589" spans="1:53" ht="17">
      <c r="A589" s="3">
        <v>13</v>
      </c>
      <c r="B589" s="196" t="str">
        <f>IFERROR(INDEX('S15 Routing Clustered'!$A$3:$A$18, A589), "")</f>
        <v>I-012</v>
      </c>
      <c r="C589" s="3">
        <v>240</v>
      </c>
      <c r="D589" s="287" t="str">
        <f>IFERROR(HLOOKUP(C589, 'S15 Routing Clustered'!$B$2:$I$18,A589+1, 0), "")</f>
        <v/>
      </c>
      <c r="E589" s="287" t="str">
        <f t="shared" si="33"/>
        <v/>
      </c>
      <c r="F589" s="3" t="str">
        <f>IF(E589="", "", VLOOKUP(B589, 'S08 ABC Output'!$A$3:$C$18, 3, 0))</f>
        <v/>
      </c>
      <c r="I589" s="288" t="str">
        <f t="shared" si="32"/>
        <v>WS-23</v>
      </c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</row>
    <row r="590" spans="1:53" ht="17">
      <c r="A590" s="3">
        <v>13</v>
      </c>
      <c r="B590" s="196" t="str">
        <f>IFERROR(INDEX('S15 Routing Clustered'!$A$3:$A$18, A590), "")</f>
        <v>I-012</v>
      </c>
      <c r="C590" s="3">
        <v>250</v>
      </c>
      <c r="D590" s="287" t="str">
        <f>IFERROR(HLOOKUP(C590, 'S15 Routing Clustered'!$B$2:$I$18,A590+1, 0), "")</f>
        <v/>
      </c>
      <c r="E590" s="287" t="str">
        <f t="shared" si="33"/>
        <v/>
      </c>
      <c r="F590" s="3" t="str">
        <f>IF(E590="", "", VLOOKUP(B590, 'S08 ABC Output'!$A$3:$C$18, 3, 0))</f>
        <v/>
      </c>
      <c r="I590" s="288" t="str">
        <f t="shared" si="32"/>
        <v>WS-24</v>
      </c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</row>
    <row r="591" spans="1:53" ht="17">
      <c r="A591" s="3">
        <v>13</v>
      </c>
      <c r="B591" s="196" t="str">
        <f>IFERROR(INDEX('S15 Routing Clustered'!$A$3:$A$18, A591), "")</f>
        <v>I-012</v>
      </c>
      <c r="C591" s="3">
        <v>260</v>
      </c>
      <c r="D591" s="287" t="str">
        <f>IFERROR(HLOOKUP(C591, 'S15 Routing Clustered'!$B$2:$I$18,A591+1, 0), "")</f>
        <v/>
      </c>
      <c r="E591" s="287" t="str">
        <f t="shared" si="33"/>
        <v/>
      </c>
      <c r="F591" s="3" t="str">
        <f>IF(E591="", "", VLOOKUP(B591, 'S08 ABC Output'!$A$3:$C$18, 3, 0))</f>
        <v/>
      </c>
      <c r="I591" s="288" t="str">
        <f t="shared" si="32"/>
        <v>WS-25</v>
      </c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</row>
    <row r="592" spans="1:53" ht="17">
      <c r="A592" s="3">
        <v>13</v>
      </c>
      <c r="B592" s="196" t="str">
        <f>IFERROR(INDEX('S15 Routing Clustered'!$A$3:$A$18, A592), "")</f>
        <v>I-012</v>
      </c>
      <c r="C592" s="3">
        <v>270</v>
      </c>
      <c r="D592" s="287" t="str">
        <f>IFERROR(HLOOKUP(C592, 'S15 Routing Clustered'!$B$2:$I$18,A592+1, 0), "")</f>
        <v/>
      </c>
      <c r="E592" s="287" t="str">
        <f t="shared" si="33"/>
        <v/>
      </c>
      <c r="F592" s="3" t="str">
        <f>IF(E592="", "", VLOOKUP(B592, 'S08 ABC Output'!$A$3:$C$18, 3, 0))</f>
        <v/>
      </c>
      <c r="I592" s="288" t="str">
        <f t="shared" si="32"/>
        <v>WS-26</v>
      </c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>
        <v>50689</v>
      </c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</row>
    <row r="593" spans="1:53" ht="17">
      <c r="A593" s="3">
        <v>13</v>
      </c>
      <c r="B593" s="196" t="str">
        <f>IFERROR(INDEX('S15 Routing Clustered'!$A$3:$A$18, A593), "")</f>
        <v>I-012</v>
      </c>
      <c r="C593" s="3">
        <v>280</v>
      </c>
      <c r="D593" s="287" t="str">
        <f>IFERROR(HLOOKUP(C593, 'S15 Routing Clustered'!$B$2:$I$18,A593+1, 0), "")</f>
        <v/>
      </c>
      <c r="E593" s="287" t="str">
        <f t="shared" si="33"/>
        <v/>
      </c>
      <c r="F593" s="3" t="str">
        <f>IF(E593="", "", VLOOKUP(B593, 'S08 ABC Output'!$A$3:$C$18, 3, 0))</f>
        <v/>
      </c>
      <c r="I593" s="288" t="str">
        <f t="shared" si="32"/>
        <v>WS-27</v>
      </c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</row>
    <row r="594" spans="1:53" ht="17">
      <c r="A594" s="3">
        <v>13</v>
      </c>
      <c r="B594" s="196" t="str">
        <f>IFERROR(INDEX('S15 Routing Clustered'!$A$3:$A$18, A594), "")</f>
        <v>I-012</v>
      </c>
      <c r="C594" s="3">
        <v>290</v>
      </c>
      <c r="D594" s="287" t="str">
        <f>IFERROR(HLOOKUP(C594, 'S15 Routing Clustered'!$B$2:$I$18,A594+1, 0), "")</f>
        <v/>
      </c>
      <c r="E594" s="287" t="str">
        <f t="shared" si="33"/>
        <v/>
      </c>
      <c r="F594" s="3" t="str">
        <f>IF(E594="", "", VLOOKUP(B594, 'S08 ABC Output'!$A$3:$C$18, 3, 0))</f>
        <v/>
      </c>
      <c r="I594" s="288" t="str">
        <f t="shared" si="32"/>
        <v>WS-28</v>
      </c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</row>
    <row r="595" spans="1:53" ht="17">
      <c r="A595" s="3">
        <v>13</v>
      </c>
      <c r="B595" s="196" t="str">
        <f>IFERROR(INDEX('S15 Routing Clustered'!$A$3:$A$18, A595), "")</f>
        <v>I-012</v>
      </c>
      <c r="C595" s="3">
        <v>300</v>
      </c>
      <c r="D595" s="287" t="str">
        <f>IFERROR(HLOOKUP(C595, 'S15 Routing Clustered'!$B$2:$I$18,A595+1, 0), "")</f>
        <v/>
      </c>
      <c r="E595" s="287" t="str">
        <f t="shared" si="33"/>
        <v/>
      </c>
      <c r="F595" s="3" t="str">
        <f>IF(E595="", "", VLOOKUP(B595, 'S08 ABC Output'!$A$3:$C$18, 3, 0))</f>
        <v/>
      </c>
      <c r="I595" s="288" t="str">
        <f t="shared" si="32"/>
        <v>WS-29</v>
      </c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</row>
    <row r="596" spans="1:53" ht="17">
      <c r="A596" s="3">
        <v>13</v>
      </c>
      <c r="B596" s="196" t="str">
        <f>IFERROR(INDEX('S15 Routing Clustered'!$A$3:$A$18, A596), "")</f>
        <v>I-012</v>
      </c>
      <c r="C596" s="3">
        <v>310</v>
      </c>
      <c r="D596" s="287" t="str">
        <f>IFERROR(HLOOKUP(C596, 'S15 Routing Clustered'!$B$2:$I$18,A596+1, 0), "")</f>
        <v/>
      </c>
      <c r="E596" s="287" t="str">
        <f t="shared" si="33"/>
        <v/>
      </c>
      <c r="F596" s="3" t="str">
        <f>IF(E596="", "", VLOOKUP(B596, 'S08 ABC Output'!$A$3:$C$18, 3, 0))</f>
        <v/>
      </c>
      <c r="I596" s="288" t="str">
        <f t="shared" si="32"/>
        <v>WS-30</v>
      </c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</row>
    <row r="597" spans="1:53" ht="17">
      <c r="A597" s="3">
        <v>13</v>
      </c>
      <c r="B597" s="196" t="str">
        <f>IFERROR(INDEX('S15 Routing Clustered'!$A$3:$A$18, A597), "")</f>
        <v>I-012</v>
      </c>
      <c r="C597" s="3">
        <v>320</v>
      </c>
      <c r="D597" s="287" t="str">
        <f>IFERROR(HLOOKUP(C597, 'S15 Routing Clustered'!$B$2:$I$18,A597+1, 0), "")</f>
        <v/>
      </c>
      <c r="E597" s="287" t="str">
        <f t="shared" si="33"/>
        <v/>
      </c>
      <c r="F597" s="3" t="str">
        <f>IF(E597="", "", VLOOKUP(B597, 'S08 ABC Output'!$A$3:$C$18, 3, 0))</f>
        <v/>
      </c>
      <c r="I597" s="288" t="str">
        <f t="shared" si="32"/>
        <v>WS-31</v>
      </c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</row>
    <row r="598" spans="1:53" ht="17">
      <c r="A598" s="3">
        <v>13</v>
      </c>
      <c r="B598" s="196" t="str">
        <f>IFERROR(INDEX('S15 Routing Clustered'!$A$3:$A$18, A598), "")</f>
        <v>I-012</v>
      </c>
      <c r="C598" s="3">
        <v>330</v>
      </c>
      <c r="D598" s="287" t="str">
        <f>IFERROR(HLOOKUP(C598, 'S15 Routing Clustered'!$B$2:$I$18,A598+1, 0), "")</f>
        <v/>
      </c>
      <c r="E598" s="287" t="str">
        <f t="shared" si="33"/>
        <v/>
      </c>
      <c r="F598" s="3" t="str">
        <f>IF(E598="", "", VLOOKUP(B598, 'S08 ABC Output'!$A$3:$C$18, 3, 0))</f>
        <v/>
      </c>
      <c r="I598" s="288" t="str">
        <f t="shared" si="32"/>
        <v>WS-32</v>
      </c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>
        <v>50689</v>
      </c>
    </row>
    <row r="599" spans="1:53" ht="17">
      <c r="A599" s="3">
        <v>13</v>
      </c>
      <c r="B599" s="196" t="str">
        <f>IFERROR(INDEX('S15 Routing Clustered'!$A$3:$A$18, A599), "")</f>
        <v>I-012</v>
      </c>
      <c r="C599" s="3">
        <v>340</v>
      </c>
      <c r="D599" s="287" t="str">
        <f>IFERROR(HLOOKUP(C599, 'S15 Routing Clustered'!$B$2:$I$18,A599+1, 0), "")</f>
        <v/>
      </c>
      <c r="E599" s="287" t="str">
        <f t="shared" si="33"/>
        <v/>
      </c>
      <c r="F599" s="3" t="str">
        <f>IF(E599="", "", VLOOKUP(B599, 'S08 ABC Output'!$A$3:$C$18, 3, 0))</f>
        <v/>
      </c>
      <c r="I599" s="288" t="str">
        <f t="shared" si="32"/>
        <v>WS-33</v>
      </c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</row>
    <row r="600" spans="1:53" ht="17">
      <c r="A600" s="3">
        <v>13</v>
      </c>
      <c r="B600" s="196" t="str">
        <f>IFERROR(INDEX('S15 Routing Clustered'!$A$3:$A$18, A600), "")</f>
        <v>I-012</v>
      </c>
      <c r="C600" s="3">
        <v>350</v>
      </c>
      <c r="D600" s="287" t="str">
        <f>IFERROR(HLOOKUP(C600, 'S15 Routing Clustered'!$B$2:$I$18,A600+1, 0), "")</f>
        <v/>
      </c>
      <c r="E600" s="287" t="str">
        <f t="shared" si="33"/>
        <v/>
      </c>
      <c r="F600" s="3" t="str">
        <f>IF(E600="", "", VLOOKUP(B600, 'S08 ABC Output'!$A$3:$C$18, 3, 0))</f>
        <v/>
      </c>
      <c r="I600" s="288" t="str">
        <f t="shared" si="32"/>
        <v>WS-34</v>
      </c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</row>
    <row r="601" spans="1:53" ht="17">
      <c r="A601" s="3">
        <v>13</v>
      </c>
      <c r="B601" s="196" t="str">
        <f>IFERROR(INDEX('S15 Routing Clustered'!$A$3:$A$18, A601), "")</f>
        <v>I-012</v>
      </c>
      <c r="C601" s="3">
        <v>360</v>
      </c>
      <c r="D601" s="287" t="str">
        <f>IFERROR(HLOOKUP(C601, 'S15 Routing Clustered'!$B$2:$I$18,A601+1, 0), "")</f>
        <v/>
      </c>
      <c r="E601" s="287" t="str">
        <f t="shared" si="33"/>
        <v/>
      </c>
      <c r="F601" s="3" t="str">
        <f>IF(E601="", "", VLOOKUP(B601, 'S08 ABC Output'!$A$3:$C$18, 3, 0))</f>
        <v/>
      </c>
      <c r="I601" s="288" t="str">
        <f t="shared" si="32"/>
        <v>WS-35</v>
      </c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</row>
    <row r="602" spans="1:53" ht="17">
      <c r="A602" s="3">
        <v>13</v>
      </c>
      <c r="B602" s="196" t="str">
        <f>IFERROR(INDEX('S15 Routing Clustered'!$A$3:$A$18, A602), "")</f>
        <v>I-012</v>
      </c>
      <c r="C602" s="3">
        <v>370</v>
      </c>
      <c r="D602" s="287" t="str">
        <f>IFERROR(HLOOKUP(C602, 'S15 Routing Clustered'!$B$2:$I$18,A602+1, 0), "")</f>
        <v/>
      </c>
      <c r="E602" s="287" t="str">
        <f t="shared" si="33"/>
        <v/>
      </c>
      <c r="F602" s="3" t="str">
        <f>IF(E602="", "", VLOOKUP(B602, 'S08 ABC Output'!$A$3:$C$18, 3, 0))</f>
        <v/>
      </c>
      <c r="I602" s="288" t="str">
        <f t="shared" si="32"/>
        <v>WS-36</v>
      </c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</row>
    <row r="603" spans="1:53" ht="17">
      <c r="A603" s="3">
        <v>13</v>
      </c>
      <c r="B603" s="196" t="str">
        <f>IFERROR(INDEX('S15 Routing Clustered'!$A$3:$A$18, A603), "")</f>
        <v>I-012</v>
      </c>
      <c r="C603" s="3">
        <v>380</v>
      </c>
      <c r="D603" s="287" t="str">
        <f>IFERROR(HLOOKUP(C603, 'S15 Routing Clustered'!$B$2:$I$18,A603+1, 0), "")</f>
        <v/>
      </c>
      <c r="E603" s="287" t="str">
        <f t="shared" si="33"/>
        <v/>
      </c>
      <c r="F603" s="3" t="str">
        <f>IF(E603="", "", VLOOKUP(B603, 'S08 ABC Output'!$A$3:$C$18, 3, 0))</f>
        <v/>
      </c>
      <c r="I603" s="288" t="str">
        <f t="shared" si="32"/>
        <v>WS-37</v>
      </c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</row>
    <row r="604" spans="1:53" ht="17">
      <c r="A604" s="3">
        <v>13</v>
      </c>
      <c r="B604" s="196" t="str">
        <f>IFERROR(INDEX('S15 Routing Clustered'!$A$3:$A$18, A604), "")</f>
        <v>I-012</v>
      </c>
      <c r="C604" s="3">
        <v>390</v>
      </c>
      <c r="D604" s="287" t="str">
        <f>IFERROR(HLOOKUP(C604, 'S15 Routing Clustered'!$B$2:$I$18,A604+1, 0), "")</f>
        <v/>
      </c>
      <c r="E604" s="287" t="str">
        <f t="shared" si="33"/>
        <v/>
      </c>
      <c r="F604" s="3" t="str">
        <f>IF(E604="", "", VLOOKUP(B604, 'S08 ABC Output'!$A$3:$C$18, 3, 0))</f>
        <v/>
      </c>
      <c r="I604" s="288" t="str">
        <f t="shared" si="32"/>
        <v>WS-38</v>
      </c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</row>
    <row r="605" spans="1:53" ht="17">
      <c r="A605" s="3">
        <v>13</v>
      </c>
      <c r="B605" s="196" t="str">
        <f>IFERROR(INDEX('S15 Routing Clustered'!$A$3:$A$18, A605), "")</f>
        <v>I-012</v>
      </c>
      <c r="C605" s="3">
        <v>400</v>
      </c>
      <c r="D605" s="287" t="str">
        <f>IFERROR(HLOOKUP(C605, 'S15 Routing Clustered'!$B$2:$I$18,A605+1, 0), "")</f>
        <v/>
      </c>
      <c r="E605" s="287" t="str">
        <f t="shared" si="33"/>
        <v/>
      </c>
      <c r="F605" s="3" t="str">
        <f>IF(E605="", "", VLOOKUP(B605, 'S08 ABC Output'!$A$3:$C$18, 3, 0))</f>
        <v/>
      </c>
      <c r="I605" s="288" t="str">
        <f t="shared" si="32"/>
        <v>WS-39</v>
      </c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</row>
    <row r="606" spans="1:53" ht="17">
      <c r="A606" s="3">
        <v>13</v>
      </c>
      <c r="B606" s="196" t="str">
        <f>IFERROR(INDEX('S15 Routing Clustered'!$A$3:$A$18, A606), "")</f>
        <v>I-012</v>
      </c>
      <c r="C606" s="3">
        <v>410</v>
      </c>
      <c r="D606" s="287" t="str">
        <f>IFERROR(HLOOKUP(C606, 'S15 Routing Clustered'!$B$2:$I$18,A606+1, 0), "")</f>
        <v/>
      </c>
      <c r="E606" s="287" t="str">
        <f t="shared" si="33"/>
        <v/>
      </c>
      <c r="F606" s="3" t="str">
        <f>IF(E606="", "", VLOOKUP(B606, 'S08 ABC Output'!$A$3:$C$18, 3, 0))</f>
        <v/>
      </c>
      <c r="I606" s="288" t="str">
        <f t="shared" si="32"/>
        <v>WS-40</v>
      </c>
      <c r="J606" s="3"/>
      <c r="K606" s="3"/>
      <c r="L606" s="3"/>
      <c r="M606" s="3"/>
      <c r="N606" s="3"/>
      <c r="O606" s="3"/>
      <c r="P606" s="3">
        <v>50689</v>
      </c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</row>
    <row r="607" spans="1:53" ht="17">
      <c r="A607" s="3">
        <v>13</v>
      </c>
      <c r="B607" s="196" t="str">
        <f>IFERROR(INDEX('S15 Routing Clustered'!$A$3:$A$18, A607), "")</f>
        <v>I-012</v>
      </c>
      <c r="C607" s="3">
        <v>420</v>
      </c>
      <c r="D607" s="287" t="str">
        <f>IFERROR(HLOOKUP(C607, 'S15 Routing Clustered'!$B$2:$I$18,A607+1, 0), "")</f>
        <v/>
      </c>
      <c r="E607" s="287" t="str">
        <f t="shared" si="33"/>
        <v/>
      </c>
      <c r="F607" s="3" t="str">
        <f>IF(E607="", "", VLOOKUP(B607, 'S08 ABC Output'!$A$3:$C$18, 3, 0))</f>
        <v/>
      </c>
      <c r="I607" s="288" t="str">
        <f t="shared" si="32"/>
        <v>WS-41</v>
      </c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</row>
    <row r="608" spans="1:53" ht="17">
      <c r="A608" s="3">
        <v>13</v>
      </c>
      <c r="B608" s="196" t="str">
        <f>IFERROR(INDEX('S15 Routing Clustered'!$A$3:$A$18, A608), "")</f>
        <v>I-012</v>
      </c>
      <c r="C608" s="3">
        <v>430</v>
      </c>
      <c r="D608" s="287" t="str">
        <f>IFERROR(HLOOKUP(C608, 'S15 Routing Clustered'!$B$2:$I$18,A608+1, 0), "")</f>
        <v/>
      </c>
      <c r="E608" s="287" t="str">
        <f t="shared" si="33"/>
        <v/>
      </c>
      <c r="F608" s="3" t="str">
        <f>IF(E608="", "", VLOOKUP(B608, 'S08 ABC Output'!$A$3:$C$18, 3, 0))</f>
        <v/>
      </c>
      <c r="I608" s="288" t="str">
        <f t="shared" si="32"/>
        <v>WS-42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</row>
    <row r="609" spans="1:53" ht="17">
      <c r="A609" s="3">
        <v>13</v>
      </c>
      <c r="B609" s="196" t="str">
        <f>IFERROR(INDEX('S15 Routing Clustered'!$A$3:$A$18, A609), "")</f>
        <v>I-012</v>
      </c>
      <c r="C609" s="3">
        <v>440</v>
      </c>
      <c r="D609" s="287" t="str">
        <f>IFERROR(HLOOKUP(C609, 'S15 Routing Clustered'!$B$2:$I$18,A609+1, 0), "")</f>
        <v/>
      </c>
      <c r="E609" s="287" t="str">
        <f t="shared" si="33"/>
        <v/>
      </c>
      <c r="F609" s="3" t="str">
        <f>IF(E609="", "", VLOOKUP(B609, 'S08 ABC Output'!$A$3:$C$18, 3, 0))</f>
        <v/>
      </c>
      <c r="I609" s="288" t="str">
        <f t="shared" si="32"/>
        <v>WS-43</v>
      </c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>
        <v>50689</v>
      </c>
      <c r="AX609" s="3"/>
      <c r="AY609" s="3"/>
      <c r="AZ609" s="3"/>
      <c r="BA609" s="3"/>
    </row>
    <row r="610" spans="1:53" ht="17">
      <c r="A610" s="3">
        <v>13</v>
      </c>
      <c r="B610" s="196" t="str">
        <f>IFERROR(INDEX('S15 Routing Clustered'!$A$3:$A$18, A610), "")</f>
        <v>I-012</v>
      </c>
      <c r="C610" s="3">
        <v>450</v>
      </c>
      <c r="D610" s="287" t="str">
        <f>IFERROR(HLOOKUP(C610, 'S15 Routing Clustered'!$B$2:$I$18,A610+1, 0), "")</f>
        <v/>
      </c>
      <c r="E610" s="287" t="str">
        <f t="shared" si="33"/>
        <v/>
      </c>
      <c r="F610" s="3" t="str">
        <f>IF(E610="", "", VLOOKUP(B610, 'S08 ABC Output'!$A$3:$C$18, 3, 0))</f>
        <v/>
      </c>
      <c r="I610" s="288" t="str">
        <f t="shared" si="32"/>
        <v>WS-44</v>
      </c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</row>
    <row r="611" spans="1:53" ht="17">
      <c r="B611" s="196" t="str">
        <f>IFERROR(INDEX('S15 Routing Clustered'!$A$3:$A$18, A611), "")</f>
        <v/>
      </c>
      <c r="D611" s="287" t="str">
        <f>IFERROR(HLOOKUP(C611, 'S15 Routing Clustered'!$B$2:$I$18,A611+1, 0), "")</f>
        <v/>
      </c>
      <c r="E611" s="287" t="str">
        <f t="shared" si="33"/>
        <v/>
      </c>
      <c r="F611" s="3" t="str">
        <f>IF(E611="", "", VLOOKUP(B611, 'S08 ABC Output'!$A$3:$C$18, 3, 0))</f>
        <v/>
      </c>
      <c r="I611" s="288"/>
    </row>
    <row r="612" spans="1:53" ht="17">
      <c r="B612" s="196" t="str">
        <f>IFERROR(INDEX('S15 Routing Clustered'!$A$3:$A$18, A612), "")</f>
        <v/>
      </c>
      <c r="D612" s="287" t="str">
        <f>IFERROR(HLOOKUP(C612, 'S15 Routing Clustered'!$B$2:$I$18,A612+1, 0), "")</f>
        <v/>
      </c>
      <c r="E612" s="287" t="str">
        <f t="shared" si="33"/>
        <v/>
      </c>
      <c r="F612" s="3" t="str">
        <f>IF(E612="", "", VLOOKUP(B612, 'S08 ABC Output'!$A$3:$C$18, 3, 0))</f>
        <v/>
      </c>
      <c r="I612" s="288"/>
    </row>
    <row r="613" spans="1:53" ht="17">
      <c r="A613" s="3">
        <v>14</v>
      </c>
      <c r="B613" s="196" t="str">
        <f>IFERROR(INDEX('S15 Routing Clustered'!$A$3:$A$18, A613), "")</f>
        <v>I-052</v>
      </c>
      <c r="C613" s="3">
        <v>10</v>
      </c>
      <c r="D613" s="287" t="str">
        <f>IFERROR(HLOOKUP(C613, 'S15 Routing Clustered'!$B$2:$I$18,A613+1, 0), "")</f>
        <v>WS-43</v>
      </c>
      <c r="E613" s="287" t="str">
        <f t="shared" si="33"/>
        <v>WS-40</v>
      </c>
      <c r="F613" s="3">
        <f>IF(E613="", "", VLOOKUP(B613, 'S08 ABC Output'!$A$3:$C$18, 3, 0))</f>
        <v>85612</v>
      </c>
      <c r="I613" s="288"/>
      <c r="J613" s="288" t="str">
        <f>J566</f>
        <v>WS-01</v>
      </c>
      <c r="K613" s="288" t="str">
        <f t="shared" ref="K613:BA613" si="34">K566</f>
        <v>WS-02</v>
      </c>
      <c r="L613" s="288" t="str">
        <f t="shared" si="34"/>
        <v>WS-03</v>
      </c>
      <c r="M613" s="288" t="str">
        <f t="shared" si="34"/>
        <v>WS-04</v>
      </c>
      <c r="N613" s="288" t="str">
        <f t="shared" si="34"/>
        <v>WS-05</v>
      </c>
      <c r="O613" s="288" t="str">
        <f t="shared" si="34"/>
        <v>WS-06</v>
      </c>
      <c r="P613" s="288" t="str">
        <f t="shared" si="34"/>
        <v>WS-07</v>
      </c>
      <c r="Q613" s="288" t="str">
        <f t="shared" si="34"/>
        <v>WS-08</v>
      </c>
      <c r="R613" s="288" t="str">
        <f t="shared" si="34"/>
        <v>WS-09</v>
      </c>
      <c r="S613" s="288" t="str">
        <f t="shared" si="34"/>
        <v>WS-10</v>
      </c>
      <c r="T613" s="288" t="str">
        <f t="shared" si="34"/>
        <v>WS-11</v>
      </c>
      <c r="U613" s="288" t="str">
        <f t="shared" si="34"/>
        <v>WS-12</v>
      </c>
      <c r="V613" s="288" t="str">
        <f t="shared" si="34"/>
        <v>WS-13</v>
      </c>
      <c r="W613" s="288" t="str">
        <f t="shared" si="34"/>
        <v>WS-14</v>
      </c>
      <c r="X613" s="288" t="str">
        <f t="shared" si="34"/>
        <v>WS-15</v>
      </c>
      <c r="Y613" s="288" t="str">
        <f t="shared" si="34"/>
        <v>WS-16</v>
      </c>
      <c r="Z613" s="288" t="str">
        <f t="shared" si="34"/>
        <v>WS-17</v>
      </c>
      <c r="AA613" s="288" t="str">
        <f t="shared" si="34"/>
        <v>WS-18</v>
      </c>
      <c r="AB613" s="288" t="str">
        <f t="shared" si="34"/>
        <v>WS-19</v>
      </c>
      <c r="AC613" s="288" t="str">
        <f t="shared" si="34"/>
        <v>WS-20</v>
      </c>
      <c r="AD613" s="288" t="str">
        <f t="shared" si="34"/>
        <v>WS-21</v>
      </c>
      <c r="AE613" s="288" t="str">
        <f t="shared" si="34"/>
        <v>WS-22</v>
      </c>
      <c r="AF613" s="288" t="str">
        <f t="shared" si="34"/>
        <v>WS-23</v>
      </c>
      <c r="AG613" s="288" t="str">
        <f t="shared" si="34"/>
        <v>WS-24</v>
      </c>
      <c r="AH613" s="288" t="str">
        <f t="shared" si="34"/>
        <v>WS-25</v>
      </c>
      <c r="AI613" s="288" t="str">
        <f t="shared" si="34"/>
        <v>WS-26</v>
      </c>
      <c r="AJ613" s="288" t="str">
        <f t="shared" si="34"/>
        <v>WS-27</v>
      </c>
      <c r="AK613" s="288" t="str">
        <f t="shared" si="34"/>
        <v>WS-28</v>
      </c>
      <c r="AL613" s="288" t="str">
        <f t="shared" si="34"/>
        <v>WS-29</v>
      </c>
      <c r="AM613" s="288" t="str">
        <f t="shared" si="34"/>
        <v>WS-30</v>
      </c>
      <c r="AN613" s="288" t="str">
        <f t="shared" si="34"/>
        <v>WS-31</v>
      </c>
      <c r="AO613" s="288" t="str">
        <f t="shared" si="34"/>
        <v>WS-32</v>
      </c>
      <c r="AP613" s="288" t="str">
        <f t="shared" si="34"/>
        <v>WS-33</v>
      </c>
      <c r="AQ613" s="288" t="str">
        <f t="shared" si="34"/>
        <v>WS-34</v>
      </c>
      <c r="AR613" s="288" t="str">
        <f t="shared" si="34"/>
        <v>WS-35</v>
      </c>
      <c r="AS613" s="288" t="str">
        <f t="shared" si="34"/>
        <v>WS-36</v>
      </c>
      <c r="AT613" s="288" t="str">
        <f t="shared" si="34"/>
        <v>WS-37</v>
      </c>
      <c r="AU613" s="288" t="str">
        <f t="shared" si="34"/>
        <v>WS-38</v>
      </c>
      <c r="AV613" s="288" t="str">
        <f t="shared" si="34"/>
        <v>WS-39</v>
      </c>
      <c r="AW613" s="288" t="str">
        <f t="shared" si="34"/>
        <v>WS-40</v>
      </c>
      <c r="AX613" s="288" t="str">
        <f t="shared" si="34"/>
        <v>WS-41</v>
      </c>
      <c r="AY613" s="288" t="str">
        <f t="shared" si="34"/>
        <v>WS-42</v>
      </c>
      <c r="AZ613" s="288" t="str">
        <f t="shared" si="34"/>
        <v>WS-43</v>
      </c>
      <c r="BA613" s="288" t="str">
        <f t="shared" si="34"/>
        <v>WS-44</v>
      </c>
    </row>
    <row r="614" spans="1:53" ht="17">
      <c r="A614" s="3">
        <v>14</v>
      </c>
      <c r="B614" s="196" t="str">
        <f>IFERROR(INDEX('S15 Routing Clustered'!$A$3:$A$18, A614), "")</f>
        <v>I-052</v>
      </c>
      <c r="C614" s="3">
        <v>20</v>
      </c>
      <c r="D614" s="287" t="str">
        <f>IFERROR(HLOOKUP(C614, 'S15 Routing Clustered'!$B$2:$I$18,A614+1, 0), "")</f>
        <v>WS-40</v>
      </c>
      <c r="E614" s="287" t="str">
        <f t="shared" si="33"/>
        <v>WS-07</v>
      </c>
      <c r="F614" s="3">
        <f>IF(E614="", "", VLOOKUP(B614, 'S08 ABC Output'!$A$3:$C$18, 3, 0))</f>
        <v>85612</v>
      </c>
      <c r="I614" s="288" t="str">
        <f>I567</f>
        <v>WS-01</v>
      </c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</row>
    <row r="615" spans="1:53" ht="17">
      <c r="A615" s="3">
        <v>14</v>
      </c>
      <c r="B615" s="196" t="str">
        <f>IFERROR(INDEX('S15 Routing Clustered'!$A$3:$A$18, A615), "")</f>
        <v>I-052</v>
      </c>
      <c r="C615" s="3">
        <v>30</v>
      </c>
      <c r="D615" s="287" t="str">
        <f>IFERROR(HLOOKUP(C615, 'S15 Routing Clustered'!$B$2:$I$18,A615+1, 0), "")</f>
        <v>WS-07</v>
      </c>
      <c r="E615" s="287" t="str">
        <f t="shared" si="33"/>
        <v>WS-08</v>
      </c>
      <c r="F615" s="3">
        <f>IF(E615="", "", VLOOKUP(B615, 'S08 ABC Output'!$A$3:$C$18, 3, 0))</f>
        <v>85612</v>
      </c>
      <c r="I615" s="288" t="str">
        <f t="shared" ref="I615:I657" si="35">I568</f>
        <v>WS-02</v>
      </c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</row>
    <row r="616" spans="1:53" ht="17">
      <c r="A616" s="3">
        <v>14</v>
      </c>
      <c r="B616" s="196" t="str">
        <f>IFERROR(INDEX('S15 Routing Clustered'!$A$3:$A$18, A616), "")</f>
        <v>I-052</v>
      </c>
      <c r="C616" s="3">
        <v>40</v>
      </c>
      <c r="D616" s="287" t="str">
        <f>IFERROR(HLOOKUP(C616, 'S15 Routing Clustered'!$B$2:$I$18,A616+1, 0), "")</f>
        <v>WS-08</v>
      </c>
      <c r="E616" s="287" t="str">
        <f t="shared" si="33"/>
        <v>WS-20</v>
      </c>
      <c r="F616" s="3">
        <f>IF(E616="", "", VLOOKUP(B616, 'S08 ABC Output'!$A$3:$C$18, 3, 0))</f>
        <v>85612</v>
      </c>
      <c r="I616" s="288" t="str">
        <f t="shared" si="35"/>
        <v>WS-03</v>
      </c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</row>
    <row r="617" spans="1:53" ht="17">
      <c r="A617" s="3">
        <v>14</v>
      </c>
      <c r="B617" s="196" t="str">
        <f>IFERROR(INDEX('S15 Routing Clustered'!$A$3:$A$18, A617), "")</f>
        <v>I-052</v>
      </c>
      <c r="C617" s="3">
        <v>50</v>
      </c>
      <c r="D617" s="287" t="str">
        <f>IFERROR(HLOOKUP(C617, 'S15 Routing Clustered'!$B$2:$I$18,A617+1, 0), "")</f>
        <v>WS-20</v>
      </c>
      <c r="E617" s="287" t="str">
        <f t="shared" si="33"/>
        <v>WS-26</v>
      </c>
      <c r="F617" s="3">
        <f>IF(E617="", "", VLOOKUP(B617, 'S08 ABC Output'!$A$3:$C$18, 3, 0))</f>
        <v>85612</v>
      </c>
      <c r="I617" s="288" t="str">
        <f t="shared" si="35"/>
        <v>WS-04</v>
      </c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</row>
    <row r="618" spans="1:53" ht="17">
      <c r="A618" s="3">
        <v>14</v>
      </c>
      <c r="B618" s="196" t="str">
        <f>IFERROR(INDEX('S15 Routing Clustered'!$A$3:$A$18, A618), "")</f>
        <v>I-052</v>
      </c>
      <c r="C618" s="3">
        <v>60</v>
      </c>
      <c r="D618" s="287" t="str">
        <f>IFERROR(HLOOKUP(C618, 'S15 Routing Clustered'!$B$2:$I$18,A618+1, 0), "")</f>
        <v>WS-26</v>
      </c>
      <c r="E618" s="287" t="str">
        <f t="shared" si="33"/>
        <v>WS-32</v>
      </c>
      <c r="F618" s="3">
        <f>IF(E618="", "", VLOOKUP(B618, 'S08 ABC Output'!$A$3:$C$18, 3, 0))</f>
        <v>85612</v>
      </c>
      <c r="I618" s="288" t="str">
        <f t="shared" si="35"/>
        <v>WS-05</v>
      </c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</row>
    <row r="619" spans="1:53" ht="17">
      <c r="A619" s="3">
        <v>14</v>
      </c>
      <c r="B619" s="196" t="str">
        <f>IFERROR(INDEX('S15 Routing Clustered'!$A$3:$A$18, A619), "")</f>
        <v>I-052</v>
      </c>
      <c r="C619" s="3">
        <v>70</v>
      </c>
      <c r="D619" s="287" t="str">
        <f>IFERROR(HLOOKUP(C619, 'S15 Routing Clustered'!$B$2:$I$18,A619+1, 0), "")</f>
        <v>WS-32</v>
      </c>
      <c r="E619" s="287" t="str">
        <f t="shared" si="33"/>
        <v>WS-44</v>
      </c>
      <c r="F619" s="3">
        <f>IF(E619="", "", VLOOKUP(B619, 'S08 ABC Output'!$A$3:$C$18, 3, 0))</f>
        <v>85612</v>
      </c>
      <c r="I619" s="288" t="str">
        <f t="shared" si="35"/>
        <v>WS-06</v>
      </c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</row>
    <row r="620" spans="1:53" ht="17">
      <c r="A620" s="3">
        <v>14</v>
      </c>
      <c r="B620" s="196" t="str">
        <f>IFERROR(INDEX('S15 Routing Clustered'!$A$3:$A$18, A620), "")</f>
        <v>I-052</v>
      </c>
      <c r="C620" s="3">
        <v>80</v>
      </c>
      <c r="D620" s="287" t="str">
        <f>IFERROR(HLOOKUP(C620, 'S15 Routing Clustered'!$B$2:$I$18,A620+1, 0), "")</f>
        <v>WS-44</v>
      </c>
      <c r="E620" s="287" t="str">
        <f t="shared" si="33"/>
        <v/>
      </c>
      <c r="F620" s="3" t="str">
        <f>IF(E620="", "", VLOOKUP(B620, 'S08 ABC Output'!$A$3:$C$18, 3, 0))</f>
        <v/>
      </c>
      <c r="I620" s="288" t="str">
        <f t="shared" si="35"/>
        <v>WS-07</v>
      </c>
      <c r="J620" s="3"/>
      <c r="K620" s="3"/>
      <c r="L620" s="3"/>
      <c r="M620" s="3"/>
      <c r="N620" s="3"/>
      <c r="O620" s="3"/>
      <c r="P620" s="3"/>
      <c r="Q620" s="3">
        <v>85612</v>
      </c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</row>
    <row r="621" spans="1:53" ht="17">
      <c r="A621" s="3">
        <v>14</v>
      </c>
      <c r="B621" s="196" t="str">
        <f>IFERROR(INDEX('S15 Routing Clustered'!$A$3:$A$18, A621), "")</f>
        <v>I-052</v>
      </c>
      <c r="C621" s="3">
        <v>90</v>
      </c>
      <c r="D621" s="287" t="str">
        <f>IFERROR(HLOOKUP(C621, 'S15 Routing Clustered'!$B$2:$I$18,A621+1, 0), "")</f>
        <v/>
      </c>
      <c r="E621" s="287" t="str">
        <f t="shared" si="33"/>
        <v/>
      </c>
      <c r="F621" s="3" t="str">
        <f>IF(E621="", "", VLOOKUP(B621, 'S08 ABC Output'!$A$3:$C$18, 3, 0))</f>
        <v/>
      </c>
      <c r="I621" s="288" t="str">
        <f t="shared" si="35"/>
        <v>WS-08</v>
      </c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>
        <v>85612</v>
      </c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</row>
    <row r="622" spans="1:53" ht="17">
      <c r="A622" s="3">
        <v>14</v>
      </c>
      <c r="B622" s="196" t="str">
        <f>IFERROR(INDEX('S15 Routing Clustered'!$A$3:$A$18, A622), "")</f>
        <v>I-052</v>
      </c>
      <c r="C622" s="3">
        <v>100</v>
      </c>
      <c r="D622" s="287" t="str">
        <f>IFERROR(HLOOKUP(C622, 'S15 Routing Clustered'!$B$2:$I$18,A622+1, 0), "")</f>
        <v/>
      </c>
      <c r="E622" s="287" t="str">
        <f t="shared" si="33"/>
        <v/>
      </c>
      <c r="F622" s="3" t="str">
        <f>IF(E622="", "", VLOOKUP(B622, 'S08 ABC Output'!$A$3:$C$18, 3, 0))</f>
        <v/>
      </c>
      <c r="I622" s="288" t="str">
        <f t="shared" si="35"/>
        <v>WS-09</v>
      </c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</row>
    <row r="623" spans="1:53" ht="17">
      <c r="A623" s="3">
        <v>14</v>
      </c>
      <c r="B623" s="196" t="str">
        <f>IFERROR(INDEX('S15 Routing Clustered'!$A$3:$A$18, A623), "")</f>
        <v>I-052</v>
      </c>
      <c r="C623" s="3">
        <v>110</v>
      </c>
      <c r="D623" s="287" t="str">
        <f>IFERROR(HLOOKUP(C623, 'S15 Routing Clustered'!$B$2:$I$18,A623+1, 0), "")</f>
        <v/>
      </c>
      <c r="E623" s="287" t="str">
        <f t="shared" si="33"/>
        <v/>
      </c>
      <c r="F623" s="3" t="str">
        <f>IF(E623="", "", VLOOKUP(B623, 'S08 ABC Output'!$A$3:$C$18, 3, 0))</f>
        <v/>
      </c>
      <c r="I623" s="288" t="str">
        <f t="shared" si="35"/>
        <v>WS-10</v>
      </c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</row>
    <row r="624" spans="1:53" ht="17">
      <c r="A624" s="3">
        <v>14</v>
      </c>
      <c r="B624" s="196" t="str">
        <f>IFERROR(INDEX('S15 Routing Clustered'!$A$3:$A$18, A624), "")</f>
        <v>I-052</v>
      </c>
      <c r="C624" s="3">
        <v>120</v>
      </c>
      <c r="D624" s="287" t="str">
        <f>IFERROR(HLOOKUP(C624, 'S15 Routing Clustered'!$B$2:$I$18,A624+1, 0), "")</f>
        <v/>
      </c>
      <c r="E624" s="287" t="str">
        <f t="shared" si="33"/>
        <v/>
      </c>
      <c r="F624" s="3" t="str">
        <f>IF(E624="", "", VLOOKUP(B624, 'S08 ABC Output'!$A$3:$C$18, 3, 0))</f>
        <v/>
      </c>
      <c r="I624" s="288" t="str">
        <f t="shared" si="35"/>
        <v>WS-11</v>
      </c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</row>
    <row r="625" spans="1:53" ht="17">
      <c r="A625" s="3">
        <v>14</v>
      </c>
      <c r="B625" s="196" t="str">
        <f>IFERROR(INDEX('S15 Routing Clustered'!$A$3:$A$18, A625), "")</f>
        <v>I-052</v>
      </c>
      <c r="C625" s="3">
        <v>130</v>
      </c>
      <c r="D625" s="287" t="str">
        <f>IFERROR(HLOOKUP(C625, 'S15 Routing Clustered'!$B$2:$I$18,A625+1, 0), "")</f>
        <v/>
      </c>
      <c r="E625" s="287" t="str">
        <f t="shared" si="33"/>
        <v/>
      </c>
      <c r="F625" s="3" t="str">
        <f>IF(E625="", "", VLOOKUP(B625, 'S08 ABC Output'!$A$3:$C$18, 3, 0))</f>
        <v/>
      </c>
      <c r="I625" s="288" t="str">
        <f t="shared" si="35"/>
        <v>WS-12</v>
      </c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</row>
    <row r="626" spans="1:53" ht="17">
      <c r="A626" s="3">
        <v>14</v>
      </c>
      <c r="B626" s="196" t="str">
        <f>IFERROR(INDEX('S15 Routing Clustered'!$A$3:$A$18, A626), "")</f>
        <v>I-052</v>
      </c>
      <c r="C626" s="3">
        <v>140</v>
      </c>
      <c r="D626" s="287" t="str">
        <f>IFERROR(HLOOKUP(C626, 'S15 Routing Clustered'!$B$2:$I$18,A626+1, 0), "")</f>
        <v/>
      </c>
      <c r="E626" s="287" t="str">
        <f t="shared" si="33"/>
        <v/>
      </c>
      <c r="F626" s="3" t="str">
        <f>IF(E626="", "", VLOOKUP(B626, 'S08 ABC Output'!$A$3:$C$18, 3, 0))</f>
        <v/>
      </c>
      <c r="I626" s="288" t="str">
        <f t="shared" si="35"/>
        <v>WS-13</v>
      </c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</row>
    <row r="627" spans="1:53" ht="17">
      <c r="A627" s="3">
        <v>14</v>
      </c>
      <c r="B627" s="196" t="str">
        <f>IFERROR(INDEX('S15 Routing Clustered'!$A$3:$A$18, A627), "")</f>
        <v>I-052</v>
      </c>
      <c r="C627" s="3">
        <v>150</v>
      </c>
      <c r="D627" s="287" t="str">
        <f>IFERROR(HLOOKUP(C627, 'S15 Routing Clustered'!$B$2:$I$18,A627+1, 0), "")</f>
        <v/>
      </c>
      <c r="E627" s="287" t="str">
        <f t="shared" si="33"/>
        <v/>
      </c>
      <c r="F627" s="3" t="str">
        <f>IF(E627="", "", VLOOKUP(B627, 'S08 ABC Output'!$A$3:$C$18, 3, 0))</f>
        <v/>
      </c>
      <c r="I627" s="288" t="str">
        <f t="shared" si="35"/>
        <v>WS-14</v>
      </c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</row>
    <row r="628" spans="1:53" ht="17">
      <c r="A628" s="3">
        <v>14</v>
      </c>
      <c r="B628" s="196" t="str">
        <f>IFERROR(INDEX('S15 Routing Clustered'!$A$3:$A$18, A628), "")</f>
        <v>I-052</v>
      </c>
      <c r="C628" s="3">
        <v>160</v>
      </c>
      <c r="D628" s="287" t="str">
        <f>IFERROR(HLOOKUP(C628, 'S15 Routing Clustered'!$B$2:$I$18,A628+1, 0), "")</f>
        <v/>
      </c>
      <c r="E628" s="287" t="str">
        <f t="shared" si="33"/>
        <v/>
      </c>
      <c r="F628" s="3" t="str">
        <f>IF(E628="", "", VLOOKUP(B628, 'S08 ABC Output'!$A$3:$C$18, 3, 0))</f>
        <v/>
      </c>
      <c r="I628" s="288" t="str">
        <f t="shared" si="35"/>
        <v>WS-15</v>
      </c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</row>
    <row r="629" spans="1:53" ht="17">
      <c r="A629" s="3">
        <v>14</v>
      </c>
      <c r="B629" s="196" t="str">
        <f>IFERROR(INDEX('S15 Routing Clustered'!$A$3:$A$18, A629), "")</f>
        <v>I-052</v>
      </c>
      <c r="C629" s="3">
        <v>170</v>
      </c>
      <c r="D629" s="287" t="str">
        <f>IFERROR(HLOOKUP(C629, 'S15 Routing Clustered'!$B$2:$I$18,A629+1, 0), "")</f>
        <v/>
      </c>
      <c r="E629" s="287" t="str">
        <f t="shared" si="33"/>
        <v/>
      </c>
      <c r="F629" s="3" t="str">
        <f>IF(E629="", "", VLOOKUP(B629, 'S08 ABC Output'!$A$3:$C$18, 3, 0))</f>
        <v/>
      </c>
      <c r="I629" s="288" t="str">
        <f t="shared" si="35"/>
        <v>WS-16</v>
      </c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</row>
    <row r="630" spans="1:53" ht="17">
      <c r="A630" s="3">
        <v>14</v>
      </c>
      <c r="B630" s="196" t="str">
        <f>IFERROR(INDEX('S15 Routing Clustered'!$A$3:$A$18, A630), "")</f>
        <v>I-052</v>
      </c>
      <c r="C630" s="3">
        <v>180</v>
      </c>
      <c r="D630" s="287" t="str">
        <f>IFERROR(HLOOKUP(C630, 'S15 Routing Clustered'!$B$2:$I$18,A630+1, 0), "")</f>
        <v/>
      </c>
      <c r="E630" s="287" t="str">
        <f t="shared" si="33"/>
        <v/>
      </c>
      <c r="F630" s="3" t="str">
        <f>IF(E630="", "", VLOOKUP(B630, 'S08 ABC Output'!$A$3:$C$18, 3, 0))</f>
        <v/>
      </c>
      <c r="I630" s="288" t="str">
        <f t="shared" si="35"/>
        <v>WS-17</v>
      </c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</row>
    <row r="631" spans="1:53" ht="17">
      <c r="A631" s="3">
        <v>14</v>
      </c>
      <c r="B631" s="196" t="str">
        <f>IFERROR(INDEX('S15 Routing Clustered'!$A$3:$A$18, A631), "")</f>
        <v>I-052</v>
      </c>
      <c r="C631" s="3">
        <v>190</v>
      </c>
      <c r="D631" s="287" t="str">
        <f>IFERROR(HLOOKUP(C631, 'S15 Routing Clustered'!$B$2:$I$18,A631+1, 0), "")</f>
        <v/>
      </c>
      <c r="E631" s="287" t="str">
        <f t="shared" si="33"/>
        <v/>
      </c>
      <c r="F631" s="3" t="str">
        <f>IF(E631="", "", VLOOKUP(B631, 'S08 ABC Output'!$A$3:$C$18, 3, 0))</f>
        <v/>
      </c>
      <c r="I631" s="288" t="str">
        <f t="shared" si="35"/>
        <v>WS-18</v>
      </c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</row>
    <row r="632" spans="1:53" ht="17">
      <c r="A632" s="3">
        <v>14</v>
      </c>
      <c r="B632" s="196" t="str">
        <f>IFERROR(INDEX('S15 Routing Clustered'!$A$3:$A$18, A632), "")</f>
        <v>I-052</v>
      </c>
      <c r="C632" s="3">
        <v>200</v>
      </c>
      <c r="D632" s="287" t="str">
        <f>IFERROR(HLOOKUP(C632, 'S15 Routing Clustered'!$B$2:$I$18,A632+1, 0), "")</f>
        <v/>
      </c>
      <c r="E632" s="287" t="str">
        <f t="shared" si="33"/>
        <v/>
      </c>
      <c r="F632" s="3" t="str">
        <f>IF(E632="", "", VLOOKUP(B632, 'S08 ABC Output'!$A$3:$C$18, 3, 0))</f>
        <v/>
      </c>
      <c r="I632" s="288" t="str">
        <f t="shared" si="35"/>
        <v>WS-19</v>
      </c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</row>
    <row r="633" spans="1:53" ht="17">
      <c r="A633" s="3">
        <v>14</v>
      </c>
      <c r="B633" s="196" t="str">
        <f>IFERROR(INDEX('S15 Routing Clustered'!$A$3:$A$18, A633), "")</f>
        <v>I-052</v>
      </c>
      <c r="C633" s="3">
        <v>210</v>
      </c>
      <c r="D633" s="287" t="str">
        <f>IFERROR(HLOOKUP(C633, 'S15 Routing Clustered'!$B$2:$I$18,A633+1, 0), "")</f>
        <v/>
      </c>
      <c r="E633" s="287" t="str">
        <f t="shared" si="33"/>
        <v/>
      </c>
      <c r="F633" s="3" t="str">
        <f>IF(E633="", "", VLOOKUP(B633, 'S08 ABC Output'!$A$3:$C$18, 3, 0))</f>
        <v/>
      </c>
      <c r="I633" s="288" t="str">
        <f t="shared" si="35"/>
        <v>WS-20</v>
      </c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>
        <v>85612</v>
      </c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</row>
    <row r="634" spans="1:53" ht="17">
      <c r="A634" s="3">
        <v>14</v>
      </c>
      <c r="B634" s="196" t="str">
        <f>IFERROR(INDEX('S15 Routing Clustered'!$A$3:$A$18, A634), "")</f>
        <v>I-052</v>
      </c>
      <c r="C634" s="3">
        <v>220</v>
      </c>
      <c r="D634" s="287" t="str">
        <f>IFERROR(HLOOKUP(C634, 'S15 Routing Clustered'!$B$2:$I$18,A634+1, 0), "")</f>
        <v/>
      </c>
      <c r="E634" s="287" t="str">
        <f t="shared" si="33"/>
        <v/>
      </c>
      <c r="F634" s="3" t="str">
        <f>IF(E634="", "", VLOOKUP(B634, 'S08 ABC Output'!$A$3:$C$18, 3, 0))</f>
        <v/>
      </c>
      <c r="I634" s="288" t="str">
        <f t="shared" si="35"/>
        <v>WS-21</v>
      </c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</row>
    <row r="635" spans="1:53" ht="17">
      <c r="A635" s="3">
        <v>14</v>
      </c>
      <c r="B635" s="196" t="str">
        <f>IFERROR(INDEX('S15 Routing Clustered'!$A$3:$A$18, A635), "")</f>
        <v>I-052</v>
      </c>
      <c r="C635" s="3">
        <v>230</v>
      </c>
      <c r="D635" s="287" t="str">
        <f>IFERROR(HLOOKUP(C635, 'S15 Routing Clustered'!$B$2:$I$18,A635+1, 0), "")</f>
        <v/>
      </c>
      <c r="E635" s="287" t="str">
        <f t="shared" si="33"/>
        <v/>
      </c>
      <c r="F635" s="3" t="str">
        <f>IF(E635="", "", VLOOKUP(B635, 'S08 ABC Output'!$A$3:$C$18, 3, 0))</f>
        <v/>
      </c>
      <c r="I635" s="288" t="str">
        <f t="shared" si="35"/>
        <v>WS-22</v>
      </c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</row>
    <row r="636" spans="1:53" ht="17">
      <c r="A636" s="3">
        <v>14</v>
      </c>
      <c r="B636" s="196" t="str">
        <f>IFERROR(INDEX('S15 Routing Clustered'!$A$3:$A$18, A636), "")</f>
        <v>I-052</v>
      </c>
      <c r="C636" s="3">
        <v>240</v>
      </c>
      <c r="D636" s="287" t="str">
        <f>IFERROR(HLOOKUP(C636, 'S15 Routing Clustered'!$B$2:$I$18,A636+1, 0), "")</f>
        <v/>
      </c>
      <c r="E636" s="287" t="str">
        <f t="shared" si="33"/>
        <v/>
      </c>
      <c r="F636" s="3" t="str">
        <f>IF(E636="", "", VLOOKUP(B636, 'S08 ABC Output'!$A$3:$C$18, 3, 0))</f>
        <v/>
      </c>
      <c r="I636" s="288" t="str">
        <f t="shared" si="35"/>
        <v>WS-23</v>
      </c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</row>
    <row r="637" spans="1:53" ht="17">
      <c r="A637" s="3">
        <v>14</v>
      </c>
      <c r="B637" s="196" t="str">
        <f>IFERROR(INDEX('S15 Routing Clustered'!$A$3:$A$18, A637), "")</f>
        <v>I-052</v>
      </c>
      <c r="C637" s="3">
        <v>250</v>
      </c>
      <c r="D637" s="287" t="str">
        <f>IFERROR(HLOOKUP(C637, 'S15 Routing Clustered'!$B$2:$I$18,A637+1, 0), "")</f>
        <v/>
      </c>
      <c r="E637" s="287" t="str">
        <f t="shared" si="33"/>
        <v/>
      </c>
      <c r="F637" s="3" t="str">
        <f>IF(E637="", "", VLOOKUP(B637, 'S08 ABC Output'!$A$3:$C$18, 3, 0))</f>
        <v/>
      </c>
      <c r="I637" s="288" t="str">
        <f t="shared" si="35"/>
        <v>WS-24</v>
      </c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</row>
    <row r="638" spans="1:53" ht="17">
      <c r="A638" s="3">
        <v>14</v>
      </c>
      <c r="B638" s="196" t="str">
        <f>IFERROR(INDEX('S15 Routing Clustered'!$A$3:$A$18, A638), "")</f>
        <v>I-052</v>
      </c>
      <c r="C638" s="3">
        <v>260</v>
      </c>
      <c r="D638" s="287" t="str">
        <f>IFERROR(HLOOKUP(C638, 'S15 Routing Clustered'!$B$2:$I$18,A638+1, 0), "")</f>
        <v/>
      </c>
      <c r="E638" s="287" t="str">
        <f t="shared" si="33"/>
        <v/>
      </c>
      <c r="F638" s="3" t="str">
        <f>IF(E638="", "", VLOOKUP(B638, 'S08 ABC Output'!$A$3:$C$18, 3, 0))</f>
        <v/>
      </c>
      <c r="I638" s="288" t="str">
        <f t="shared" si="35"/>
        <v>WS-25</v>
      </c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</row>
    <row r="639" spans="1:53" ht="17">
      <c r="A639" s="3">
        <v>14</v>
      </c>
      <c r="B639" s="196" t="str">
        <f>IFERROR(INDEX('S15 Routing Clustered'!$A$3:$A$18, A639), "")</f>
        <v>I-052</v>
      </c>
      <c r="C639" s="3">
        <v>270</v>
      </c>
      <c r="D639" s="287" t="str">
        <f>IFERROR(HLOOKUP(C639, 'S15 Routing Clustered'!$B$2:$I$18,A639+1, 0), "")</f>
        <v/>
      </c>
      <c r="E639" s="287" t="str">
        <f t="shared" si="33"/>
        <v/>
      </c>
      <c r="F639" s="3" t="str">
        <f>IF(E639="", "", VLOOKUP(B639, 'S08 ABC Output'!$A$3:$C$18, 3, 0))</f>
        <v/>
      </c>
      <c r="I639" s="288" t="str">
        <f t="shared" si="35"/>
        <v>WS-26</v>
      </c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>
        <v>85612</v>
      </c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</row>
    <row r="640" spans="1:53" ht="17">
      <c r="A640" s="3">
        <v>14</v>
      </c>
      <c r="B640" s="196" t="str">
        <f>IFERROR(INDEX('S15 Routing Clustered'!$A$3:$A$18, A640), "")</f>
        <v>I-052</v>
      </c>
      <c r="C640" s="3">
        <v>280</v>
      </c>
      <c r="D640" s="287" t="str">
        <f>IFERROR(HLOOKUP(C640, 'S15 Routing Clustered'!$B$2:$I$18,A640+1, 0), "")</f>
        <v/>
      </c>
      <c r="E640" s="287" t="str">
        <f t="shared" si="33"/>
        <v/>
      </c>
      <c r="F640" s="3" t="str">
        <f>IF(E640="", "", VLOOKUP(B640, 'S08 ABC Output'!$A$3:$C$18, 3, 0))</f>
        <v/>
      </c>
      <c r="I640" s="288" t="str">
        <f t="shared" si="35"/>
        <v>WS-27</v>
      </c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</row>
    <row r="641" spans="1:53" ht="17">
      <c r="A641" s="3">
        <v>14</v>
      </c>
      <c r="B641" s="196" t="str">
        <f>IFERROR(INDEX('S15 Routing Clustered'!$A$3:$A$18, A641), "")</f>
        <v>I-052</v>
      </c>
      <c r="C641" s="3">
        <v>290</v>
      </c>
      <c r="D641" s="287" t="str">
        <f>IFERROR(HLOOKUP(C641, 'S15 Routing Clustered'!$B$2:$I$18,A641+1, 0), "")</f>
        <v/>
      </c>
      <c r="E641" s="287" t="str">
        <f t="shared" si="33"/>
        <v/>
      </c>
      <c r="F641" s="3" t="str">
        <f>IF(E641="", "", VLOOKUP(B641, 'S08 ABC Output'!$A$3:$C$18, 3, 0))</f>
        <v/>
      </c>
      <c r="I641" s="288" t="str">
        <f t="shared" si="35"/>
        <v>WS-28</v>
      </c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</row>
    <row r="642" spans="1:53" ht="17">
      <c r="A642" s="3">
        <v>14</v>
      </c>
      <c r="B642" s="196" t="str">
        <f>IFERROR(INDEX('S15 Routing Clustered'!$A$3:$A$18, A642), "")</f>
        <v>I-052</v>
      </c>
      <c r="C642" s="3">
        <v>300</v>
      </c>
      <c r="D642" s="287" t="str">
        <f>IFERROR(HLOOKUP(C642, 'S15 Routing Clustered'!$B$2:$I$18,A642+1, 0), "")</f>
        <v/>
      </c>
      <c r="E642" s="287" t="str">
        <f t="shared" si="33"/>
        <v/>
      </c>
      <c r="F642" s="3" t="str">
        <f>IF(E642="", "", VLOOKUP(B642, 'S08 ABC Output'!$A$3:$C$18, 3, 0))</f>
        <v/>
      </c>
      <c r="I642" s="288" t="str">
        <f t="shared" si="35"/>
        <v>WS-29</v>
      </c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</row>
    <row r="643" spans="1:53" ht="17">
      <c r="A643" s="3">
        <v>14</v>
      </c>
      <c r="B643" s="196" t="str">
        <f>IFERROR(INDEX('S15 Routing Clustered'!$A$3:$A$18, A643), "")</f>
        <v>I-052</v>
      </c>
      <c r="C643" s="3">
        <v>310</v>
      </c>
      <c r="D643" s="287" t="str">
        <f>IFERROR(HLOOKUP(C643, 'S15 Routing Clustered'!$B$2:$I$18,A643+1, 0), "")</f>
        <v/>
      </c>
      <c r="E643" s="287" t="str">
        <f t="shared" ref="E643:E706" si="36">IF(D643="", "", D644)</f>
        <v/>
      </c>
      <c r="F643" s="3" t="str">
        <f>IF(E643="", "", VLOOKUP(B643, 'S08 ABC Output'!$A$3:$C$18, 3, 0))</f>
        <v/>
      </c>
      <c r="I643" s="288" t="str">
        <f t="shared" si="35"/>
        <v>WS-30</v>
      </c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</row>
    <row r="644" spans="1:53" ht="17">
      <c r="A644" s="3">
        <v>14</v>
      </c>
      <c r="B644" s="196" t="str">
        <f>IFERROR(INDEX('S15 Routing Clustered'!$A$3:$A$18, A644), "")</f>
        <v>I-052</v>
      </c>
      <c r="C644" s="3">
        <v>320</v>
      </c>
      <c r="D644" s="287" t="str">
        <f>IFERROR(HLOOKUP(C644, 'S15 Routing Clustered'!$B$2:$I$18,A644+1, 0), "")</f>
        <v/>
      </c>
      <c r="E644" s="287" t="str">
        <f t="shared" si="36"/>
        <v/>
      </c>
      <c r="F644" s="3" t="str">
        <f>IF(E644="", "", VLOOKUP(B644, 'S08 ABC Output'!$A$3:$C$18, 3, 0))</f>
        <v/>
      </c>
      <c r="I644" s="288" t="str">
        <f t="shared" si="35"/>
        <v>WS-31</v>
      </c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</row>
    <row r="645" spans="1:53" ht="17">
      <c r="A645" s="3">
        <v>14</v>
      </c>
      <c r="B645" s="196" t="str">
        <f>IFERROR(INDEX('S15 Routing Clustered'!$A$3:$A$18, A645), "")</f>
        <v>I-052</v>
      </c>
      <c r="C645" s="3">
        <v>330</v>
      </c>
      <c r="D645" s="287" t="str">
        <f>IFERROR(HLOOKUP(C645, 'S15 Routing Clustered'!$B$2:$I$18,A645+1, 0), "")</f>
        <v/>
      </c>
      <c r="E645" s="287" t="str">
        <f t="shared" si="36"/>
        <v/>
      </c>
      <c r="F645" s="3" t="str">
        <f>IF(E645="", "", VLOOKUP(B645, 'S08 ABC Output'!$A$3:$C$18, 3, 0))</f>
        <v/>
      </c>
      <c r="I645" s="288" t="str">
        <f t="shared" si="35"/>
        <v>WS-32</v>
      </c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>
        <v>85612</v>
      </c>
    </row>
    <row r="646" spans="1:53" ht="17">
      <c r="A646" s="3">
        <v>14</v>
      </c>
      <c r="B646" s="196" t="str">
        <f>IFERROR(INDEX('S15 Routing Clustered'!$A$3:$A$18, A646), "")</f>
        <v>I-052</v>
      </c>
      <c r="C646" s="3">
        <v>340</v>
      </c>
      <c r="D646" s="287" t="str">
        <f>IFERROR(HLOOKUP(C646, 'S15 Routing Clustered'!$B$2:$I$18,A646+1, 0), "")</f>
        <v/>
      </c>
      <c r="E646" s="287" t="str">
        <f t="shared" si="36"/>
        <v/>
      </c>
      <c r="F646" s="3" t="str">
        <f>IF(E646="", "", VLOOKUP(B646, 'S08 ABC Output'!$A$3:$C$18, 3, 0))</f>
        <v/>
      </c>
      <c r="I646" s="288" t="str">
        <f t="shared" si="35"/>
        <v>WS-33</v>
      </c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</row>
    <row r="647" spans="1:53" ht="17">
      <c r="A647" s="3">
        <v>14</v>
      </c>
      <c r="B647" s="196" t="str">
        <f>IFERROR(INDEX('S15 Routing Clustered'!$A$3:$A$18, A647), "")</f>
        <v>I-052</v>
      </c>
      <c r="C647" s="3">
        <v>350</v>
      </c>
      <c r="D647" s="287" t="str">
        <f>IFERROR(HLOOKUP(C647, 'S15 Routing Clustered'!$B$2:$I$18,A647+1, 0), "")</f>
        <v/>
      </c>
      <c r="E647" s="287" t="str">
        <f t="shared" si="36"/>
        <v/>
      </c>
      <c r="F647" s="3" t="str">
        <f>IF(E647="", "", VLOOKUP(B647, 'S08 ABC Output'!$A$3:$C$18, 3, 0))</f>
        <v/>
      </c>
      <c r="I647" s="288" t="str">
        <f t="shared" si="35"/>
        <v>WS-34</v>
      </c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</row>
    <row r="648" spans="1:53" ht="17">
      <c r="A648" s="3">
        <v>14</v>
      </c>
      <c r="B648" s="196" t="str">
        <f>IFERROR(INDEX('S15 Routing Clustered'!$A$3:$A$18, A648), "")</f>
        <v>I-052</v>
      </c>
      <c r="C648" s="3">
        <v>360</v>
      </c>
      <c r="D648" s="287" t="str">
        <f>IFERROR(HLOOKUP(C648, 'S15 Routing Clustered'!$B$2:$I$18,A648+1, 0), "")</f>
        <v/>
      </c>
      <c r="E648" s="287" t="str">
        <f t="shared" si="36"/>
        <v/>
      </c>
      <c r="F648" s="3" t="str">
        <f>IF(E648="", "", VLOOKUP(B648, 'S08 ABC Output'!$A$3:$C$18, 3, 0))</f>
        <v/>
      </c>
      <c r="I648" s="288" t="str">
        <f t="shared" si="35"/>
        <v>WS-35</v>
      </c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</row>
    <row r="649" spans="1:53" ht="17">
      <c r="A649" s="3">
        <v>14</v>
      </c>
      <c r="B649" s="196" t="str">
        <f>IFERROR(INDEX('S15 Routing Clustered'!$A$3:$A$18, A649), "")</f>
        <v>I-052</v>
      </c>
      <c r="C649" s="3">
        <v>370</v>
      </c>
      <c r="D649" s="287" t="str">
        <f>IFERROR(HLOOKUP(C649, 'S15 Routing Clustered'!$B$2:$I$18,A649+1, 0), "")</f>
        <v/>
      </c>
      <c r="E649" s="287" t="str">
        <f t="shared" si="36"/>
        <v/>
      </c>
      <c r="F649" s="3" t="str">
        <f>IF(E649="", "", VLOOKUP(B649, 'S08 ABC Output'!$A$3:$C$18, 3, 0))</f>
        <v/>
      </c>
      <c r="I649" s="288" t="str">
        <f t="shared" si="35"/>
        <v>WS-36</v>
      </c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</row>
    <row r="650" spans="1:53" ht="17">
      <c r="A650" s="3">
        <v>14</v>
      </c>
      <c r="B650" s="196" t="str">
        <f>IFERROR(INDEX('S15 Routing Clustered'!$A$3:$A$18, A650), "")</f>
        <v>I-052</v>
      </c>
      <c r="C650" s="3">
        <v>380</v>
      </c>
      <c r="D650" s="287" t="str">
        <f>IFERROR(HLOOKUP(C650, 'S15 Routing Clustered'!$B$2:$I$18,A650+1, 0), "")</f>
        <v/>
      </c>
      <c r="E650" s="287" t="str">
        <f t="shared" si="36"/>
        <v/>
      </c>
      <c r="F650" s="3" t="str">
        <f>IF(E650="", "", VLOOKUP(B650, 'S08 ABC Output'!$A$3:$C$18, 3, 0))</f>
        <v/>
      </c>
      <c r="I650" s="288" t="str">
        <f t="shared" si="35"/>
        <v>WS-37</v>
      </c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</row>
    <row r="651" spans="1:53" ht="17">
      <c r="A651" s="3">
        <v>14</v>
      </c>
      <c r="B651" s="196" t="str">
        <f>IFERROR(INDEX('S15 Routing Clustered'!$A$3:$A$18, A651), "")</f>
        <v>I-052</v>
      </c>
      <c r="C651" s="3">
        <v>390</v>
      </c>
      <c r="D651" s="287" t="str">
        <f>IFERROR(HLOOKUP(C651, 'S15 Routing Clustered'!$B$2:$I$18,A651+1, 0), "")</f>
        <v/>
      </c>
      <c r="E651" s="287" t="str">
        <f t="shared" si="36"/>
        <v/>
      </c>
      <c r="F651" s="3" t="str">
        <f>IF(E651="", "", VLOOKUP(B651, 'S08 ABC Output'!$A$3:$C$18, 3, 0))</f>
        <v/>
      </c>
      <c r="I651" s="288" t="str">
        <f t="shared" si="35"/>
        <v>WS-38</v>
      </c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</row>
    <row r="652" spans="1:53" ht="17">
      <c r="A652" s="3">
        <v>14</v>
      </c>
      <c r="B652" s="196" t="str">
        <f>IFERROR(INDEX('S15 Routing Clustered'!$A$3:$A$18, A652), "")</f>
        <v>I-052</v>
      </c>
      <c r="C652" s="3">
        <v>400</v>
      </c>
      <c r="D652" s="287" t="str">
        <f>IFERROR(HLOOKUP(C652, 'S15 Routing Clustered'!$B$2:$I$18,A652+1, 0), "")</f>
        <v/>
      </c>
      <c r="E652" s="287" t="str">
        <f t="shared" si="36"/>
        <v/>
      </c>
      <c r="F652" s="3" t="str">
        <f>IF(E652="", "", VLOOKUP(B652, 'S08 ABC Output'!$A$3:$C$18, 3, 0))</f>
        <v/>
      </c>
      <c r="I652" s="288" t="str">
        <f t="shared" si="35"/>
        <v>WS-39</v>
      </c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</row>
    <row r="653" spans="1:53" ht="17">
      <c r="A653" s="3">
        <v>14</v>
      </c>
      <c r="B653" s="196" t="str">
        <f>IFERROR(INDEX('S15 Routing Clustered'!$A$3:$A$18, A653), "")</f>
        <v>I-052</v>
      </c>
      <c r="C653" s="3">
        <v>410</v>
      </c>
      <c r="D653" s="287" t="str">
        <f>IFERROR(HLOOKUP(C653, 'S15 Routing Clustered'!$B$2:$I$18,A653+1, 0), "")</f>
        <v/>
      </c>
      <c r="E653" s="287" t="str">
        <f t="shared" si="36"/>
        <v/>
      </c>
      <c r="F653" s="3" t="str">
        <f>IF(E653="", "", VLOOKUP(B653, 'S08 ABC Output'!$A$3:$C$18, 3, 0))</f>
        <v/>
      </c>
      <c r="I653" s="288" t="str">
        <f t="shared" si="35"/>
        <v>WS-40</v>
      </c>
      <c r="J653" s="3"/>
      <c r="K653" s="3"/>
      <c r="L653" s="3"/>
      <c r="M653" s="3"/>
      <c r="N653" s="3"/>
      <c r="O653" s="3"/>
      <c r="P653" s="3">
        <v>85612</v>
      </c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</row>
    <row r="654" spans="1:53" ht="17">
      <c r="A654" s="3">
        <v>14</v>
      </c>
      <c r="B654" s="196" t="str">
        <f>IFERROR(INDEX('S15 Routing Clustered'!$A$3:$A$18, A654), "")</f>
        <v>I-052</v>
      </c>
      <c r="C654" s="3">
        <v>420</v>
      </c>
      <c r="D654" s="287" t="str">
        <f>IFERROR(HLOOKUP(C654, 'S15 Routing Clustered'!$B$2:$I$18,A654+1, 0), "")</f>
        <v/>
      </c>
      <c r="E654" s="287" t="str">
        <f t="shared" si="36"/>
        <v/>
      </c>
      <c r="F654" s="3" t="str">
        <f>IF(E654="", "", VLOOKUP(B654, 'S08 ABC Output'!$A$3:$C$18, 3, 0))</f>
        <v/>
      </c>
      <c r="I654" s="288" t="str">
        <f t="shared" si="35"/>
        <v>WS-41</v>
      </c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</row>
    <row r="655" spans="1:53" ht="17">
      <c r="A655" s="3">
        <v>14</v>
      </c>
      <c r="B655" s="196" t="str">
        <f>IFERROR(INDEX('S15 Routing Clustered'!$A$3:$A$18, A655), "")</f>
        <v>I-052</v>
      </c>
      <c r="C655" s="3">
        <v>430</v>
      </c>
      <c r="D655" s="287" t="str">
        <f>IFERROR(HLOOKUP(C655, 'S15 Routing Clustered'!$B$2:$I$18,A655+1, 0), "")</f>
        <v/>
      </c>
      <c r="E655" s="287" t="str">
        <f t="shared" si="36"/>
        <v/>
      </c>
      <c r="F655" s="3" t="str">
        <f>IF(E655="", "", VLOOKUP(B655, 'S08 ABC Output'!$A$3:$C$18, 3, 0))</f>
        <v/>
      </c>
      <c r="I655" s="288" t="str">
        <f t="shared" si="35"/>
        <v>WS-42</v>
      </c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</row>
    <row r="656" spans="1:53" ht="17">
      <c r="A656" s="3">
        <v>14</v>
      </c>
      <c r="B656" s="196" t="str">
        <f>IFERROR(INDEX('S15 Routing Clustered'!$A$3:$A$18, A656), "")</f>
        <v>I-052</v>
      </c>
      <c r="C656" s="3">
        <v>440</v>
      </c>
      <c r="D656" s="287" t="str">
        <f>IFERROR(HLOOKUP(C656, 'S15 Routing Clustered'!$B$2:$I$18,A656+1, 0), "")</f>
        <v/>
      </c>
      <c r="E656" s="287" t="str">
        <f t="shared" si="36"/>
        <v/>
      </c>
      <c r="F656" s="3" t="str">
        <f>IF(E656="", "", VLOOKUP(B656, 'S08 ABC Output'!$A$3:$C$18, 3, 0))</f>
        <v/>
      </c>
      <c r="I656" s="288" t="str">
        <f t="shared" si="35"/>
        <v>WS-43</v>
      </c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>
        <v>85612</v>
      </c>
      <c r="AX656" s="3"/>
      <c r="AY656" s="3"/>
      <c r="AZ656" s="3"/>
      <c r="BA656" s="3"/>
    </row>
    <row r="657" spans="1:53" ht="17">
      <c r="A657" s="3">
        <v>14</v>
      </c>
      <c r="B657" s="196" t="str">
        <f>IFERROR(INDEX('S15 Routing Clustered'!$A$3:$A$18, A657), "")</f>
        <v>I-052</v>
      </c>
      <c r="C657" s="3">
        <v>450</v>
      </c>
      <c r="D657" s="287" t="str">
        <f>IFERROR(HLOOKUP(C657, 'S15 Routing Clustered'!$B$2:$I$18,A657+1, 0), "")</f>
        <v/>
      </c>
      <c r="E657" s="287" t="str">
        <f t="shared" si="36"/>
        <v/>
      </c>
      <c r="F657" s="3" t="str">
        <f>IF(E657="", "", VLOOKUP(B657, 'S08 ABC Output'!$A$3:$C$18, 3, 0))</f>
        <v/>
      </c>
      <c r="I657" s="288" t="str">
        <f t="shared" si="35"/>
        <v>WS-44</v>
      </c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</row>
    <row r="658" spans="1:53" ht="17">
      <c r="B658" s="196" t="str">
        <f>IFERROR(INDEX('S15 Routing Clustered'!$A$3:$A$18, A658), "")</f>
        <v/>
      </c>
      <c r="D658" s="287" t="str">
        <f>IFERROR(HLOOKUP(C658, 'S15 Routing Clustered'!$B$2:$I$18,A658+1, 0), "")</f>
        <v/>
      </c>
      <c r="E658" s="287" t="str">
        <f t="shared" si="36"/>
        <v/>
      </c>
      <c r="F658" s="3" t="str">
        <f>IF(E658="", "", VLOOKUP(B658, 'S08 ABC Output'!$A$3:$C$18, 3, 0))</f>
        <v/>
      </c>
      <c r="I658" s="288"/>
    </row>
    <row r="659" spans="1:53" ht="17">
      <c r="B659" s="196" t="str">
        <f>IFERROR(INDEX('S15 Routing Clustered'!$A$3:$A$18, A659), "")</f>
        <v/>
      </c>
      <c r="D659" s="287" t="str">
        <f>IFERROR(HLOOKUP(C659, 'S15 Routing Clustered'!$B$2:$I$18,A659+1, 0), "")</f>
        <v/>
      </c>
      <c r="E659" s="287" t="str">
        <f t="shared" si="36"/>
        <v/>
      </c>
      <c r="F659" s="3" t="str">
        <f>IF(E659="", "", VLOOKUP(B659, 'S08 ABC Output'!$A$3:$C$18, 3, 0))</f>
        <v/>
      </c>
      <c r="I659" s="288"/>
    </row>
    <row r="660" spans="1:53" ht="17">
      <c r="A660" s="3">
        <v>15</v>
      </c>
      <c r="B660" s="196" t="str">
        <f>IFERROR(INDEX('S15 Routing Clustered'!$A$3:$A$18, A660), "")</f>
        <v>I-053</v>
      </c>
      <c r="C660" s="3">
        <v>10</v>
      </c>
      <c r="D660" s="287" t="str">
        <f>IFERROR(HLOOKUP(C660, 'S15 Routing Clustered'!$B$2:$I$18,A660+1, 0), "")</f>
        <v>WS-43</v>
      </c>
      <c r="E660" s="287" t="str">
        <f t="shared" si="36"/>
        <v>WS-40</v>
      </c>
      <c r="F660" s="3">
        <f>IF(E660="", "", VLOOKUP(B660, 'S08 ABC Output'!$A$3:$C$18, 3, 0))</f>
        <v>54682</v>
      </c>
      <c r="I660" s="288"/>
      <c r="J660" s="288" t="str">
        <f>J613</f>
        <v>WS-01</v>
      </c>
      <c r="K660" s="288" t="str">
        <f t="shared" ref="K660:BA660" si="37">K613</f>
        <v>WS-02</v>
      </c>
      <c r="L660" s="288" t="str">
        <f t="shared" si="37"/>
        <v>WS-03</v>
      </c>
      <c r="M660" s="288" t="str">
        <f t="shared" si="37"/>
        <v>WS-04</v>
      </c>
      <c r="N660" s="288" t="str">
        <f t="shared" si="37"/>
        <v>WS-05</v>
      </c>
      <c r="O660" s="288" t="str">
        <f t="shared" si="37"/>
        <v>WS-06</v>
      </c>
      <c r="P660" s="288" t="str">
        <f t="shared" si="37"/>
        <v>WS-07</v>
      </c>
      <c r="Q660" s="288" t="str">
        <f t="shared" si="37"/>
        <v>WS-08</v>
      </c>
      <c r="R660" s="288" t="str">
        <f t="shared" si="37"/>
        <v>WS-09</v>
      </c>
      <c r="S660" s="288" t="str">
        <f t="shared" si="37"/>
        <v>WS-10</v>
      </c>
      <c r="T660" s="288" t="str">
        <f t="shared" si="37"/>
        <v>WS-11</v>
      </c>
      <c r="U660" s="288" t="str">
        <f t="shared" si="37"/>
        <v>WS-12</v>
      </c>
      <c r="V660" s="288" t="str">
        <f t="shared" si="37"/>
        <v>WS-13</v>
      </c>
      <c r="W660" s="288" t="str">
        <f t="shared" si="37"/>
        <v>WS-14</v>
      </c>
      <c r="X660" s="288" t="str">
        <f t="shared" si="37"/>
        <v>WS-15</v>
      </c>
      <c r="Y660" s="288" t="str">
        <f t="shared" si="37"/>
        <v>WS-16</v>
      </c>
      <c r="Z660" s="288" t="str">
        <f t="shared" si="37"/>
        <v>WS-17</v>
      </c>
      <c r="AA660" s="288" t="str">
        <f t="shared" si="37"/>
        <v>WS-18</v>
      </c>
      <c r="AB660" s="288" t="str">
        <f t="shared" si="37"/>
        <v>WS-19</v>
      </c>
      <c r="AC660" s="288" t="str">
        <f t="shared" si="37"/>
        <v>WS-20</v>
      </c>
      <c r="AD660" s="288" t="str">
        <f t="shared" si="37"/>
        <v>WS-21</v>
      </c>
      <c r="AE660" s="288" t="str">
        <f t="shared" si="37"/>
        <v>WS-22</v>
      </c>
      <c r="AF660" s="288" t="str">
        <f t="shared" si="37"/>
        <v>WS-23</v>
      </c>
      <c r="AG660" s="288" t="str">
        <f t="shared" si="37"/>
        <v>WS-24</v>
      </c>
      <c r="AH660" s="288" t="str">
        <f t="shared" si="37"/>
        <v>WS-25</v>
      </c>
      <c r="AI660" s="288" t="str">
        <f t="shared" si="37"/>
        <v>WS-26</v>
      </c>
      <c r="AJ660" s="288" t="str">
        <f t="shared" si="37"/>
        <v>WS-27</v>
      </c>
      <c r="AK660" s="288" t="str">
        <f t="shared" si="37"/>
        <v>WS-28</v>
      </c>
      <c r="AL660" s="288" t="str">
        <f t="shared" si="37"/>
        <v>WS-29</v>
      </c>
      <c r="AM660" s="288" t="str">
        <f t="shared" si="37"/>
        <v>WS-30</v>
      </c>
      <c r="AN660" s="288" t="str">
        <f t="shared" si="37"/>
        <v>WS-31</v>
      </c>
      <c r="AO660" s="288" t="str">
        <f t="shared" si="37"/>
        <v>WS-32</v>
      </c>
      <c r="AP660" s="288" t="str">
        <f t="shared" si="37"/>
        <v>WS-33</v>
      </c>
      <c r="AQ660" s="288" t="str">
        <f t="shared" si="37"/>
        <v>WS-34</v>
      </c>
      <c r="AR660" s="288" t="str">
        <f t="shared" si="37"/>
        <v>WS-35</v>
      </c>
      <c r="AS660" s="288" t="str">
        <f t="shared" si="37"/>
        <v>WS-36</v>
      </c>
      <c r="AT660" s="288" t="str">
        <f t="shared" si="37"/>
        <v>WS-37</v>
      </c>
      <c r="AU660" s="288" t="str">
        <f t="shared" si="37"/>
        <v>WS-38</v>
      </c>
      <c r="AV660" s="288" t="str">
        <f t="shared" si="37"/>
        <v>WS-39</v>
      </c>
      <c r="AW660" s="288" t="str">
        <f t="shared" si="37"/>
        <v>WS-40</v>
      </c>
      <c r="AX660" s="288" t="str">
        <f t="shared" si="37"/>
        <v>WS-41</v>
      </c>
      <c r="AY660" s="288" t="str">
        <f t="shared" si="37"/>
        <v>WS-42</v>
      </c>
      <c r="AZ660" s="288" t="str">
        <f t="shared" si="37"/>
        <v>WS-43</v>
      </c>
      <c r="BA660" s="288" t="str">
        <f t="shared" si="37"/>
        <v>WS-44</v>
      </c>
    </row>
    <row r="661" spans="1:53" ht="17">
      <c r="A661" s="3">
        <v>15</v>
      </c>
      <c r="B661" s="196" t="str">
        <f>IFERROR(INDEX('S15 Routing Clustered'!$A$3:$A$18, A661), "")</f>
        <v>I-053</v>
      </c>
      <c r="C661" s="3">
        <v>20</v>
      </c>
      <c r="D661" s="287" t="str">
        <f>IFERROR(HLOOKUP(C661, 'S15 Routing Clustered'!$B$2:$I$18,A661+1, 0), "")</f>
        <v>WS-40</v>
      </c>
      <c r="E661" s="287" t="str">
        <f t="shared" si="36"/>
        <v>WS-04</v>
      </c>
      <c r="F661" s="3">
        <f>IF(E661="", "", VLOOKUP(B661, 'S08 ABC Output'!$A$3:$C$18, 3, 0))</f>
        <v>54682</v>
      </c>
      <c r="I661" s="288" t="str">
        <f>I614</f>
        <v>WS-01</v>
      </c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</row>
    <row r="662" spans="1:53" ht="17">
      <c r="A662" s="3">
        <v>15</v>
      </c>
      <c r="B662" s="196" t="str">
        <f>IFERROR(INDEX('S15 Routing Clustered'!$A$3:$A$18, A662), "")</f>
        <v>I-053</v>
      </c>
      <c r="C662" s="3">
        <v>30</v>
      </c>
      <c r="D662" s="287" t="str">
        <f>IFERROR(HLOOKUP(C662, 'S15 Routing Clustered'!$B$2:$I$18,A662+1, 0), "")</f>
        <v>WS-04</v>
      </c>
      <c r="E662" s="287" t="str">
        <f t="shared" si="36"/>
        <v>WS-03</v>
      </c>
      <c r="F662" s="3">
        <f>IF(E662="", "", VLOOKUP(B662, 'S08 ABC Output'!$A$3:$C$18, 3, 0))</f>
        <v>54682</v>
      </c>
      <c r="I662" s="288" t="str">
        <f t="shared" ref="I662:I704" si="38">I615</f>
        <v>WS-02</v>
      </c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</row>
    <row r="663" spans="1:53" ht="17">
      <c r="A663" s="3">
        <v>15</v>
      </c>
      <c r="B663" s="196" t="str">
        <f>IFERROR(INDEX('S15 Routing Clustered'!$A$3:$A$18, A663), "")</f>
        <v>I-053</v>
      </c>
      <c r="C663" s="3">
        <v>40</v>
      </c>
      <c r="D663" s="287" t="str">
        <f>IFERROR(HLOOKUP(C663, 'S15 Routing Clustered'!$B$2:$I$18,A663+1, 0), "")</f>
        <v>WS-03</v>
      </c>
      <c r="E663" s="287" t="str">
        <f t="shared" si="36"/>
        <v>WS-23</v>
      </c>
      <c r="F663" s="3">
        <f>IF(E663="", "", VLOOKUP(B663, 'S08 ABC Output'!$A$3:$C$18, 3, 0))</f>
        <v>54682</v>
      </c>
      <c r="I663" s="288" t="str">
        <f t="shared" si="38"/>
        <v>WS-03</v>
      </c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>
        <v>54682</v>
      </c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</row>
    <row r="664" spans="1:53" ht="17">
      <c r="A664" s="3">
        <v>15</v>
      </c>
      <c r="B664" s="196" t="str">
        <f>IFERROR(INDEX('S15 Routing Clustered'!$A$3:$A$18, A664), "")</f>
        <v>I-053</v>
      </c>
      <c r="C664" s="3">
        <v>50</v>
      </c>
      <c r="D664" s="287" t="str">
        <f>IFERROR(HLOOKUP(C664, 'S15 Routing Clustered'!$B$2:$I$18,A664+1, 0), "")</f>
        <v>WS-23</v>
      </c>
      <c r="E664" s="287" t="str">
        <f t="shared" si="36"/>
        <v>WS-31</v>
      </c>
      <c r="F664" s="3">
        <f>IF(E664="", "", VLOOKUP(B664, 'S08 ABC Output'!$A$3:$C$18, 3, 0))</f>
        <v>54682</v>
      </c>
      <c r="I664" s="288" t="str">
        <f t="shared" si="38"/>
        <v>WS-04</v>
      </c>
      <c r="J664" s="3"/>
      <c r="K664" s="3"/>
      <c r="L664" s="3">
        <v>54682</v>
      </c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</row>
    <row r="665" spans="1:53" ht="17">
      <c r="A665" s="3">
        <v>15</v>
      </c>
      <c r="B665" s="196" t="str">
        <f>IFERROR(INDEX('S15 Routing Clustered'!$A$3:$A$18, A665), "")</f>
        <v>I-053</v>
      </c>
      <c r="C665" s="3">
        <v>60</v>
      </c>
      <c r="D665" s="287" t="str">
        <f>IFERROR(HLOOKUP(C665, 'S15 Routing Clustered'!$B$2:$I$18,A665+1, 0), "")</f>
        <v>WS-31</v>
      </c>
      <c r="E665" s="287" t="str">
        <f t="shared" si="36"/>
        <v>WS-32</v>
      </c>
      <c r="F665" s="3">
        <f>IF(E665="", "", VLOOKUP(B665, 'S08 ABC Output'!$A$3:$C$18, 3, 0))</f>
        <v>54682</v>
      </c>
      <c r="I665" s="288" t="str">
        <f t="shared" si="38"/>
        <v>WS-05</v>
      </c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</row>
    <row r="666" spans="1:53" ht="17">
      <c r="A666" s="3">
        <v>15</v>
      </c>
      <c r="B666" s="196" t="str">
        <f>IFERROR(INDEX('S15 Routing Clustered'!$A$3:$A$18, A666), "")</f>
        <v>I-053</v>
      </c>
      <c r="C666" s="3">
        <v>70</v>
      </c>
      <c r="D666" s="287" t="str">
        <f>IFERROR(HLOOKUP(C666, 'S15 Routing Clustered'!$B$2:$I$18,A666+1, 0), "")</f>
        <v>WS-32</v>
      </c>
      <c r="E666" s="287" t="str">
        <f t="shared" si="36"/>
        <v>WS-44</v>
      </c>
      <c r="F666" s="3">
        <f>IF(E666="", "", VLOOKUP(B666, 'S08 ABC Output'!$A$3:$C$18, 3, 0))</f>
        <v>54682</v>
      </c>
      <c r="I666" s="288" t="str">
        <f t="shared" si="38"/>
        <v>WS-06</v>
      </c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</row>
    <row r="667" spans="1:53" ht="17">
      <c r="A667" s="3">
        <v>15</v>
      </c>
      <c r="B667" s="196" t="str">
        <f>IFERROR(INDEX('S15 Routing Clustered'!$A$3:$A$18, A667), "")</f>
        <v>I-053</v>
      </c>
      <c r="C667" s="3">
        <v>80</v>
      </c>
      <c r="D667" s="287" t="str">
        <f>IFERROR(HLOOKUP(C667, 'S15 Routing Clustered'!$B$2:$I$18,A667+1, 0), "")</f>
        <v>WS-44</v>
      </c>
      <c r="E667" s="287" t="str">
        <f t="shared" si="36"/>
        <v/>
      </c>
      <c r="F667" s="3" t="str">
        <f>IF(E667="", "", VLOOKUP(B667, 'S08 ABC Output'!$A$3:$C$18, 3, 0))</f>
        <v/>
      </c>
      <c r="I667" s="288" t="str">
        <f t="shared" si="38"/>
        <v>WS-07</v>
      </c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</row>
    <row r="668" spans="1:53" ht="17">
      <c r="A668" s="3">
        <v>15</v>
      </c>
      <c r="B668" s="196" t="str">
        <f>IFERROR(INDEX('S15 Routing Clustered'!$A$3:$A$18, A668), "")</f>
        <v>I-053</v>
      </c>
      <c r="C668" s="3">
        <v>90</v>
      </c>
      <c r="D668" s="287" t="str">
        <f>IFERROR(HLOOKUP(C668, 'S15 Routing Clustered'!$B$2:$I$18,A668+1, 0), "")</f>
        <v/>
      </c>
      <c r="E668" s="287" t="str">
        <f t="shared" si="36"/>
        <v/>
      </c>
      <c r="F668" s="3" t="str">
        <f>IF(E668="", "", VLOOKUP(B668, 'S08 ABC Output'!$A$3:$C$18, 3, 0))</f>
        <v/>
      </c>
      <c r="I668" s="288" t="str">
        <f t="shared" si="38"/>
        <v>WS-08</v>
      </c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</row>
    <row r="669" spans="1:53" ht="17">
      <c r="A669" s="3">
        <v>15</v>
      </c>
      <c r="B669" s="196" t="str">
        <f>IFERROR(INDEX('S15 Routing Clustered'!$A$3:$A$18, A669), "")</f>
        <v>I-053</v>
      </c>
      <c r="C669" s="3">
        <v>100</v>
      </c>
      <c r="D669" s="287" t="str">
        <f>IFERROR(HLOOKUP(C669, 'S15 Routing Clustered'!$B$2:$I$18,A669+1, 0), "")</f>
        <v/>
      </c>
      <c r="E669" s="287" t="str">
        <f t="shared" si="36"/>
        <v/>
      </c>
      <c r="F669" s="3" t="str">
        <f>IF(E669="", "", VLOOKUP(B669, 'S08 ABC Output'!$A$3:$C$18, 3, 0))</f>
        <v/>
      </c>
      <c r="I669" s="288" t="str">
        <f t="shared" si="38"/>
        <v>WS-09</v>
      </c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</row>
    <row r="670" spans="1:53" ht="17">
      <c r="A670" s="3">
        <v>15</v>
      </c>
      <c r="B670" s="196" t="str">
        <f>IFERROR(INDEX('S15 Routing Clustered'!$A$3:$A$18, A670), "")</f>
        <v>I-053</v>
      </c>
      <c r="C670" s="3">
        <v>110</v>
      </c>
      <c r="D670" s="287" t="str">
        <f>IFERROR(HLOOKUP(C670, 'S15 Routing Clustered'!$B$2:$I$18,A670+1, 0), "")</f>
        <v/>
      </c>
      <c r="E670" s="287" t="str">
        <f t="shared" si="36"/>
        <v/>
      </c>
      <c r="F670" s="3" t="str">
        <f>IF(E670="", "", VLOOKUP(B670, 'S08 ABC Output'!$A$3:$C$18, 3, 0))</f>
        <v/>
      </c>
      <c r="I670" s="288" t="str">
        <f t="shared" si="38"/>
        <v>WS-10</v>
      </c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</row>
    <row r="671" spans="1:53" ht="17">
      <c r="A671" s="3">
        <v>15</v>
      </c>
      <c r="B671" s="196" t="str">
        <f>IFERROR(INDEX('S15 Routing Clustered'!$A$3:$A$18, A671), "")</f>
        <v>I-053</v>
      </c>
      <c r="C671" s="3">
        <v>120</v>
      </c>
      <c r="D671" s="287" t="str">
        <f>IFERROR(HLOOKUP(C671, 'S15 Routing Clustered'!$B$2:$I$18,A671+1, 0), "")</f>
        <v/>
      </c>
      <c r="E671" s="287" t="str">
        <f t="shared" si="36"/>
        <v/>
      </c>
      <c r="F671" s="3" t="str">
        <f>IF(E671="", "", VLOOKUP(B671, 'S08 ABC Output'!$A$3:$C$18, 3, 0))</f>
        <v/>
      </c>
      <c r="I671" s="288" t="str">
        <f t="shared" si="38"/>
        <v>WS-11</v>
      </c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</row>
    <row r="672" spans="1:53" ht="17">
      <c r="A672" s="3">
        <v>15</v>
      </c>
      <c r="B672" s="196" t="str">
        <f>IFERROR(INDEX('S15 Routing Clustered'!$A$3:$A$18, A672), "")</f>
        <v>I-053</v>
      </c>
      <c r="C672" s="3">
        <v>130</v>
      </c>
      <c r="D672" s="287" t="str">
        <f>IFERROR(HLOOKUP(C672, 'S15 Routing Clustered'!$B$2:$I$18,A672+1, 0), "")</f>
        <v/>
      </c>
      <c r="E672" s="287" t="str">
        <f t="shared" si="36"/>
        <v/>
      </c>
      <c r="F672" s="3" t="str">
        <f>IF(E672="", "", VLOOKUP(B672, 'S08 ABC Output'!$A$3:$C$18, 3, 0))</f>
        <v/>
      </c>
      <c r="I672" s="288" t="str">
        <f t="shared" si="38"/>
        <v>WS-12</v>
      </c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</row>
    <row r="673" spans="1:53" ht="17">
      <c r="A673" s="3">
        <v>15</v>
      </c>
      <c r="B673" s="196" t="str">
        <f>IFERROR(INDEX('S15 Routing Clustered'!$A$3:$A$18, A673), "")</f>
        <v>I-053</v>
      </c>
      <c r="C673" s="3">
        <v>140</v>
      </c>
      <c r="D673" s="287" t="str">
        <f>IFERROR(HLOOKUP(C673, 'S15 Routing Clustered'!$B$2:$I$18,A673+1, 0), "")</f>
        <v/>
      </c>
      <c r="E673" s="287" t="str">
        <f t="shared" si="36"/>
        <v/>
      </c>
      <c r="F673" s="3" t="str">
        <f>IF(E673="", "", VLOOKUP(B673, 'S08 ABC Output'!$A$3:$C$18, 3, 0))</f>
        <v/>
      </c>
      <c r="I673" s="288" t="str">
        <f t="shared" si="38"/>
        <v>WS-13</v>
      </c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</row>
    <row r="674" spans="1:53" ht="17">
      <c r="A674" s="3">
        <v>15</v>
      </c>
      <c r="B674" s="196" t="str">
        <f>IFERROR(INDEX('S15 Routing Clustered'!$A$3:$A$18, A674), "")</f>
        <v>I-053</v>
      </c>
      <c r="C674" s="3">
        <v>150</v>
      </c>
      <c r="D674" s="287" t="str">
        <f>IFERROR(HLOOKUP(C674, 'S15 Routing Clustered'!$B$2:$I$18,A674+1, 0), "")</f>
        <v/>
      </c>
      <c r="E674" s="287" t="str">
        <f t="shared" si="36"/>
        <v/>
      </c>
      <c r="F674" s="3" t="str">
        <f>IF(E674="", "", VLOOKUP(B674, 'S08 ABC Output'!$A$3:$C$18, 3, 0))</f>
        <v/>
      </c>
      <c r="I674" s="288" t="str">
        <f t="shared" si="38"/>
        <v>WS-14</v>
      </c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</row>
    <row r="675" spans="1:53" ht="17">
      <c r="A675" s="3">
        <v>15</v>
      </c>
      <c r="B675" s="196" t="str">
        <f>IFERROR(INDEX('S15 Routing Clustered'!$A$3:$A$18, A675), "")</f>
        <v>I-053</v>
      </c>
      <c r="C675" s="3">
        <v>160</v>
      </c>
      <c r="D675" s="287" t="str">
        <f>IFERROR(HLOOKUP(C675, 'S15 Routing Clustered'!$B$2:$I$18,A675+1, 0), "")</f>
        <v/>
      </c>
      <c r="E675" s="287" t="str">
        <f t="shared" si="36"/>
        <v/>
      </c>
      <c r="F675" s="3" t="str">
        <f>IF(E675="", "", VLOOKUP(B675, 'S08 ABC Output'!$A$3:$C$18, 3, 0))</f>
        <v/>
      </c>
      <c r="I675" s="288" t="str">
        <f t="shared" si="38"/>
        <v>WS-15</v>
      </c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</row>
    <row r="676" spans="1:53" ht="17">
      <c r="A676" s="3">
        <v>15</v>
      </c>
      <c r="B676" s="196" t="str">
        <f>IFERROR(INDEX('S15 Routing Clustered'!$A$3:$A$18, A676), "")</f>
        <v>I-053</v>
      </c>
      <c r="C676" s="3">
        <v>170</v>
      </c>
      <c r="D676" s="287" t="str">
        <f>IFERROR(HLOOKUP(C676, 'S15 Routing Clustered'!$B$2:$I$18,A676+1, 0), "")</f>
        <v/>
      </c>
      <c r="E676" s="287" t="str">
        <f t="shared" si="36"/>
        <v/>
      </c>
      <c r="F676" s="3" t="str">
        <f>IF(E676="", "", VLOOKUP(B676, 'S08 ABC Output'!$A$3:$C$18, 3, 0))</f>
        <v/>
      </c>
      <c r="I676" s="288" t="str">
        <f t="shared" si="38"/>
        <v>WS-16</v>
      </c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</row>
    <row r="677" spans="1:53" ht="17">
      <c r="A677" s="3">
        <v>15</v>
      </c>
      <c r="B677" s="196" t="str">
        <f>IFERROR(INDEX('S15 Routing Clustered'!$A$3:$A$18, A677), "")</f>
        <v>I-053</v>
      </c>
      <c r="C677" s="3">
        <v>180</v>
      </c>
      <c r="D677" s="287" t="str">
        <f>IFERROR(HLOOKUP(C677, 'S15 Routing Clustered'!$B$2:$I$18,A677+1, 0), "")</f>
        <v/>
      </c>
      <c r="E677" s="287" t="str">
        <f t="shared" si="36"/>
        <v/>
      </c>
      <c r="F677" s="3" t="str">
        <f>IF(E677="", "", VLOOKUP(B677, 'S08 ABC Output'!$A$3:$C$18, 3, 0))</f>
        <v/>
      </c>
      <c r="I677" s="288" t="str">
        <f t="shared" si="38"/>
        <v>WS-17</v>
      </c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</row>
    <row r="678" spans="1:53" ht="17">
      <c r="A678" s="3">
        <v>15</v>
      </c>
      <c r="B678" s="196" t="str">
        <f>IFERROR(INDEX('S15 Routing Clustered'!$A$3:$A$18, A678), "")</f>
        <v>I-053</v>
      </c>
      <c r="C678" s="3">
        <v>190</v>
      </c>
      <c r="D678" s="287" t="str">
        <f>IFERROR(HLOOKUP(C678, 'S15 Routing Clustered'!$B$2:$I$18,A678+1, 0), "")</f>
        <v/>
      </c>
      <c r="E678" s="287" t="str">
        <f t="shared" si="36"/>
        <v/>
      </c>
      <c r="F678" s="3" t="str">
        <f>IF(E678="", "", VLOOKUP(B678, 'S08 ABC Output'!$A$3:$C$18, 3, 0))</f>
        <v/>
      </c>
      <c r="I678" s="288" t="str">
        <f t="shared" si="38"/>
        <v>WS-18</v>
      </c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</row>
    <row r="679" spans="1:53" ht="17">
      <c r="A679" s="3">
        <v>15</v>
      </c>
      <c r="B679" s="196" t="str">
        <f>IFERROR(INDEX('S15 Routing Clustered'!$A$3:$A$18, A679), "")</f>
        <v>I-053</v>
      </c>
      <c r="C679" s="3">
        <v>200</v>
      </c>
      <c r="D679" s="287" t="str">
        <f>IFERROR(HLOOKUP(C679, 'S15 Routing Clustered'!$B$2:$I$18,A679+1, 0), "")</f>
        <v/>
      </c>
      <c r="E679" s="287" t="str">
        <f t="shared" si="36"/>
        <v/>
      </c>
      <c r="F679" s="3" t="str">
        <f>IF(E679="", "", VLOOKUP(B679, 'S08 ABC Output'!$A$3:$C$18, 3, 0))</f>
        <v/>
      </c>
      <c r="I679" s="288" t="str">
        <f t="shared" si="38"/>
        <v>WS-19</v>
      </c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</row>
    <row r="680" spans="1:53" ht="17">
      <c r="A680" s="3">
        <v>15</v>
      </c>
      <c r="B680" s="196" t="str">
        <f>IFERROR(INDEX('S15 Routing Clustered'!$A$3:$A$18, A680), "")</f>
        <v>I-053</v>
      </c>
      <c r="C680" s="3">
        <v>210</v>
      </c>
      <c r="D680" s="287" t="str">
        <f>IFERROR(HLOOKUP(C680, 'S15 Routing Clustered'!$B$2:$I$18,A680+1, 0), "")</f>
        <v/>
      </c>
      <c r="E680" s="287" t="str">
        <f t="shared" si="36"/>
        <v/>
      </c>
      <c r="F680" s="3" t="str">
        <f>IF(E680="", "", VLOOKUP(B680, 'S08 ABC Output'!$A$3:$C$18, 3, 0))</f>
        <v/>
      </c>
      <c r="I680" s="288" t="str">
        <f t="shared" si="38"/>
        <v>WS-20</v>
      </c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</row>
    <row r="681" spans="1:53" ht="17">
      <c r="A681" s="3">
        <v>15</v>
      </c>
      <c r="B681" s="196" t="str">
        <f>IFERROR(INDEX('S15 Routing Clustered'!$A$3:$A$18, A681), "")</f>
        <v>I-053</v>
      </c>
      <c r="C681" s="3">
        <v>220</v>
      </c>
      <c r="D681" s="287" t="str">
        <f>IFERROR(HLOOKUP(C681, 'S15 Routing Clustered'!$B$2:$I$18,A681+1, 0), "")</f>
        <v/>
      </c>
      <c r="E681" s="287" t="str">
        <f t="shared" si="36"/>
        <v/>
      </c>
      <c r="F681" s="3" t="str">
        <f>IF(E681="", "", VLOOKUP(B681, 'S08 ABC Output'!$A$3:$C$18, 3, 0))</f>
        <v/>
      </c>
      <c r="I681" s="288" t="str">
        <f t="shared" si="38"/>
        <v>WS-21</v>
      </c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</row>
    <row r="682" spans="1:53" ht="17">
      <c r="A682" s="3">
        <v>15</v>
      </c>
      <c r="B682" s="196" t="str">
        <f>IFERROR(INDEX('S15 Routing Clustered'!$A$3:$A$18, A682), "")</f>
        <v>I-053</v>
      </c>
      <c r="C682" s="3">
        <v>230</v>
      </c>
      <c r="D682" s="287" t="str">
        <f>IFERROR(HLOOKUP(C682, 'S15 Routing Clustered'!$B$2:$I$18,A682+1, 0), "")</f>
        <v/>
      </c>
      <c r="E682" s="287" t="str">
        <f t="shared" si="36"/>
        <v/>
      </c>
      <c r="F682" s="3" t="str">
        <f>IF(E682="", "", VLOOKUP(B682, 'S08 ABC Output'!$A$3:$C$18, 3, 0))</f>
        <v/>
      </c>
      <c r="I682" s="288" t="str">
        <f t="shared" si="38"/>
        <v>WS-22</v>
      </c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</row>
    <row r="683" spans="1:53" ht="17">
      <c r="A683" s="3">
        <v>15</v>
      </c>
      <c r="B683" s="196" t="str">
        <f>IFERROR(INDEX('S15 Routing Clustered'!$A$3:$A$18, A683), "")</f>
        <v>I-053</v>
      </c>
      <c r="C683" s="3">
        <v>240</v>
      </c>
      <c r="D683" s="287" t="str">
        <f>IFERROR(HLOOKUP(C683, 'S15 Routing Clustered'!$B$2:$I$18,A683+1, 0), "")</f>
        <v/>
      </c>
      <c r="E683" s="287" t="str">
        <f t="shared" si="36"/>
        <v/>
      </c>
      <c r="F683" s="3" t="str">
        <f>IF(E683="", "", VLOOKUP(B683, 'S08 ABC Output'!$A$3:$C$18, 3, 0))</f>
        <v/>
      </c>
      <c r="I683" s="288" t="str">
        <f t="shared" si="38"/>
        <v>WS-23</v>
      </c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>
        <v>54682</v>
      </c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</row>
    <row r="684" spans="1:53" ht="17">
      <c r="A684" s="3">
        <v>15</v>
      </c>
      <c r="B684" s="196" t="str">
        <f>IFERROR(INDEX('S15 Routing Clustered'!$A$3:$A$18, A684), "")</f>
        <v>I-053</v>
      </c>
      <c r="C684" s="3">
        <v>250</v>
      </c>
      <c r="D684" s="287" t="str">
        <f>IFERROR(HLOOKUP(C684, 'S15 Routing Clustered'!$B$2:$I$18,A684+1, 0), "")</f>
        <v/>
      </c>
      <c r="E684" s="287" t="str">
        <f t="shared" si="36"/>
        <v/>
      </c>
      <c r="F684" s="3" t="str">
        <f>IF(E684="", "", VLOOKUP(B684, 'S08 ABC Output'!$A$3:$C$18, 3, 0))</f>
        <v/>
      </c>
      <c r="I684" s="288" t="str">
        <f t="shared" si="38"/>
        <v>WS-24</v>
      </c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</row>
    <row r="685" spans="1:53" ht="17">
      <c r="A685" s="3">
        <v>15</v>
      </c>
      <c r="B685" s="196" t="str">
        <f>IFERROR(INDEX('S15 Routing Clustered'!$A$3:$A$18, A685), "")</f>
        <v>I-053</v>
      </c>
      <c r="C685" s="3">
        <v>260</v>
      </c>
      <c r="D685" s="287" t="str">
        <f>IFERROR(HLOOKUP(C685, 'S15 Routing Clustered'!$B$2:$I$18,A685+1, 0), "")</f>
        <v/>
      </c>
      <c r="E685" s="287" t="str">
        <f t="shared" si="36"/>
        <v/>
      </c>
      <c r="F685" s="3" t="str">
        <f>IF(E685="", "", VLOOKUP(B685, 'S08 ABC Output'!$A$3:$C$18, 3, 0))</f>
        <v/>
      </c>
      <c r="I685" s="288" t="str">
        <f t="shared" si="38"/>
        <v>WS-25</v>
      </c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</row>
    <row r="686" spans="1:53" ht="17">
      <c r="A686" s="3">
        <v>15</v>
      </c>
      <c r="B686" s="196" t="str">
        <f>IFERROR(INDEX('S15 Routing Clustered'!$A$3:$A$18, A686), "")</f>
        <v>I-053</v>
      </c>
      <c r="C686" s="3">
        <v>270</v>
      </c>
      <c r="D686" s="287" t="str">
        <f>IFERROR(HLOOKUP(C686, 'S15 Routing Clustered'!$B$2:$I$18,A686+1, 0), "")</f>
        <v/>
      </c>
      <c r="E686" s="287" t="str">
        <f t="shared" si="36"/>
        <v/>
      </c>
      <c r="F686" s="3" t="str">
        <f>IF(E686="", "", VLOOKUP(B686, 'S08 ABC Output'!$A$3:$C$18, 3, 0))</f>
        <v/>
      </c>
      <c r="I686" s="288" t="str">
        <f t="shared" si="38"/>
        <v>WS-26</v>
      </c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</row>
    <row r="687" spans="1:53" ht="17">
      <c r="A687" s="3">
        <v>15</v>
      </c>
      <c r="B687" s="196" t="str">
        <f>IFERROR(INDEX('S15 Routing Clustered'!$A$3:$A$18, A687), "")</f>
        <v>I-053</v>
      </c>
      <c r="C687" s="3">
        <v>280</v>
      </c>
      <c r="D687" s="287" t="str">
        <f>IFERROR(HLOOKUP(C687, 'S15 Routing Clustered'!$B$2:$I$18,A687+1, 0), "")</f>
        <v/>
      </c>
      <c r="E687" s="287" t="str">
        <f t="shared" si="36"/>
        <v/>
      </c>
      <c r="F687" s="3" t="str">
        <f>IF(E687="", "", VLOOKUP(B687, 'S08 ABC Output'!$A$3:$C$18, 3, 0))</f>
        <v/>
      </c>
      <c r="I687" s="288" t="str">
        <f t="shared" si="38"/>
        <v>WS-27</v>
      </c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</row>
    <row r="688" spans="1:53" ht="17">
      <c r="A688" s="3">
        <v>15</v>
      </c>
      <c r="B688" s="196" t="str">
        <f>IFERROR(INDEX('S15 Routing Clustered'!$A$3:$A$18, A688), "")</f>
        <v>I-053</v>
      </c>
      <c r="C688" s="3">
        <v>290</v>
      </c>
      <c r="D688" s="287" t="str">
        <f>IFERROR(HLOOKUP(C688, 'S15 Routing Clustered'!$B$2:$I$18,A688+1, 0), "")</f>
        <v/>
      </c>
      <c r="E688" s="287" t="str">
        <f t="shared" si="36"/>
        <v/>
      </c>
      <c r="F688" s="3" t="str">
        <f>IF(E688="", "", VLOOKUP(B688, 'S08 ABC Output'!$A$3:$C$18, 3, 0))</f>
        <v/>
      </c>
      <c r="I688" s="288" t="str">
        <f t="shared" si="38"/>
        <v>WS-28</v>
      </c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</row>
    <row r="689" spans="1:53" ht="17">
      <c r="A689" s="3">
        <v>15</v>
      </c>
      <c r="B689" s="196" t="str">
        <f>IFERROR(INDEX('S15 Routing Clustered'!$A$3:$A$18, A689), "")</f>
        <v>I-053</v>
      </c>
      <c r="C689" s="3">
        <v>300</v>
      </c>
      <c r="D689" s="287" t="str">
        <f>IFERROR(HLOOKUP(C689, 'S15 Routing Clustered'!$B$2:$I$18,A689+1, 0), "")</f>
        <v/>
      </c>
      <c r="E689" s="287" t="str">
        <f t="shared" si="36"/>
        <v/>
      </c>
      <c r="F689" s="3" t="str">
        <f>IF(E689="", "", VLOOKUP(B689, 'S08 ABC Output'!$A$3:$C$18, 3, 0))</f>
        <v/>
      </c>
      <c r="I689" s="288" t="str">
        <f t="shared" si="38"/>
        <v>WS-29</v>
      </c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</row>
    <row r="690" spans="1:53" ht="17">
      <c r="A690" s="3">
        <v>15</v>
      </c>
      <c r="B690" s="196" t="str">
        <f>IFERROR(INDEX('S15 Routing Clustered'!$A$3:$A$18, A690), "")</f>
        <v>I-053</v>
      </c>
      <c r="C690" s="3">
        <v>310</v>
      </c>
      <c r="D690" s="287" t="str">
        <f>IFERROR(HLOOKUP(C690, 'S15 Routing Clustered'!$B$2:$I$18,A690+1, 0), "")</f>
        <v/>
      </c>
      <c r="E690" s="287" t="str">
        <f t="shared" si="36"/>
        <v/>
      </c>
      <c r="F690" s="3" t="str">
        <f>IF(E690="", "", VLOOKUP(B690, 'S08 ABC Output'!$A$3:$C$18, 3, 0))</f>
        <v/>
      </c>
      <c r="I690" s="288" t="str">
        <f t="shared" si="38"/>
        <v>WS-30</v>
      </c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</row>
    <row r="691" spans="1:53" ht="17">
      <c r="A691" s="3">
        <v>15</v>
      </c>
      <c r="B691" s="196" t="str">
        <f>IFERROR(INDEX('S15 Routing Clustered'!$A$3:$A$18, A691), "")</f>
        <v>I-053</v>
      </c>
      <c r="C691" s="3">
        <v>320</v>
      </c>
      <c r="D691" s="287" t="str">
        <f>IFERROR(HLOOKUP(C691, 'S15 Routing Clustered'!$B$2:$I$18,A691+1, 0), "")</f>
        <v/>
      </c>
      <c r="E691" s="287" t="str">
        <f t="shared" si="36"/>
        <v/>
      </c>
      <c r="F691" s="3" t="str">
        <f>IF(E691="", "", VLOOKUP(B691, 'S08 ABC Output'!$A$3:$C$18, 3, 0))</f>
        <v/>
      </c>
      <c r="I691" s="288" t="str">
        <f t="shared" si="38"/>
        <v>WS-31</v>
      </c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>
        <v>54682</v>
      </c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</row>
    <row r="692" spans="1:53" ht="17">
      <c r="A692" s="3">
        <v>15</v>
      </c>
      <c r="B692" s="196" t="str">
        <f>IFERROR(INDEX('S15 Routing Clustered'!$A$3:$A$18, A692), "")</f>
        <v>I-053</v>
      </c>
      <c r="C692" s="3">
        <v>330</v>
      </c>
      <c r="D692" s="287" t="str">
        <f>IFERROR(HLOOKUP(C692, 'S15 Routing Clustered'!$B$2:$I$18,A692+1, 0), "")</f>
        <v/>
      </c>
      <c r="E692" s="287" t="str">
        <f t="shared" si="36"/>
        <v/>
      </c>
      <c r="F692" s="3" t="str">
        <f>IF(E692="", "", VLOOKUP(B692, 'S08 ABC Output'!$A$3:$C$18, 3, 0))</f>
        <v/>
      </c>
      <c r="I692" s="288" t="str">
        <f t="shared" si="38"/>
        <v>WS-32</v>
      </c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>
        <v>54682</v>
      </c>
    </row>
    <row r="693" spans="1:53" ht="17">
      <c r="A693" s="3">
        <v>15</v>
      </c>
      <c r="B693" s="196" t="str">
        <f>IFERROR(INDEX('S15 Routing Clustered'!$A$3:$A$18, A693), "")</f>
        <v>I-053</v>
      </c>
      <c r="C693" s="3">
        <v>340</v>
      </c>
      <c r="D693" s="287" t="str">
        <f>IFERROR(HLOOKUP(C693, 'S15 Routing Clustered'!$B$2:$I$18,A693+1, 0), "")</f>
        <v/>
      </c>
      <c r="E693" s="287" t="str">
        <f t="shared" si="36"/>
        <v/>
      </c>
      <c r="F693" s="3" t="str">
        <f>IF(E693="", "", VLOOKUP(B693, 'S08 ABC Output'!$A$3:$C$18, 3, 0))</f>
        <v/>
      </c>
      <c r="I693" s="288" t="str">
        <f t="shared" si="38"/>
        <v>WS-33</v>
      </c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</row>
    <row r="694" spans="1:53" ht="17">
      <c r="A694" s="3">
        <v>15</v>
      </c>
      <c r="B694" s="196" t="str">
        <f>IFERROR(INDEX('S15 Routing Clustered'!$A$3:$A$18, A694), "")</f>
        <v>I-053</v>
      </c>
      <c r="C694" s="3">
        <v>350</v>
      </c>
      <c r="D694" s="287" t="str">
        <f>IFERROR(HLOOKUP(C694, 'S15 Routing Clustered'!$B$2:$I$18,A694+1, 0), "")</f>
        <v/>
      </c>
      <c r="E694" s="287" t="str">
        <f t="shared" si="36"/>
        <v/>
      </c>
      <c r="F694" s="3" t="str">
        <f>IF(E694="", "", VLOOKUP(B694, 'S08 ABC Output'!$A$3:$C$18, 3, 0))</f>
        <v/>
      </c>
      <c r="I694" s="288" t="str">
        <f t="shared" si="38"/>
        <v>WS-34</v>
      </c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</row>
    <row r="695" spans="1:53" ht="17">
      <c r="A695" s="3">
        <v>15</v>
      </c>
      <c r="B695" s="196" t="str">
        <f>IFERROR(INDEX('S15 Routing Clustered'!$A$3:$A$18, A695), "")</f>
        <v>I-053</v>
      </c>
      <c r="C695" s="3">
        <v>360</v>
      </c>
      <c r="D695" s="287" t="str">
        <f>IFERROR(HLOOKUP(C695, 'S15 Routing Clustered'!$B$2:$I$18,A695+1, 0), "")</f>
        <v/>
      </c>
      <c r="E695" s="287" t="str">
        <f t="shared" si="36"/>
        <v/>
      </c>
      <c r="F695" s="3" t="str">
        <f>IF(E695="", "", VLOOKUP(B695, 'S08 ABC Output'!$A$3:$C$18, 3, 0))</f>
        <v/>
      </c>
      <c r="I695" s="288" t="str">
        <f t="shared" si="38"/>
        <v>WS-35</v>
      </c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</row>
    <row r="696" spans="1:53" ht="17">
      <c r="A696" s="3">
        <v>15</v>
      </c>
      <c r="B696" s="196" t="str">
        <f>IFERROR(INDEX('S15 Routing Clustered'!$A$3:$A$18, A696), "")</f>
        <v>I-053</v>
      </c>
      <c r="C696" s="3">
        <v>370</v>
      </c>
      <c r="D696" s="287" t="str">
        <f>IFERROR(HLOOKUP(C696, 'S15 Routing Clustered'!$B$2:$I$18,A696+1, 0), "")</f>
        <v/>
      </c>
      <c r="E696" s="287" t="str">
        <f t="shared" si="36"/>
        <v/>
      </c>
      <c r="F696" s="3" t="str">
        <f>IF(E696="", "", VLOOKUP(B696, 'S08 ABC Output'!$A$3:$C$18, 3, 0))</f>
        <v/>
      </c>
      <c r="I696" s="288" t="str">
        <f t="shared" si="38"/>
        <v>WS-36</v>
      </c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</row>
    <row r="697" spans="1:53" ht="17">
      <c r="A697" s="3">
        <v>15</v>
      </c>
      <c r="B697" s="196" t="str">
        <f>IFERROR(INDEX('S15 Routing Clustered'!$A$3:$A$18, A697), "")</f>
        <v>I-053</v>
      </c>
      <c r="C697" s="3">
        <v>380</v>
      </c>
      <c r="D697" s="287" t="str">
        <f>IFERROR(HLOOKUP(C697, 'S15 Routing Clustered'!$B$2:$I$18,A697+1, 0), "")</f>
        <v/>
      </c>
      <c r="E697" s="287" t="str">
        <f t="shared" si="36"/>
        <v/>
      </c>
      <c r="F697" s="3" t="str">
        <f>IF(E697="", "", VLOOKUP(B697, 'S08 ABC Output'!$A$3:$C$18, 3, 0))</f>
        <v/>
      </c>
      <c r="I697" s="288" t="str">
        <f t="shared" si="38"/>
        <v>WS-37</v>
      </c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</row>
    <row r="698" spans="1:53" ht="17">
      <c r="A698" s="3">
        <v>15</v>
      </c>
      <c r="B698" s="196" t="str">
        <f>IFERROR(INDEX('S15 Routing Clustered'!$A$3:$A$18, A698), "")</f>
        <v>I-053</v>
      </c>
      <c r="C698" s="3">
        <v>390</v>
      </c>
      <c r="D698" s="287" t="str">
        <f>IFERROR(HLOOKUP(C698, 'S15 Routing Clustered'!$B$2:$I$18,A698+1, 0), "")</f>
        <v/>
      </c>
      <c r="E698" s="287" t="str">
        <f t="shared" si="36"/>
        <v/>
      </c>
      <c r="F698" s="3" t="str">
        <f>IF(E698="", "", VLOOKUP(B698, 'S08 ABC Output'!$A$3:$C$18, 3, 0))</f>
        <v/>
      </c>
      <c r="I698" s="288" t="str">
        <f t="shared" si="38"/>
        <v>WS-38</v>
      </c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</row>
    <row r="699" spans="1:53" ht="17">
      <c r="A699" s="3">
        <v>15</v>
      </c>
      <c r="B699" s="196" t="str">
        <f>IFERROR(INDEX('S15 Routing Clustered'!$A$3:$A$18, A699), "")</f>
        <v>I-053</v>
      </c>
      <c r="C699" s="3">
        <v>400</v>
      </c>
      <c r="D699" s="287" t="str">
        <f>IFERROR(HLOOKUP(C699, 'S15 Routing Clustered'!$B$2:$I$18,A699+1, 0), "")</f>
        <v/>
      </c>
      <c r="E699" s="287" t="str">
        <f t="shared" si="36"/>
        <v/>
      </c>
      <c r="F699" s="3" t="str">
        <f>IF(E699="", "", VLOOKUP(B699, 'S08 ABC Output'!$A$3:$C$18, 3, 0))</f>
        <v/>
      </c>
      <c r="I699" s="288" t="str">
        <f t="shared" si="38"/>
        <v>WS-39</v>
      </c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</row>
    <row r="700" spans="1:53" ht="17">
      <c r="A700" s="3">
        <v>15</v>
      </c>
      <c r="B700" s="196" t="str">
        <f>IFERROR(INDEX('S15 Routing Clustered'!$A$3:$A$18, A700), "")</f>
        <v>I-053</v>
      </c>
      <c r="C700" s="3">
        <v>410</v>
      </c>
      <c r="D700" s="287" t="str">
        <f>IFERROR(HLOOKUP(C700, 'S15 Routing Clustered'!$B$2:$I$18,A700+1, 0), "")</f>
        <v/>
      </c>
      <c r="E700" s="287" t="str">
        <f t="shared" si="36"/>
        <v/>
      </c>
      <c r="F700" s="3" t="str">
        <f>IF(E700="", "", VLOOKUP(B700, 'S08 ABC Output'!$A$3:$C$18, 3, 0))</f>
        <v/>
      </c>
      <c r="I700" s="288" t="str">
        <f t="shared" si="38"/>
        <v>WS-40</v>
      </c>
      <c r="J700" s="3"/>
      <c r="K700" s="3"/>
      <c r="L700" s="3"/>
      <c r="M700" s="3">
        <v>54682</v>
      </c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</row>
    <row r="701" spans="1:53" ht="17">
      <c r="A701" s="3">
        <v>15</v>
      </c>
      <c r="B701" s="196" t="str">
        <f>IFERROR(INDEX('S15 Routing Clustered'!$A$3:$A$18, A701), "")</f>
        <v>I-053</v>
      </c>
      <c r="C701" s="3">
        <v>420</v>
      </c>
      <c r="D701" s="287" t="str">
        <f>IFERROR(HLOOKUP(C701, 'S15 Routing Clustered'!$B$2:$I$18,A701+1, 0), "")</f>
        <v/>
      </c>
      <c r="E701" s="287" t="str">
        <f t="shared" si="36"/>
        <v/>
      </c>
      <c r="F701" s="3" t="str">
        <f>IF(E701="", "", VLOOKUP(B701, 'S08 ABC Output'!$A$3:$C$18, 3, 0))</f>
        <v/>
      </c>
      <c r="I701" s="288" t="str">
        <f t="shared" si="38"/>
        <v>WS-41</v>
      </c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</row>
    <row r="702" spans="1:53" ht="17">
      <c r="A702" s="3">
        <v>15</v>
      </c>
      <c r="B702" s="196" t="str">
        <f>IFERROR(INDEX('S15 Routing Clustered'!$A$3:$A$18, A702), "")</f>
        <v>I-053</v>
      </c>
      <c r="C702" s="3">
        <v>430</v>
      </c>
      <c r="D702" s="287" t="str">
        <f>IFERROR(HLOOKUP(C702, 'S15 Routing Clustered'!$B$2:$I$18,A702+1, 0), "")</f>
        <v/>
      </c>
      <c r="E702" s="287" t="str">
        <f t="shared" si="36"/>
        <v/>
      </c>
      <c r="F702" s="3" t="str">
        <f>IF(E702="", "", VLOOKUP(B702, 'S08 ABC Output'!$A$3:$C$18, 3, 0))</f>
        <v/>
      </c>
      <c r="I702" s="288" t="str">
        <f t="shared" si="38"/>
        <v>WS-42</v>
      </c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</row>
    <row r="703" spans="1:53" ht="17">
      <c r="A703" s="3">
        <v>15</v>
      </c>
      <c r="B703" s="196" t="str">
        <f>IFERROR(INDEX('S15 Routing Clustered'!$A$3:$A$18, A703), "")</f>
        <v>I-053</v>
      </c>
      <c r="C703" s="3">
        <v>440</v>
      </c>
      <c r="D703" s="287" t="str">
        <f>IFERROR(HLOOKUP(C703, 'S15 Routing Clustered'!$B$2:$I$18,A703+1, 0), "")</f>
        <v/>
      </c>
      <c r="E703" s="287" t="str">
        <f t="shared" si="36"/>
        <v/>
      </c>
      <c r="F703" s="3" t="str">
        <f>IF(E703="", "", VLOOKUP(B703, 'S08 ABC Output'!$A$3:$C$18, 3, 0))</f>
        <v/>
      </c>
      <c r="I703" s="288" t="str">
        <f t="shared" si="38"/>
        <v>WS-43</v>
      </c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>
        <v>54682</v>
      </c>
      <c r="AX703" s="3"/>
      <c r="AY703" s="3"/>
      <c r="AZ703" s="3"/>
      <c r="BA703" s="3"/>
    </row>
    <row r="704" spans="1:53" ht="17">
      <c r="A704" s="3">
        <v>15</v>
      </c>
      <c r="B704" s="196" t="str">
        <f>IFERROR(INDEX('S15 Routing Clustered'!$A$3:$A$18, A704), "")</f>
        <v>I-053</v>
      </c>
      <c r="C704" s="3">
        <v>450</v>
      </c>
      <c r="D704" s="287" t="str">
        <f>IFERROR(HLOOKUP(C704, 'S15 Routing Clustered'!$B$2:$I$18,A704+1, 0), "")</f>
        <v/>
      </c>
      <c r="E704" s="287" t="str">
        <f t="shared" si="36"/>
        <v/>
      </c>
      <c r="F704" s="3" t="str">
        <f>IF(E704="", "", VLOOKUP(B704, 'S08 ABC Output'!$A$3:$C$18, 3, 0))</f>
        <v/>
      </c>
      <c r="I704" s="288" t="str">
        <f t="shared" si="38"/>
        <v>WS-44</v>
      </c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</row>
    <row r="705" spans="1:53" ht="17">
      <c r="B705" s="196" t="str">
        <f>IFERROR(INDEX('S15 Routing Clustered'!$A$3:$A$18, A705), "")</f>
        <v/>
      </c>
      <c r="D705" s="287" t="str">
        <f>IFERROR(HLOOKUP(C705, 'S15 Routing Clustered'!$B$2:$I$18,A705+1, 0), "")</f>
        <v/>
      </c>
      <c r="E705" s="287" t="str">
        <f t="shared" si="36"/>
        <v/>
      </c>
      <c r="F705" s="3" t="str">
        <f>IF(E705="", "", VLOOKUP(B705, 'S08 ABC Output'!$A$3:$C$18, 3, 0))</f>
        <v/>
      </c>
      <c r="I705" s="288"/>
    </row>
    <row r="706" spans="1:53" ht="17">
      <c r="B706" s="196" t="str">
        <f>IFERROR(INDEX('S15 Routing Clustered'!$A$3:$A$18, A706), "")</f>
        <v/>
      </c>
      <c r="D706" s="287" t="str">
        <f>IFERROR(HLOOKUP(C706, 'S15 Routing Clustered'!$B$2:$I$18,A706+1, 0), "")</f>
        <v/>
      </c>
      <c r="E706" s="287" t="str">
        <f t="shared" si="36"/>
        <v/>
      </c>
      <c r="F706" s="3" t="str">
        <f>IF(E706="", "", VLOOKUP(B706, 'S08 ABC Output'!$A$3:$C$18, 3, 0))</f>
        <v/>
      </c>
      <c r="I706" s="288"/>
    </row>
    <row r="707" spans="1:53" ht="17">
      <c r="A707" s="3">
        <v>16</v>
      </c>
      <c r="B707" s="196" t="str">
        <f>IFERROR(INDEX('S15 Routing Clustered'!$A$3:$A$18, A707), "")</f>
        <v>I-064</v>
      </c>
      <c r="C707" s="3">
        <v>10</v>
      </c>
      <c r="D707" s="287" t="str">
        <f>IFERROR(HLOOKUP(C707, 'S15 Routing Clustered'!$B$2:$I$18,A707+1, 0), "")</f>
        <v>WS-43</v>
      </c>
      <c r="E707" s="287" t="str">
        <f t="shared" ref="E707:E770" si="39">IF(D707="", "", D708)</f>
        <v>WS-40</v>
      </c>
      <c r="F707" s="3">
        <f>IF(E707="", "", VLOOKUP(B707, 'S08 ABC Output'!$A$3:$C$18, 3, 0))</f>
        <v>86542</v>
      </c>
      <c r="I707" s="288"/>
      <c r="J707" s="288" t="str">
        <f>J660</f>
        <v>WS-01</v>
      </c>
      <c r="K707" s="288" t="str">
        <f t="shared" ref="K707:BA707" si="40">K660</f>
        <v>WS-02</v>
      </c>
      <c r="L707" s="288" t="str">
        <f t="shared" si="40"/>
        <v>WS-03</v>
      </c>
      <c r="M707" s="288" t="str">
        <f t="shared" si="40"/>
        <v>WS-04</v>
      </c>
      <c r="N707" s="288" t="str">
        <f t="shared" si="40"/>
        <v>WS-05</v>
      </c>
      <c r="O707" s="288" t="str">
        <f t="shared" si="40"/>
        <v>WS-06</v>
      </c>
      <c r="P707" s="288" t="str">
        <f t="shared" si="40"/>
        <v>WS-07</v>
      </c>
      <c r="Q707" s="288" t="str">
        <f t="shared" si="40"/>
        <v>WS-08</v>
      </c>
      <c r="R707" s="288" t="str">
        <f t="shared" si="40"/>
        <v>WS-09</v>
      </c>
      <c r="S707" s="288" t="str">
        <f t="shared" si="40"/>
        <v>WS-10</v>
      </c>
      <c r="T707" s="288" t="str">
        <f t="shared" si="40"/>
        <v>WS-11</v>
      </c>
      <c r="U707" s="288" t="str">
        <f t="shared" si="40"/>
        <v>WS-12</v>
      </c>
      <c r="V707" s="288" t="str">
        <f t="shared" si="40"/>
        <v>WS-13</v>
      </c>
      <c r="W707" s="288" t="str">
        <f t="shared" si="40"/>
        <v>WS-14</v>
      </c>
      <c r="X707" s="288" t="str">
        <f t="shared" si="40"/>
        <v>WS-15</v>
      </c>
      <c r="Y707" s="288" t="str">
        <f t="shared" si="40"/>
        <v>WS-16</v>
      </c>
      <c r="Z707" s="288" t="str">
        <f t="shared" si="40"/>
        <v>WS-17</v>
      </c>
      <c r="AA707" s="288" t="str">
        <f t="shared" si="40"/>
        <v>WS-18</v>
      </c>
      <c r="AB707" s="288" t="str">
        <f t="shared" si="40"/>
        <v>WS-19</v>
      </c>
      <c r="AC707" s="288" t="str">
        <f t="shared" si="40"/>
        <v>WS-20</v>
      </c>
      <c r="AD707" s="288" t="str">
        <f t="shared" si="40"/>
        <v>WS-21</v>
      </c>
      <c r="AE707" s="288" t="str">
        <f t="shared" si="40"/>
        <v>WS-22</v>
      </c>
      <c r="AF707" s="288" t="str">
        <f t="shared" si="40"/>
        <v>WS-23</v>
      </c>
      <c r="AG707" s="288" t="str">
        <f t="shared" si="40"/>
        <v>WS-24</v>
      </c>
      <c r="AH707" s="288" t="str">
        <f t="shared" si="40"/>
        <v>WS-25</v>
      </c>
      <c r="AI707" s="288" t="str">
        <f t="shared" si="40"/>
        <v>WS-26</v>
      </c>
      <c r="AJ707" s="288" t="str">
        <f t="shared" si="40"/>
        <v>WS-27</v>
      </c>
      <c r="AK707" s="288" t="str">
        <f t="shared" si="40"/>
        <v>WS-28</v>
      </c>
      <c r="AL707" s="288" t="str">
        <f t="shared" si="40"/>
        <v>WS-29</v>
      </c>
      <c r="AM707" s="288" t="str">
        <f t="shared" si="40"/>
        <v>WS-30</v>
      </c>
      <c r="AN707" s="288" t="str">
        <f t="shared" si="40"/>
        <v>WS-31</v>
      </c>
      <c r="AO707" s="288" t="str">
        <f t="shared" si="40"/>
        <v>WS-32</v>
      </c>
      <c r="AP707" s="288" t="str">
        <f t="shared" si="40"/>
        <v>WS-33</v>
      </c>
      <c r="AQ707" s="288" t="str">
        <f t="shared" si="40"/>
        <v>WS-34</v>
      </c>
      <c r="AR707" s="288" t="str">
        <f t="shared" si="40"/>
        <v>WS-35</v>
      </c>
      <c r="AS707" s="288" t="str">
        <f t="shared" si="40"/>
        <v>WS-36</v>
      </c>
      <c r="AT707" s="288" t="str">
        <f t="shared" si="40"/>
        <v>WS-37</v>
      </c>
      <c r="AU707" s="288" t="str">
        <f t="shared" si="40"/>
        <v>WS-38</v>
      </c>
      <c r="AV707" s="288" t="str">
        <f t="shared" si="40"/>
        <v>WS-39</v>
      </c>
      <c r="AW707" s="288" t="str">
        <f t="shared" si="40"/>
        <v>WS-40</v>
      </c>
      <c r="AX707" s="288" t="str">
        <f t="shared" si="40"/>
        <v>WS-41</v>
      </c>
      <c r="AY707" s="288" t="str">
        <f t="shared" si="40"/>
        <v>WS-42</v>
      </c>
      <c r="AZ707" s="288" t="str">
        <f t="shared" si="40"/>
        <v>WS-43</v>
      </c>
      <c r="BA707" s="288" t="str">
        <f t="shared" si="40"/>
        <v>WS-44</v>
      </c>
    </row>
    <row r="708" spans="1:53" ht="17">
      <c r="A708" s="3">
        <v>16</v>
      </c>
      <c r="B708" s="196" t="str">
        <f>IFERROR(INDEX('S15 Routing Clustered'!$A$3:$A$18, A708), "")</f>
        <v>I-064</v>
      </c>
      <c r="C708" s="3">
        <v>20</v>
      </c>
      <c r="D708" s="287" t="str">
        <f>IFERROR(HLOOKUP(C708, 'S15 Routing Clustered'!$B$2:$I$18,A708+1, 0), "")</f>
        <v>WS-40</v>
      </c>
      <c r="E708" s="287" t="str">
        <f t="shared" si="39"/>
        <v>WS-04</v>
      </c>
      <c r="F708" s="3">
        <f>IF(E708="", "", VLOOKUP(B708, 'S08 ABC Output'!$A$3:$C$18, 3, 0))</f>
        <v>86542</v>
      </c>
      <c r="I708" s="288" t="str">
        <f>I661</f>
        <v>WS-01</v>
      </c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</row>
    <row r="709" spans="1:53" ht="17">
      <c r="A709" s="3">
        <v>16</v>
      </c>
      <c r="B709" s="196" t="str">
        <f>IFERROR(INDEX('S15 Routing Clustered'!$A$3:$A$18, A709), "")</f>
        <v>I-064</v>
      </c>
      <c r="C709" s="3">
        <v>30</v>
      </c>
      <c r="D709" s="287" t="str">
        <f>IFERROR(HLOOKUP(C709, 'S15 Routing Clustered'!$B$2:$I$18,A709+1, 0), "")</f>
        <v>WS-04</v>
      </c>
      <c r="E709" s="287" t="str">
        <f t="shared" si="39"/>
        <v>WS-03</v>
      </c>
      <c r="F709" s="3">
        <f>IF(E709="", "", VLOOKUP(B709, 'S08 ABC Output'!$A$3:$C$18, 3, 0))</f>
        <v>86542</v>
      </c>
      <c r="I709" s="288" t="str">
        <f t="shared" ref="I709:I751" si="41">I662</f>
        <v>WS-02</v>
      </c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</row>
    <row r="710" spans="1:53" ht="17">
      <c r="A710" s="3">
        <v>16</v>
      </c>
      <c r="B710" s="196" t="str">
        <f>IFERROR(INDEX('S15 Routing Clustered'!$A$3:$A$18, A710), "")</f>
        <v>I-064</v>
      </c>
      <c r="C710" s="3">
        <v>40</v>
      </c>
      <c r="D710" s="287" t="str">
        <f>IFERROR(HLOOKUP(C710, 'S15 Routing Clustered'!$B$2:$I$18,A710+1, 0), "")</f>
        <v>WS-03</v>
      </c>
      <c r="E710" s="287" t="str">
        <f t="shared" si="39"/>
        <v>WS-23</v>
      </c>
      <c r="F710" s="3">
        <f>IF(E710="", "", VLOOKUP(B710, 'S08 ABC Output'!$A$3:$C$18, 3, 0))</f>
        <v>86542</v>
      </c>
      <c r="I710" s="288" t="str">
        <f t="shared" si="41"/>
        <v>WS-03</v>
      </c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>
        <v>86542</v>
      </c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</row>
    <row r="711" spans="1:53" ht="17">
      <c r="A711" s="3">
        <v>16</v>
      </c>
      <c r="B711" s="196" t="str">
        <f>IFERROR(INDEX('S15 Routing Clustered'!$A$3:$A$18, A711), "")</f>
        <v>I-064</v>
      </c>
      <c r="C711" s="3">
        <v>50</v>
      </c>
      <c r="D711" s="287" t="str">
        <f>IFERROR(HLOOKUP(C711, 'S15 Routing Clustered'!$B$2:$I$18,A711+1, 0), "")</f>
        <v>WS-23</v>
      </c>
      <c r="E711" s="287" t="str">
        <f t="shared" si="39"/>
        <v>WS-31</v>
      </c>
      <c r="F711" s="3">
        <f>IF(E711="", "", VLOOKUP(B711, 'S08 ABC Output'!$A$3:$C$18, 3, 0))</f>
        <v>86542</v>
      </c>
      <c r="I711" s="288" t="str">
        <f t="shared" si="41"/>
        <v>WS-04</v>
      </c>
      <c r="J711" s="3"/>
      <c r="K711" s="3"/>
      <c r="L711" s="3">
        <v>86542</v>
      </c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</row>
    <row r="712" spans="1:53" ht="17">
      <c r="A712" s="3">
        <v>16</v>
      </c>
      <c r="B712" s="196" t="str">
        <f>IFERROR(INDEX('S15 Routing Clustered'!$A$3:$A$18, A712), "")</f>
        <v>I-064</v>
      </c>
      <c r="C712" s="3">
        <v>60</v>
      </c>
      <c r="D712" s="287" t="str">
        <f>IFERROR(HLOOKUP(C712, 'S15 Routing Clustered'!$B$2:$I$18,A712+1, 0), "")</f>
        <v>WS-31</v>
      </c>
      <c r="E712" s="287" t="str">
        <f t="shared" si="39"/>
        <v>WS-32</v>
      </c>
      <c r="F712" s="3">
        <f>IF(E712="", "", VLOOKUP(B712, 'S08 ABC Output'!$A$3:$C$18, 3, 0))</f>
        <v>86542</v>
      </c>
      <c r="I712" s="288" t="str">
        <f t="shared" si="41"/>
        <v>WS-05</v>
      </c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</row>
    <row r="713" spans="1:53" ht="17">
      <c r="A713" s="3">
        <v>16</v>
      </c>
      <c r="B713" s="196" t="str">
        <f>IFERROR(INDEX('S15 Routing Clustered'!$A$3:$A$18, A713), "")</f>
        <v>I-064</v>
      </c>
      <c r="C713" s="3">
        <v>70</v>
      </c>
      <c r="D713" s="287" t="str">
        <f>IFERROR(HLOOKUP(C713, 'S15 Routing Clustered'!$B$2:$I$18,A713+1, 0), "")</f>
        <v>WS-32</v>
      </c>
      <c r="E713" s="287" t="str">
        <f t="shared" si="39"/>
        <v>WS-42</v>
      </c>
      <c r="F713" s="3">
        <f>IF(E713="", "", VLOOKUP(B713, 'S08 ABC Output'!$A$3:$C$18, 3, 0))</f>
        <v>86542</v>
      </c>
      <c r="I713" s="288" t="str">
        <f t="shared" si="41"/>
        <v>WS-06</v>
      </c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</row>
    <row r="714" spans="1:53" ht="17">
      <c r="A714" s="3">
        <v>16</v>
      </c>
      <c r="B714" s="196" t="str">
        <f>IFERROR(INDEX('S15 Routing Clustered'!$A$3:$A$18, A714), "")</f>
        <v>I-064</v>
      </c>
      <c r="C714" s="3">
        <v>80</v>
      </c>
      <c r="D714" s="287" t="str">
        <f>IFERROR(HLOOKUP(C714, 'S15 Routing Clustered'!$B$2:$I$18,A714+1, 0), "")</f>
        <v>WS-42</v>
      </c>
      <c r="E714" s="287" t="str">
        <f t="shared" si="39"/>
        <v/>
      </c>
      <c r="F714" s="3" t="str">
        <f>IF(E714="", "", VLOOKUP(B714, 'S08 ABC Output'!$A$3:$C$18, 3, 0))</f>
        <v/>
      </c>
      <c r="I714" s="288" t="str">
        <f t="shared" si="41"/>
        <v>WS-07</v>
      </c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</row>
    <row r="715" spans="1:53" ht="17">
      <c r="A715" s="3">
        <v>16</v>
      </c>
      <c r="B715" s="196" t="str">
        <f>IFERROR(INDEX('S15 Routing Clustered'!$A$3:$A$18, A715), "")</f>
        <v>I-064</v>
      </c>
      <c r="C715" s="3">
        <v>90</v>
      </c>
      <c r="D715" s="287" t="str">
        <f>IFERROR(HLOOKUP(C715, 'S15 Routing Clustered'!$B$2:$I$18,A715+1, 0), "")</f>
        <v/>
      </c>
      <c r="E715" s="287" t="str">
        <f t="shared" si="39"/>
        <v/>
      </c>
      <c r="F715" s="3" t="str">
        <f>IF(E715="", "", VLOOKUP(B715, 'S08 ABC Output'!$A$3:$C$18, 3, 0))</f>
        <v/>
      </c>
      <c r="I715" s="288" t="str">
        <f t="shared" si="41"/>
        <v>WS-08</v>
      </c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</row>
    <row r="716" spans="1:53" ht="17">
      <c r="A716" s="3">
        <v>16</v>
      </c>
      <c r="B716" s="196" t="str">
        <f>IFERROR(INDEX('S15 Routing Clustered'!$A$3:$A$18, A716), "")</f>
        <v>I-064</v>
      </c>
      <c r="C716" s="3">
        <v>100</v>
      </c>
      <c r="D716" s="287" t="str">
        <f>IFERROR(HLOOKUP(C716, 'S15 Routing Clustered'!$B$2:$I$18,A716+1, 0), "")</f>
        <v/>
      </c>
      <c r="E716" s="287" t="str">
        <f t="shared" si="39"/>
        <v/>
      </c>
      <c r="F716" s="3" t="str">
        <f>IF(E716="", "", VLOOKUP(B716, 'S08 ABC Output'!$A$3:$C$18, 3, 0))</f>
        <v/>
      </c>
      <c r="I716" s="288" t="str">
        <f t="shared" si="41"/>
        <v>WS-09</v>
      </c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</row>
    <row r="717" spans="1:53" ht="17">
      <c r="A717" s="3">
        <v>16</v>
      </c>
      <c r="B717" s="196" t="str">
        <f>IFERROR(INDEX('S15 Routing Clustered'!$A$3:$A$18, A717), "")</f>
        <v>I-064</v>
      </c>
      <c r="C717" s="3">
        <v>110</v>
      </c>
      <c r="D717" s="287" t="str">
        <f>IFERROR(HLOOKUP(C717, 'S15 Routing Clustered'!$B$2:$I$18,A717+1, 0), "")</f>
        <v/>
      </c>
      <c r="E717" s="287" t="str">
        <f t="shared" si="39"/>
        <v/>
      </c>
      <c r="F717" s="3" t="str">
        <f>IF(E717="", "", VLOOKUP(B717, 'S08 ABC Output'!$A$3:$C$18, 3, 0))</f>
        <v/>
      </c>
      <c r="I717" s="288" t="str">
        <f t="shared" si="41"/>
        <v>WS-10</v>
      </c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</row>
    <row r="718" spans="1:53" ht="17">
      <c r="A718" s="3">
        <v>16</v>
      </c>
      <c r="B718" s="196" t="str">
        <f>IFERROR(INDEX('S15 Routing Clustered'!$A$3:$A$18, A718), "")</f>
        <v>I-064</v>
      </c>
      <c r="C718" s="3">
        <v>120</v>
      </c>
      <c r="D718" s="287" t="str">
        <f>IFERROR(HLOOKUP(C718, 'S15 Routing Clustered'!$B$2:$I$18,A718+1, 0), "")</f>
        <v/>
      </c>
      <c r="E718" s="287" t="str">
        <f t="shared" si="39"/>
        <v/>
      </c>
      <c r="F718" s="3" t="str">
        <f>IF(E718="", "", VLOOKUP(B718, 'S08 ABC Output'!$A$3:$C$18, 3, 0))</f>
        <v/>
      </c>
      <c r="I718" s="288" t="str">
        <f t="shared" si="41"/>
        <v>WS-11</v>
      </c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</row>
    <row r="719" spans="1:53" ht="17">
      <c r="A719" s="3">
        <v>16</v>
      </c>
      <c r="B719" s="196" t="str">
        <f>IFERROR(INDEX('S15 Routing Clustered'!$A$3:$A$18, A719), "")</f>
        <v>I-064</v>
      </c>
      <c r="C719" s="3">
        <v>130</v>
      </c>
      <c r="D719" s="287" t="str">
        <f>IFERROR(HLOOKUP(C719, 'S15 Routing Clustered'!$B$2:$I$18,A719+1, 0), "")</f>
        <v/>
      </c>
      <c r="E719" s="287" t="str">
        <f t="shared" si="39"/>
        <v/>
      </c>
      <c r="F719" s="3" t="str">
        <f>IF(E719="", "", VLOOKUP(B719, 'S08 ABC Output'!$A$3:$C$18, 3, 0))</f>
        <v/>
      </c>
      <c r="I719" s="288" t="str">
        <f t="shared" si="41"/>
        <v>WS-12</v>
      </c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</row>
    <row r="720" spans="1:53" ht="17">
      <c r="A720" s="3">
        <v>16</v>
      </c>
      <c r="B720" s="196" t="str">
        <f>IFERROR(INDEX('S15 Routing Clustered'!$A$3:$A$18, A720), "")</f>
        <v>I-064</v>
      </c>
      <c r="C720" s="3">
        <v>140</v>
      </c>
      <c r="D720" s="287" t="str">
        <f>IFERROR(HLOOKUP(C720, 'S15 Routing Clustered'!$B$2:$I$18,A720+1, 0), "")</f>
        <v/>
      </c>
      <c r="E720" s="287" t="str">
        <f t="shared" si="39"/>
        <v/>
      </c>
      <c r="F720" s="3" t="str">
        <f>IF(E720="", "", VLOOKUP(B720, 'S08 ABC Output'!$A$3:$C$18, 3, 0))</f>
        <v/>
      </c>
      <c r="I720" s="288" t="str">
        <f t="shared" si="41"/>
        <v>WS-13</v>
      </c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</row>
    <row r="721" spans="1:53" ht="17">
      <c r="A721" s="3">
        <v>16</v>
      </c>
      <c r="B721" s="196" t="str">
        <f>IFERROR(INDEX('S15 Routing Clustered'!$A$3:$A$18, A721), "")</f>
        <v>I-064</v>
      </c>
      <c r="C721" s="3">
        <v>150</v>
      </c>
      <c r="D721" s="287" t="str">
        <f>IFERROR(HLOOKUP(C721, 'S15 Routing Clustered'!$B$2:$I$18,A721+1, 0), "")</f>
        <v/>
      </c>
      <c r="E721" s="287" t="str">
        <f t="shared" si="39"/>
        <v/>
      </c>
      <c r="F721" s="3" t="str">
        <f>IF(E721="", "", VLOOKUP(B721, 'S08 ABC Output'!$A$3:$C$18, 3, 0))</f>
        <v/>
      </c>
      <c r="I721" s="288" t="str">
        <f t="shared" si="41"/>
        <v>WS-14</v>
      </c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</row>
    <row r="722" spans="1:53" ht="17">
      <c r="A722" s="3">
        <v>16</v>
      </c>
      <c r="B722" s="196" t="str">
        <f>IFERROR(INDEX('S15 Routing Clustered'!$A$3:$A$18, A722), "")</f>
        <v>I-064</v>
      </c>
      <c r="C722" s="3">
        <v>160</v>
      </c>
      <c r="D722" s="287" t="str">
        <f>IFERROR(HLOOKUP(C722, 'S15 Routing Clustered'!$B$2:$I$18,A722+1, 0), "")</f>
        <v/>
      </c>
      <c r="E722" s="287" t="str">
        <f t="shared" si="39"/>
        <v/>
      </c>
      <c r="F722" s="3" t="str">
        <f>IF(E722="", "", VLOOKUP(B722, 'S08 ABC Output'!$A$3:$C$18, 3, 0))</f>
        <v/>
      </c>
      <c r="I722" s="288" t="str">
        <f t="shared" si="41"/>
        <v>WS-15</v>
      </c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</row>
    <row r="723" spans="1:53" ht="17">
      <c r="A723" s="3">
        <v>16</v>
      </c>
      <c r="B723" s="196" t="str">
        <f>IFERROR(INDEX('S15 Routing Clustered'!$A$3:$A$18, A723), "")</f>
        <v>I-064</v>
      </c>
      <c r="C723" s="3">
        <v>170</v>
      </c>
      <c r="D723" s="287" t="str">
        <f>IFERROR(HLOOKUP(C723, 'S15 Routing Clustered'!$B$2:$I$18,A723+1, 0), "")</f>
        <v/>
      </c>
      <c r="E723" s="287" t="str">
        <f t="shared" si="39"/>
        <v/>
      </c>
      <c r="F723" s="3" t="str">
        <f>IF(E723="", "", VLOOKUP(B723, 'S08 ABC Output'!$A$3:$C$18, 3, 0))</f>
        <v/>
      </c>
      <c r="I723" s="288" t="str">
        <f t="shared" si="41"/>
        <v>WS-16</v>
      </c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</row>
    <row r="724" spans="1:53" ht="17">
      <c r="A724" s="3">
        <v>16</v>
      </c>
      <c r="B724" s="196" t="str">
        <f>IFERROR(INDEX('S15 Routing Clustered'!$A$3:$A$18, A724), "")</f>
        <v>I-064</v>
      </c>
      <c r="C724" s="3">
        <v>180</v>
      </c>
      <c r="D724" s="287" t="str">
        <f>IFERROR(HLOOKUP(C724, 'S15 Routing Clustered'!$B$2:$I$18,A724+1, 0), "")</f>
        <v/>
      </c>
      <c r="E724" s="287" t="str">
        <f t="shared" si="39"/>
        <v/>
      </c>
      <c r="F724" s="3" t="str">
        <f>IF(E724="", "", VLOOKUP(B724, 'S08 ABC Output'!$A$3:$C$18, 3, 0))</f>
        <v/>
      </c>
      <c r="I724" s="288" t="str">
        <f t="shared" si="41"/>
        <v>WS-17</v>
      </c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</row>
    <row r="725" spans="1:53" ht="17">
      <c r="A725" s="3">
        <v>16</v>
      </c>
      <c r="B725" s="196" t="str">
        <f>IFERROR(INDEX('S15 Routing Clustered'!$A$3:$A$18, A725), "")</f>
        <v>I-064</v>
      </c>
      <c r="C725" s="3">
        <v>190</v>
      </c>
      <c r="D725" s="287" t="str">
        <f>IFERROR(HLOOKUP(C725, 'S15 Routing Clustered'!$B$2:$I$18,A725+1, 0), "")</f>
        <v/>
      </c>
      <c r="E725" s="287" t="str">
        <f t="shared" si="39"/>
        <v/>
      </c>
      <c r="F725" s="3" t="str">
        <f>IF(E725="", "", VLOOKUP(B725, 'S08 ABC Output'!$A$3:$C$18, 3, 0))</f>
        <v/>
      </c>
      <c r="I725" s="288" t="str">
        <f t="shared" si="41"/>
        <v>WS-18</v>
      </c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</row>
    <row r="726" spans="1:53" ht="17">
      <c r="A726" s="3">
        <v>16</v>
      </c>
      <c r="B726" s="196" t="str">
        <f>IFERROR(INDEX('S15 Routing Clustered'!$A$3:$A$18, A726), "")</f>
        <v>I-064</v>
      </c>
      <c r="C726" s="3">
        <v>200</v>
      </c>
      <c r="D726" s="287" t="str">
        <f>IFERROR(HLOOKUP(C726, 'S15 Routing Clustered'!$B$2:$I$18,A726+1, 0), "")</f>
        <v/>
      </c>
      <c r="E726" s="287" t="str">
        <f t="shared" si="39"/>
        <v/>
      </c>
      <c r="F726" s="3" t="str">
        <f>IF(E726="", "", VLOOKUP(B726, 'S08 ABC Output'!$A$3:$C$18, 3, 0))</f>
        <v/>
      </c>
      <c r="I726" s="288" t="str">
        <f t="shared" si="41"/>
        <v>WS-19</v>
      </c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</row>
    <row r="727" spans="1:53" ht="17">
      <c r="A727" s="3">
        <v>16</v>
      </c>
      <c r="B727" s="196" t="str">
        <f>IFERROR(INDEX('S15 Routing Clustered'!$A$3:$A$18, A727), "")</f>
        <v>I-064</v>
      </c>
      <c r="C727" s="3">
        <v>210</v>
      </c>
      <c r="D727" s="287" t="str">
        <f>IFERROR(HLOOKUP(C727, 'S15 Routing Clustered'!$B$2:$I$18,A727+1, 0), "")</f>
        <v/>
      </c>
      <c r="E727" s="287" t="str">
        <f t="shared" si="39"/>
        <v/>
      </c>
      <c r="F727" s="3" t="str">
        <f>IF(E727="", "", VLOOKUP(B727, 'S08 ABC Output'!$A$3:$C$18, 3, 0))</f>
        <v/>
      </c>
      <c r="I727" s="288" t="str">
        <f t="shared" si="41"/>
        <v>WS-20</v>
      </c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</row>
    <row r="728" spans="1:53" ht="17">
      <c r="A728" s="3">
        <v>16</v>
      </c>
      <c r="B728" s="196" t="str">
        <f>IFERROR(INDEX('S15 Routing Clustered'!$A$3:$A$18, A728), "")</f>
        <v>I-064</v>
      </c>
      <c r="C728" s="3">
        <v>220</v>
      </c>
      <c r="D728" s="287" t="str">
        <f>IFERROR(HLOOKUP(C728, 'S15 Routing Clustered'!$B$2:$I$18,A728+1, 0), "")</f>
        <v/>
      </c>
      <c r="E728" s="287" t="str">
        <f t="shared" si="39"/>
        <v/>
      </c>
      <c r="F728" s="3" t="str">
        <f>IF(E728="", "", VLOOKUP(B728, 'S08 ABC Output'!$A$3:$C$18, 3, 0))</f>
        <v/>
      </c>
      <c r="I728" s="288" t="str">
        <f t="shared" si="41"/>
        <v>WS-21</v>
      </c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</row>
    <row r="729" spans="1:53" ht="17">
      <c r="A729" s="3">
        <v>16</v>
      </c>
      <c r="B729" s="196" t="str">
        <f>IFERROR(INDEX('S15 Routing Clustered'!$A$3:$A$18, A729), "")</f>
        <v>I-064</v>
      </c>
      <c r="C729" s="3">
        <v>230</v>
      </c>
      <c r="D729" s="287" t="str">
        <f>IFERROR(HLOOKUP(C729, 'S15 Routing Clustered'!$B$2:$I$18,A729+1, 0), "")</f>
        <v/>
      </c>
      <c r="E729" s="287" t="str">
        <f t="shared" si="39"/>
        <v/>
      </c>
      <c r="F729" s="3" t="str">
        <f>IF(E729="", "", VLOOKUP(B729, 'S08 ABC Output'!$A$3:$C$18, 3, 0))</f>
        <v/>
      </c>
      <c r="I729" s="288" t="str">
        <f t="shared" si="41"/>
        <v>WS-22</v>
      </c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</row>
    <row r="730" spans="1:53" ht="17">
      <c r="A730" s="3">
        <v>16</v>
      </c>
      <c r="B730" s="196" t="str">
        <f>IFERROR(INDEX('S15 Routing Clustered'!$A$3:$A$18, A730), "")</f>
        <v>I-064</v>
      </c>
      <c r="C730" s="3">
        <v>240</v>
      </c>
      <c r="D730" s="287" t="str">
        <f>IFERROR(HLOOKUP(C730, 'S15 Routing Clustered'!$B$2:$I$18,A730+1, 0), "")</f>
        <v/>
      </c>
      <c r="E730" s="287" t="str">
        <f t="shared" si="39"/>
        <v/>
      </c>
      <c r="F730" s="3" t="str">
        <f>IF(E730="", "", VLOOKUP(B730, 'S08 ABC Output'!$A$3:$C$18, 3, 0))</f>
        <v/>
      </c>
      <c r="I730" s="288" t="str">
        <f t="shared" si="41"/>
        <v>WS-23</v>
      </c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>
        <v>86542</v>
      </c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</row>
    <row r="731" spans="1:53" ht="17">
      <c r="A731" s="3">
        <v>16</v>
      </c>
      <c r="B731" s="196" t="str">
        <f>IFERROR(INDEX('S15 Routing Clustered'!$A$3:$A$18, A731), "")</f>
        <v>I-064</v>
      </c>
      <c r="C731" s="3">
        <v>250</v>
      </c>
      <c r="D731" s="287" t="str">
        <f>IFERROR(HLOOKUP(C731, 'S15 Routing Clustered'!$B$2:$I$18,A731+1, 0), "")</f>
        <v/>
      </c>
      <c r="E731" s="287" t="str">
        <f t="shared" si="39"/>
        <v/>
      </c>
      <c r="F731" s="3" t="str">
        <f>IF(E731="", "", VLOOKUP(B731, 'S08 ABC Output'!$A$3:$C$18, 3, 0))</f>
        <v/>
      </c>
      <c r="I731" s="288" t="str">
        <f t="shared" si="41"/>
        <v>WS-24</v>
      </c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</row>
    <row r="732" spans="1:53" ht="17">
      <c r="A732" s="3">
        <v>16</v>
      </c>
      <c r="B732" s="196" t="str">
        <f>IFERROR(INDEX('S15 Routing Clustered'!$A$3:$A$18, A732), "")</f>
        <v>I-064</v>
      </c>
      <c r="C732" s="3">
        <v>260</v>
      </c>
      <c r="D732" s="287" t="str">
        <f>IFERROR(HLOOKUP(C732, 'S15 Routing Clustered'!$B$2:$I$18,A732+1, 0), "")</f>
        <v/>
      </c>
      <c r="E732" s="287" t="str">
        <f t="shared" si="39"/>
        <v/>
      </c>
      <c r="F732" s="3" t="str">
        <f>IF(E732="", "", VLOOKUP(B732, 'S08 ABC Output'!$A$3:$C$18, 3, 0))</f>
        <v/>
      </c>
      <c r="I732" s="288" t="str">
        <f t="shared" si="41"/>
        <v>WS-25</v>
      </c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</row>
    <row r="733" spans="1:53" ht="17">
      <c r="A733" s="3">
        <v>16</v>
      </c>
      <c r="B733" s="196" t="str">
        <f>IFERROR(INDEX('S15 Routing Clustered'!$A$3:$A$18, A733), "")</f>
        <v>I-064</v>
      </c>
      <c r="C733" s="3">
        <v>270</v>
      </c>
      <c r="D733" s="287" t="str">
        <f>IFERROR(HLOOKUP(C733, 'S15 Routing Clustered'!$B$2:$I$18,A733+1, 0), "")</f>
        <v/>
      </c>
      <c r="E733" s="287" t="str">
        <f t="shared" si="39"/>
        <v/>
      </c>
      <c r="F733" s="3" t="str">
        <f>IF(E733="", "", VLOOKUP(B733, 'S08 ABC Output'!$A$3:$C$18, 3, 0))</f>
        <v/>
      </c>
      <c r="I733" s="288" t="str">
        <f t="shared" si="41"/>
        <v>WS-26</v>
      </c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</row>
    <row r="734" spans="1:53" ht="17">
      <c r="A734" s="3">
        <v>16</v>
      </c>
      <c r="B734" s="196" t="str">
        <f>IFERROR(INDEX('S15 Routing Clustered'!$A$3:$A$18, A734), "")</f>
        <v>I-064</v>
      </c>
      <c r="C734" s="3">
        <v>280</v>
      </c>
      <c r="D734" s="287" t="str">
        <f>IFERROR(HLOOKUP(C734, 'S15 Routing Clustered'!$B$2:$I$18,A734+1, 0), "")</f>
        <v/>
      </c>
      <c r="E734" s="287" t="str">
        <f t="shared" si="39"/>
        <v/>
      </c>
      <c r="F734" s="3" t="str">
        <f>IF(E734="", "", VLOOKUP(B734, 'S08 ABC Output'!$A$3:$C$18, 3, 0))</f>
        <v/>
      </c>
      <c r="I734" s="288" t="str">
        <f t="shared" si="41"/>
        <v>WS-27</v>
      </c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</row>
    <row r="735" spans="1:53" ht="17">
      <c r="A735" s="3">
        <v>16</v>
      </c>
      <c r="B735" s="196" t="str">
        <f>IFERROR(INDEX('S15 Routing Clustered'!$A$3:$A$18, A735), "")</f>
        <v>I-064</v>
      </c>
      <c r="C735" s="3">
        <v>290</v>
      </c>
      <c r="D735" s="287" t="str">
        <f>IFERROR(HLOOKUP(C735, 'S15 Routing Clustered'!$B$2:$I$18,A735+1, 0), "")</f>
        <v/>
      </c>
      <c r="E735" s="287" t="str">
        <f t="shared" si="39"/>
        <v/>
      </c>
      <c r="F735" s="3" t="str">
        <f>IF(E735="", "", VLOOKUP(B735, 'S08 ABC Output'!$A$3:$C$18, 3, 0))</f>
        <v/>
      </c>
      <c r="I735" s="288" t="str">
        <f t="shared" si="41"/>
        <v>WS-28</v>
      </c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</row>
    <row r="736" spans="1:53" ht="17">
      <c r="A736" s="3">
        <v>16</v>
      </c>
      <c r="B736" s="196" t="str">
        <f>IFERROR(INDEX('S15 Routing Clustered'!$A$3:$A$18, A736), "")</f>
        <v>I-064</v>
      </c>
      <c r="C736" s="3">
        <v>300</v>
      </c>
      <c r="D736" s="287" t="str">
        <f>IFERROR(HLOOKUP(C736, 'S15 Routing Clustered'!$B$2:$I$18,A736+1, 0), "")</f>
        <v/>
      </c>
      <c r="E736" s="287" t="str">
        <f t="shared" si="39"/>
        <v/>
      </c>
      <c r="F736" s="3" t="str">
        <f>IF(E736="", "", VLOOKUP(B736, 'S08 ABC Output'!$A$3:$C$18, 3, 0))</f>
        <v/>
      </c>
      <c r="I736" s="288" t="str">
        <f t="shared" si="41"/>
        <v>WS-29</v>
      </c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</row>
    <row r="737" spans="1:53" ht="17">
      <c r="A737" s="3">
        <v>16</v>
      </c>
      <c r="B737" s="196" t="str">
        <f>IFERROR(INDEX('S15 Routing Clustered'!$A$3:$A$18, A737), "")</f>
        <v>I-064</v>
      </c>
      <c r="C737" s="3">
        <v>310</v>
      </c>
      <c r="D737" s="287" t="str">
        <f>IFERROR(HLOOKUP(C737, 'S15 Routing Clustered'!$B$2:$I$18,A737+1, 0), "")</f>
        <v/>
      </c>
      <c r="E737" s="287" t="str">
        <f t="shared" si="39"/>
        <v/>
      </c>
      <c r="F737" s="3" t="str">
        <f>IF(E737="", "", VLOOKUP(B737, 'S08 ABC Output'!$A$3:$C$18, 3, 0))</f>
        <v/>
      </c>
      <c r="I737" s="288" t="str">
        <f t="shared" si="41"/>
        <v>WS-30</v>
      </c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</row>
    <row r="738" spans="1:53" ht="17">
      <c r="A738" s="3">
        <v>16</v>
      </c>
      <c r="B738" s="196" t="str">
        <f>IFERROR(INDEX('S15 Routing Clustered'!$A$3:$A$18, A738), "")</f>
        <v>I-064</v>
      </c>
      <c r="C738" s="3">
        <v>320</v>
      </c>
      <c r="D738" s="287" t="str">
        <f>IFERROR(HLOOKUP(C738, 'S15 Routing Clustered'!$B$2:$I$18,A738+1, 0), "")</f>
        <v/>
      </c>
      <c r="E738" s="287" t="str">
        <f t="shared" si="39"/>
        <v/>
      </c>
      <c r="F738" s="3" t="str">
        <f>IF(E738="", "", VLOOKUP(B738, 'S08 ABC Output'!$A$3:$C$18, 3, 0))</f>
        <v/>
      </c>
      <c r="I738" s="288" t="str">
        <f t="shared" si="41"/>
        <v>WS-31</v>
      </c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>
        <v>86542</v>
      </c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</row>
    <row r="739" spans="1:53" ht="17">
      <c r="A739" s="3">
        <v>16</v>
      </c>
      <c r="B739" s="196" t="str">
        <f>IFERROR(INDEX('S15 Routing Clustered'!$A$3:$A$18, A739), "")</f>
        <v>I-064</v>
      </c>
      <c r="C739" s="3">
        <v>330</v>
      </c>
      <c r="D739" s="287" t="str">
        <f>IFERROR(HLOOKUP(C739, 'S15 Routing Clustered'!$B$2:$I$18,A739+1, 0), "")</f>
        <v/>
      </c>
      <c r="E739" s="287" t="str">
        <f t="shared" si="39"/>
        <v/>
      </c>
      <c r="F739" s="3" t="str">
        <f>IF(E739="", "", VLOOKUP(B739, 'S08 ABC Output'!$A$3:$C$18, 3, 0))</f>
        <v/>
      </c>
      <c r="I739" s="288" t="str">
        <f t="shared" si="41"/>
        <v>WS-32</v>
      </c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>
        <v>86542</v>
      </c>
      <c r="AZ739" s="3"/>
      <c r="BA739" s="3"/>
    </row>
    <row r="740" spans="1:53" ht="17">
      <c r="A740" s="3">
        <v>16</v>
      </c>
      <c r="B740" s="196" t="str">
        <f>IFERROR(INDEX('S15 Routing Clustered'!$A$3:$A$18, A740), "")</f>
        <v>I-064</v>
      </c>
      <c r="C740" s="3">
        <v>340</v>
      </c>
      <c r="D740" s="287" t="str">
        <f>IFERROR(HLOOKUP(C740, 'S15 Routing Clustered'!$B$2:$I$18,A740+1, 0), "")</f>
        <v/>
      </c>
      <c r="E740" s="287" t="str">
        <f t="shared" si="39"/>
        <v/>
      </c>
      <c r="F740" s="3" t="str">
        <f>IF(E740="", "", VLOOKUP(B740, 'S08 ABC Output'!$A$3:$C$18, 3, 0))</f>
        <v/>
      </c>
      <c r="I740" s="288" t="str">
        <f t="shared" si="41"/>
        <v>WS-33</v>
      </c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</row>
    <row r="741" spans="1:53" ht="17">
      <c r="A741" s="3">
        <v>16</v>
      </c>
      <c r="B741" s="196" t="str">
        <f>IFERROR(INDEX('S15 Routing Clustered'!$A$3:$A$18, A741), "")</f>
        <v>I-064</v>
      </c>
      <c r="C741" s="3">
        <v>350</v>
      </c>
      <c r="D741" s="287" t="str">
        <f>IFERROR(HLOOKUP(C741, 'S15 Routing Clustered'!$B$2:$I$18,A741+1, 0), "")</f>
        <v/>
      </c>
      <c r="E741" s="287" t="str">
        <f t="shared" si="39"/>
        <v/>
      </c>
      <c r="F741" s="3" t="str">
        <f>IF(E741="", "", VLOOKUP(B741, 'S08 ABC Output'!$A$3:$C$18, 3, 0))</f>
        <v/>
      </c>
      <c r="I741" s="288" t="str">
        <f t="shared" si="41"/>
        <v>WS-34</v>
      </c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</row>
    <row r="742" spans="1:53" ht="17">
      <c r="A742" s="3">
        <v>16</v>
      </c>
      <c r="B742" s="196" t="str">
        <f>IFERROR(INDEX('S15 Routing Clustered'!$A$3:$A$18, A742), "")</f>
        <v>I-064</v>
      </c>
      <c r="C742" s="3">
        <v>360</v>
      </c>
      <c r="D742" s="287" t="str">
        <f>IFERROR(HLOOKUP(C742, 'S15 Routing Clustered'!$B$2:$I$18,A742+1, 0), "")</f>
        <v/>
      </c>
      <c r="E742" s="287" t="str">
        <f t="shared" si="39"/>
        <v/>
      </c>
      <c r="F742" s="3" t="str">
        <f>IF(E742="", "", VLOOKUP(B742, 'S08 ABC Output'!$A$3:$C$18, 3, 0))</f>
        <v/>
      </c>
      <c r="I742" s="288" t="str">
        <f t="shared" si="41"/>
        <v>WS-35</v>
      </c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</row>
    <row r="743" spans="1:53" ht="17">
      <c r="A743" s="3">
        <v>16</v>
      </c>
      <c r="B743" s="196" t="str">
        <f>IFERROR(INDEX('S15 Routing Clustered'!$A$3:$A$18, A743), "")</f>
        <v>I-064</v>
      </c>
      <c r="C743" s="3">
        <v>370</v>
      </c>
      <c r="D743" s="287" t="str">
        <f>IFERROR(HLOOKUP(C743, 'S15 Routing Clustered'!$B$2:$I$18,A743+1, 0), "")</f>
        <v/>
      </c>
      <c r="E743" s="287" t="str">
        <f t="shared" si="39"/>
        <v/>
      </c>
      <c r="F743" s="3" t="str">
        <f>IF(E743="", "", VLOOKUP(B743, 'S08 ABC Output'!$A$3:$C$18, 3, 0))</f>
        <v/>
      </c>
      <c r="I743" s="288" t="str">
        <f t="shared" si="41"/>
        <v>WS-36</v>
      </c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</row>
    <row r="744" spans="1:53" ht="17">
      <c r="A744" s="3">
        <v>16</v>
      </c>
      <c r="B744" s="196" t="str">
        <f>IFERROR(INDEX('S15 Routing Clustered'!$A$3:$A$18, A744), "")</f>
        <v>I-064</v>
      </c>
      <c r="C744" s="3">
        <v>380</v>
      </c>
      <c r="D744" s="287" t="str">
        <f>IFERROR(HLOOKUP(C744, 'S15 Routing Clustered'!$B$2:$I$18,A744+1, 0), "")</f>
        <v/>
      </c>
      <c r="E744" s="287" t="str">
        <f t="shared" si="39"/>
        <v/>
      </c>
      <c r="F744" s="3" t="str">
        <f>IF(E744="", "", VLOOKUP(B744, 'S08 ABC Output'!$A$3:$C$18, 3, 0))</f>
        <v/>
      </c>
      <c r="I744" s="288" t="str">
        <f t="shared" si="41"/>
        <v>WS-37</v>
      </c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</row>
    <row r="745" spans="1:53" ht="17">
      <c r="A745" s="3">
        <v>16</v>
      </c>
      <c r="B745" s="196" t="str">
        <f>IFERROR(INDEX('S15 Routing Clustered'!$A$3:$A$18, A745), "")</f>
        <v>I-064</v>
      </c>
      <c r="C745" s="3">
        <v>390</v>
      </c>
      <c r="D745" s="287" t="str">
        <f>IFERROR(HLOOKUP(C745, 'S15 Routing Clustered'!$B$2:$I$18,A745+1, 0), "")</f>
        <v/>
      </c>
      <c r="E745" s="287" t="str">
        <f t="shared" si="39"/>
        <v/>
      </c>
      <c r="F745" s="3" t="str">
        <f>IF(E745="", "", VLOOKUP(B745, 'S08 ABC Output'!$A$3:$C$18, 3, 0))</f>
        <v/>
      </c>
      <c r="I745" s="288" t="str">
        <f t="shared" si="41"/>
        <v>WS-38</v>
      </c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</row>
    <row r="746" spans="1:53" ht="17">
      <c r="A746" s="3">
        <v>16</v>
      </c>
      <c r="B746" s="196" t="str">
        <f>IFERROR(INDEX('S15 Routing Clustered'!$A$3:$A$18, A746), "")</f>
        <v>I-064</v>
      </c>
      <c r="C746" s="3">
        <v>400</v>
      </c>
      <c r="D746" s="287" t="str">
        <f>IFERROR(HLOOKUP(C746, 'S15 Routing Clustered'!$B$2:$I$18,A746+1, 0), "")</f>
        <v/>
      </c>
      <c r="E746" s="287" t="str">
        <f t="shared" si="39"/>
        <v/>
      </c>
      <c r="F746" s="3" t="str">
        <f>IF(E746="", "", VLOOKUP(B746, 'S08 ABC Output'!$A$3:$C$18, 3, 0))</f>
        <v/>
      </c>
      <c r="I746" s="288" t="str">
        <f t="shared" si="41"/>
        <v>WS-39</v>
      </c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</row>
    <row r="747" spans="1:53" ht="17">
      <c r="A747" s="3">
        <v>16</v>
      </c>
      <c r="B747" s="196" t="str">
        <f>IFERROR(INDEX('S15 Routing Clustered'!$A$3:$A$18, A747), "")</f>
        <v>I-064</v>
      </c>
      <c r="C747" s="3">
        <v>410</v>
      </c>
      <c r="D747" s="287" t="str">
        <f>IFERROR(HLOOKUP(C747, 'S15 Routing Clustered'!$B$2:$I$18,A747+1, 0), "")</f>
        <v/>
      </c>
      <c r="E747" s="287" t="str">
        <f t="shared" si="39"/>
        <v/>
      </c>
      <c r="F747" s="3" t="str">
        <f>IF(E747="", "", VLOOKUP(B747, 'S08 ABC Output'!$A$3:$C$18, 3, 0))</f>
        <v/>
      </c>
      <c r="I747" s="288" t="str">
        <f t="shared" si="41"/>
        <v>WS-40</v>
      </c>
      <c r="J747" s="3"/>
      <c r="K747" s="3"/>
      <c r="L747" s="3"/>
      <c r="M747" s="3">
        <v>86542</v>
      </c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</row>
    <row r="748" spans="1:53" ht="17">
      <c r="A748" s="3">
        <v>16</v>
      </c>
      <c r="B748" s="196" t="str">
        <f>IFERROR(INDEX('S15 Routing Clustered'!$A$3:$A$18, A748), "")</f>
        <v>I-064</v>
      </c>
      <c r="C748" s="3">
        <v>420</v>
      </c>
      <c r="D748" s="287" t="str">
        <f>IFERROR(HLOOKUP(C748, 'S15 Routing Clustered'!$B$2:$I$18,A748+1, 0), "")</f>
        <v/>
      </c>
      <c r="E748" s="287" t="str">
        <f t="shared" si="39"/>
        <v/>
      </c>
      <c r="F748" s="3" t="str">
        <f>IF(E748="", "", VLOOKUP(B748, 'S08 ABC Output'!$A$3:$C$18, 3, 0))</f>
        <v/>
      </c>
      <c r="I748" s="288" t="str">
        <f t="shared" si="41"/>
        <v>WS-41</v>
      </c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</row>
    <row r="749" spans="1:53" ht="17">
      <c r="A749" s="3">
        <v>16</v>
      </c>
      <c r="B749" s="196" t="str">
        <f>IFERROR(INDEX('S15 Routing Clustered'!$A$3:$A$18, A749), "")</f>
        <v>I-064</v>
      </c>
      <c r="C749" s="3">
        <v>430</v>
      </c>
      <c r="D749" s="287" t="str">
        <f>IFERROR(HLOOKUP(C749, 'S15 Routing Clustered'!$B$2:$I$18,A749+1, 0), "")</f>
        <v/>
      </c>
      <c r="E749" s="287" t="str">
        <f t="shared" si="39"/>
        <v/>
      </c>
      <c r="F749" s="3" t="str">
        <f>IF(E749="", "", VLOOKUP(B749, 'S08 ABC Output'!$A$3:$C$18, 3, 0))</f>
        <v/>
      </c>
      <c r="I749" s="288" t="str">
        <f t="shared" si="41"/>
        <v>WS-42</v>
      </c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</row>
    <row r="750" spans="1:53" ht="17">
      <c r="A750" s="3">
        <v>16</v>
      </c>
      <c r="B750" s="196" t="str">
        <f>IFERROR(INDEX('S15 Routing Clustered'!$A$3:$A$18, A750), "")</f>
        <v>I-064</v>
      </c>
      <c r="C750" s="3">
        <v>440</v>
      </c>
      <c r="D750" s="287" t="str">
        <f>IFERROR(HLOOKUP(C750, 'S15 Routing Clustered'!$B$2:$I$18,A750+1, 0), "")</f>
        <v/>
      </c>
      <c r="E750" s="287" t="str">
        <f t="shared" si="39"/>
        <v/>
      </c>
      <c r="F750" s="3" t="str">
        <f>IF(E750="", "", VLOOKUP(B750, 'S08 ABC Output'!$A$3:$C$18, 3, 0))</f>
        <v/>
      </c>
      <c r="I750" s="288" t="str">
        <f t="shared" si="41"/>
        <v>WS-43</v>
      </c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>
        <v>86542</v>
      </c>
      <c r="AX750" s="3"/>
      <c r="AY750" s="3"/>
      <c r="AZ750" s="3"/>
      <c r="BA750" s="3"/>
    </row>
    <row r="751" spans="1:53" ht="17">
      <c r="A751" s="3">
        <v>16</v>
      </c>
      <c r="B751" s="196" t="str">
        <f>IFERROR(INDEX('S15 Routing Clustered'!$A$3:$A$18, A751), "")</f>
        <v>I-064</v>
      </c>
      <c r="C751" s="3">
        <v>450</v>
      </c>
      <c r="D751" s="287" t="str">
        <f>IFERROR(HLOOKUP(C751, 'S15 Routing Clustered'!$B$2:$I$18,A751+1, 0), "")</f>
        <v/>
      </c>
      <c r="E751" s="287" t="str">
        <f t="shared" si="39"/>
        <v/>
      </c>
      <c r="F751" s="3" t="str">
        <f>IF(E751="", "", VLOOKUP(B751, 'S08 ABC Output'!$A$3:$C$18, 3, 0))</f>
        <v/>
      </c>
      <c r="I751" s="288" t="str">
        <f t="shared" si="41"/>
        <v>WS-44</v>
      </c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</row>
    <row r="752" spans="1:53" ht="17">
      <c r="B752" s="196" t="str">
        <f>IFERROR(INDEX('S15 Routing Clustered'!$A$3:$A$18, A752), "")</f>
        <v/>
      </c>
      <c r="D752" s="287" t="str">
        <f>IFERROR(HLOOKUP(C752, 'S15 Routing Clustered'!$B$2:$I$18,A752+1, 0), "")</f>
        <v/>
      </c>
      <c r="E752" s="287" t="str">
        <f t="shared" si="39"/>
        <v/>
      </c>
      <c r="F752" s="3" t="str">
        <f>IF(E752="", "", VLOOKUP(B752, 'S08 ABC Output'!$A$3:$C$18, 3, 0))</f>
        <v/>
      </c>
    </row>
    <row r="753" spans="1:53" ht="17">
      <c r="B753" s="196" t="str">
        <f>IFERROR(INDEX('S15 Routing Clustered'!$A$3:$A$18, A753), "")</f>
        <v/>
      </c>
      <c r="D753" s="287" t="str">
        <f>IFERROR(HLOOKUP(C753, 'S15 Routing Clustered'!$B$2:$I$18,A753+1, 0), "")</f>
        <v/>
      </c>
      <c r="E753" s="287" t="str">
        <f t="shared" si="39"/>
        <v/>
      </c>
      <c r="F753" s="3" t="str">
        <f>IF(E753="", "", VLOOKUP(B753, 'S08 ABC Output'!$A$3:$C$18, 3, 0))</f>
        <v/>
      </c>
    </row>
    <row r="754" spans="1:53" ht="17">
      <c r="A754" s="3">
        <v>17</v>
      </c>
      <c r="B754" s="196" t="str">
        <f>IFERROR(INDEX('S15 Routing Clustered'!$A$3:$A$18, A754), "")</f>
        <v/>
      </c>
      <c r="C754" s="3">
        <v>10</v>
      </c>
      <c r="D754" s="287" t="str">
        <f>IFERROR(HLOOKUP(C754, 'S15 Routing Clustered'!$B$2:$I$18,A754+1, 0), "")</f>
        <v/>
      </c>
      <c r="E754" s="287" t="str">
        <f t="shared" si="39"/>
        <v/>
      </c>
      <c r="F754" s="3" t="str">
        <f>IF(E754="", "", VLOOKUP(B754, 'S08 ABC Output'!$A$3:$C$18, 3, 0))</f>
        <v/>
      </c>
      <c r="I754" s="288"/>
      <c r="J754" s="288" t="str">
        <f>J707</f>
        <v>WS-01</v>
      </c>
      <c r="K754" s="288" t="str">
        <f t="shared" ref="K754:BA754" si="42">K707</f>
        <v>WS-02</v>
      </c>
      <c r="L754" s="288" t="str">
        <f t="shared" si="42"/>
        <v>WS-03</v>
      </c>
      <c r="M754" s="288" t="str">
        <f t="shared" si="42"/>
        <v>WS-04</v>
      </c>
      <c r="N754" s="288" t="str">
        <f t="shared" si="42"/>
        <v>WS-05</v>
      </c>
      <c r="O754" s="288" t="str">
        <f t="shared" si="42"/>
        <v>WS-06</v>
      </c>
      <c r="P754" s="288" t="str">
        <f t="shared" si="42"/>
        <v>WS-07</v>
      </c>
      <c r="Q754" s="288" t="str">
        <f t="shared" si="42"/>
        <v>WS-08</v>
      </c>
      <c r="R754" s="288" t="str">
        <f t="shared" si="42"/>
        <v>WS-09</v>
      </c>
      <c r="S754" s="288" t="str">
        <f t="shared" si="42"/>
        <v>WS-10</v>
      </c>
      <c r="T754" s="288" t="str">
        <f t="shared" si="42"/>
        <v>WS-11</v>
      </c>
      <c r="U754" s="288" t="str">
        <f t="shared" si="42"/>
        <v>WS-12</v>
      </c>
      <c r="V754" s="288" t="str">
        <f t="shared" si="42"/>
        <v>WS-13</v>
      </c>
      <c r="W754" s="288" t="str">
        <f t="shared" si="42"/>
        <v>WS-14</v>
      </c>
      <c r="X754" s="288" t="str">
        <f t="shared" si="42"/>
        <v>WS-15</v>
      </c>
      <c r="Y754" s="288" t="str">
        <f t="shared" si="42"/>
        <v>WS-16</v>
      </c>
      <c r="Z754" s="288" t="str">
        <f t="shared" si="42"/>
        <v>WS-17</v>
      </c>
      <c r="AA754" s="288" t="str">
        <f t="shared" si="42"/>
        <v>WS-18</v>
      </c>
      <c r="AB754" s="288" t="str">
        <f t="shared" si="42"/>
        <v>WS-19</v>
      </c>
      <c r="AC754" s="288" t="str">
        <f t="shared" si="42"/>
        <v>WS-20</v>
      </c>
      <c r="AD754" s="288" t="str">
        <f t="shared" si="42"/>
        <v>WS-21</v>
      </c>
      <c r="AE754" s="288" t="str">
        <f t="shared" si="42"/>
        <v>WS-22</v>
      </c>
      <c r="AF754" s="288" t="str">
        <f t="shared" si="42"/>
        <v>WS-23</v>
      </c>
      <c r="AG754" s="288" t="str">
        <f t="shared" si="42"/>
        <v>WS-24</v>
      </c>
      <c r="AH754" s="288" t="str">
        <f t="shared" si="42"/>
        <v>WS-25</v>
      </c>
      <c r="AI754" s="288" t="str">
        <f t="shared" si="42"/>
        <v>WS-26</v>
      </c>
      <c r="AJ754" s="288" t="str">
        <f t="shared" si="42"/>
        <v>WS-27</v>
      </c>
      <c r="AK754" s="288" t="str">
        <f t="shared" si="42"/>
        <v>WS-28</v>
      </c>
      <c r="AL754" s="288" t="str">
        <f t="shared" si="42"/>
        <v>WS-29</v>
      </c>
      <c r="AM754" s="288" t="str">
        <f t="shared" si="42"/>
        <v>WS-30</v>
      </c>
      <c r="AN754" s="288" t="str">
        <f t="shared" si="42"/>
        <v>WS-31</v>
      </c>
      <c r="AO754" s="288" t="str">
        <f t="shared" si="42"/>
        <v>WS-32</v>
      </c>
      <c r="AP754" s="288" t="str">
        <f t="shared" si="42"/>
        <v>WS-33</v>
      </c>
      <c r="AQ754" s="288" t="str">
        <f t="shared" si="42"/>
        <v>WS-34</v>
      </c>
      <c r="AR754" s="288" t="str">
        <f t="shared" si="42"/>
        <v>WS-35</v>
      </c>
      <c r="AS754" s="288" t="str">
        <f t="shared" si="42"/>
        <v>WS-36</v>
      </c>
      <c r="AT754" s="288" t="str">
        <f t="shared" si="42"/>
        <v>WS-37</v>
      </c>
      <c r="AU754" s="288" t="str">
        <f t="shared" si="42"/>
        <v>WS-38</v>
      </c>
      <c r="AV754" s="288" t="str">
        <f t="shared" si="42"/>
        <v>WS-39</v>
      </c>
      <c r="AW754" s="288" t="str">
        <f t="shared" si="42"/>
        <v>WS-40</v>
      </c>
      <c r="AX754" s="288" t="str">
        <f t="shared" si="42"/>
        <v>WS-41</v>
      </c>
      <c r="AY754" s="288" t="str">
        <f t="shared" si="42"/>
        <v>WS-42</v>
      </c>
      <c r="AZ754" s="288" t="str">
        <f t="shared" si="42"/>
        <v>WS-43</v>
      </c>
      <c r="BA754" s="288" t="str">
        <f t="shared" si="42"/>
        <v>WS-44</v>
      </c>
    </row>
    <row r="755" spans="1:53" ht="17">
      <c r="A755" s="3">
        <v>17</v>
      </c>
      <c r="B755" s="196" t="str">
        <f>IFERROR(INDEX('S15 Routing Clustered'!$A$3:$A$18, A755), "")</f>
        <v/>
      </c>
      <c r="C755" s="3">
        <v>20</v>
      </c>
      <c r="D755" s="287" t="str">
        <f>IFERROR(HLOOKUP(C755, 'S15 Routing Clustered'!$B$2:$I$18,A755+1, 0), "")</f>
        <v/>
      </c>
      <c r="E755" s="287" t="str">
        <f t="shared" si="39"/>
        <v/>
      </c>
      <c r="F755" s="3" t="str">
        <f>IF(E755="", "", VLOOKUP(B755, 'S08 ABC Output'!$A$3:$C$18, 3, 0))</f>
        <v/>
      </c>
      <c r="I755" s="288" t="str">
        <f>I708</f>
        <v>WS-01</v>
      </c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</row>
    <row r="756" spans="1:53" ht="17">
      <c r="A756" s="3">
        <v>17</v>
      </c>
      <c r="B756" s="196" t="str">
        <f>IFERROR(INDEX('S15 Routing Clustered'!$A$3:$A$18, A756), "")</f>
        <v/>
      </c>
      <c r="C756" s="3">
        <v>30</v>
      </c>
      <c r="D756" s="287" t="str">
        <f>IFERROR(HLOOKUP(C756, 'S15 Routing Clustered'!$B$2:$I$18,A756+1, 0), "")</f>
        <v/>
      </c>
      <c r="E756" s="287" t="str">
        <f t="shared" si="39"/>
        <v/>
      </c>
      <c r="F756" s="3" t="str">
        <f>IF(E756="", "", VLOOKUP(B756, 'S08 ABC Output'!$A$3:$C$18, 3, 0))</f>
        <v/>
      </c>
      <c r="I756" s="288" t="str">
        <f t="shared" ref="I756:I798" si="43">I709</f>
        <v>WS-02</v>
      </c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</row>
    <row r="757" spans="1:53" ht="17">
      <c r="A757" s="3">
        <v>17</v>
      </c>
      <c r="B757" s="196" t="str">
        <f>IFERROR(INDEX('S15 Routing Clustered'!$A$3:$A$18, A757), "")</f>
        <v/>
      </c>
      <c r="C757" s="3">
        <v>40</v>
      </c>
      <c r="D757" s="287" t="str">
        <f>IFERROR(HLOOKUP(C757, 'S15 Routing Clustered'!$B$2:$I$18,A757+1, 0), "")</f>
        <v/>
      </c>
      <c r="E757" s="287" t="str">
        <f t="shared" si="39"/>
        <v/>
      </c>
      <c r="F757" s="3" t="str">
        <f>IF(E757="", "", VLOOKUP(B757, 'S08 ABC Output'!$A$3:$C$18, 3, 0))</f>
        <v/>
      </c>
      <c r="I757" s="288" t="str">
        <f t="shared" si="43"/>
        <v>WS-03</v>
      </c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</row>
    <row r="758" spans="1:53" ht="17">
      <c r="A758" s="3">
        <v>17</v>
      </c>
      <c r="B758" s="196" t="str">
        <f>IFERROR(INDEX('S15 Routing Clustered'!$A$3:$A$18, A758), "")</f>
        <v/>
      </c>
      <c r="C758" s="3">
        <v>50</v>
      </c>
      <c r="D758" s="287" t="str">
        <f>IFERROR(HLOOKUP(C758, 'S15 Routing Clustered'!$B$2:$I$18,A758+1, 0), "")</f>
        <v/>
      </c>
      <c r="E758" s="287" t="str">
        <f t="shared" si="39"/>
        <v/>
      </c>
      <c r="F758" s="3" t="str">
        <f>IF(E758="", "", VLOOKUP(B758, 'S08 ABC Output'!$A$3:$C$18, 3, 0))</f>
        <v/>
      </c>
      <c r="I758" s="288" t="str">
        <f t="shared" si="43"/>
        <v>WS-04</v>
      </c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</row>
    <row r="759" spans="1:53" ht="17">
      <c r="A759" s="3">
        <v>17</v>
      </c>
      <c r="B759" s="196" t="str">
        <f>IFERROR(INDEX('S15 Routing Clustered'!$A$3:$A$18, A759), "")</f>
        <v/>
      </c>
      <c r="C759" s="3">
        <v>60</v>
      </c>
      <c r="D759" s="287" t="str">
        <f>IFERROR(HLOOKUP(C759, 'S15 Routing Clustered'!$B$2:$I$18,A759+1, 0), "")</f>
        <v/>
      </c>
      <c r="E759" s="287" t="str">
        <f t="shared" si="39"/>
        <v/>
      </c>
      <c r="F759" s="3" t="str">
        <f>IF(E759="", "", VLOOKUP(B759, 'S08 ABC Output'!$A$3:$C$18, 3, 0))</f>
        <v/>
      </c>
      <c r="I759" s="288" t="str">
        <f t="shared" si="43"/>
        <v>WS-05</v>
      </c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</row>
    <row r="760" spans="1:53" ht="17">
      <c r="A760" s="3">
        <v>17</v>
      </c>
      <c r="B760" s="196" t="str">
        <f>IFERROR(INDEX('S15 Routing Clustered'!$A$3:$A$18, A760), "")</f>
        <v/>
      </c>
      <c r="C760" s="3">
        <v>70</v>
      </c>
      <c r="D760" s="287" t="str">
        <f>IFERROR(HLOOKUP(C760, 'S15 Routing Clustered'!$B$2:$I$18,A760+1, 0), "")</f>
        <v/>
      </c>
      <c r="E760" s="287" t="str">
        <f t="shared" si="39"/>
        <v/>
      </c>
      <c r="F760" s="3" t="str">
        <f>IF(E760="", "", VLOOKUP(B760, 'S08 ABC Output'!$A$3:$C$18, 3, 0))</f>
        <v/>
      </c>
      <c r="I760" s="288" t="str">
        <f t="shared" si="43"/>
        <v>WS-06</v>
      </c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</row>
    <row r="761" spans="1:53" ht="17">
      <c r="A761" s="3">
        <v>17</v>
      </c>
      <c r="B761" s="196" t="str">
        <f>IFERROR(INDEX('S15 Routing Clustered'!$A$3:$A$18, A761), "")</f>
        <v/>
      </c>
      <c r="C761" s="3">
        <v>80</v>
      </c>
      <c r="D761" s="287" t="str">
        <f>IFERROR(HLOOKUP(C761, 'S15 Routing Clustered'!$B$2:$I$18,A761+1, 0), "")</f>
        <v/>
      </c>
      <c r="E761" s="287" t="str">
        <f t="shared" si="39"/>
        <v/>
      </c>
      <c r="F761" s="3" t="str">
        <f>IF(E761="", "", VLOOKUP(B761, 'S08 ABC Output'!$A$3:$C$18, 3, 0))</f>
        <v/>
      </c>
      <c r="I761" s="288" t="str">
        <f t="shared" si="43"/>
        <v>WS-07</v>
      </c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</row>
    <row r="762" spans="1:53" ht="17">
      <c r="A762" s="3">
        <v>17</v>
      </c>
      <c r="B762" s="196" t="str">
        <f>IFERROR(INDEX('S15 Routing Clustered'!$A$3:$A$18, A762), "")</f>
        <v/>
      </c>
      <c r="C762" s="3">
        <v>90</v>
      </c>
      <c r="D762" s="287" t="str">
        <f>IFERROR(HLOOKUP(C762, 'S15 Routing Clustered'!$B$2:$I$18,A762+1, 0), "")</f>
        <v/>
      </c>
      <c r="E762" s="287" t="str">
        <f t="shared" si="39"/>
        <v/>
      </c>
      <c r="F762" s="3" t="str">
        <f>IF(E762="", "", VLOOKUP(B762, 'S08 ABC Output'!$A$3:$C$18, 3, 0))</f>
        <v/>
      </c>
      <c r="I762" s="288" t="str">
        <f t="shared" si="43"/>
        <v>WS-08</v>
      </c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</row>
    <row r="763" spans="1:53" ht="17">
      <c r="A763" s="3">
        <v>17</v>
      </c>
      <c r="B763" s="196" t="str">
        <f>IFERROR(INDEX('S15 Routing Clustered'!$A$3:$A$18, A763), "")</f>
        <v/>
      </c>
      <c r="C763" s="3">
        <v>100</v>
      </c>
      <c r="D763" s="287" t="str">
        <f>IFERROR(HLOOKUP(C763, 'S15 Routing Clustered'!$B$2:$I$18,A763+1, 0), "")</f>
        <v/>
      </c>
      <c r="E763" s="287" t="str">
        <f t="shared" si="39"/>
        <v/>
      </c>
      <c r="F763" s="3" t="str">
        <f>IF(E763="", "", VLOOKUP(B763, 'S08 ABC Output'!$A$3:$C$18, 3, 0))</f>
        <v/>
      </c>
      <c r="I763" s="288" t="str">
        <f t="shared" si="43"/>
        <v>WS-09</v>
      </c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</row>
    <row r="764" spans="1:53" ht="17">
      <c r="A764" s="3">
        <v>17</v>
      </c>
      <c r="B764" s="196" t="str">
        <f>IFERROR(INDEX('S15 Routing Clustered'!$A$3:$A$18, A764), "")</f>
        <v/>
      </c>
      <c r="C764" s="3">
        <v>110</v>
      </c>
      <c r="D764" s="287" t="str">
        <f>IFERROR(HLOOKUP(C764, 'S15 Routing Clustered'!$B$2:$I$18,A764+1, 0), "")</f>
        <v/>
      </c>
      <c r="E764" s="287" t="str">
        <f t="shared" si="39"/>
        <v/>
      </c>
      <c r="F764" s="3" t="str">
        <f>IF(E764="", "", VLOOKUP(B764, 'S08 ABC Output'!$A$3:$C$18, 3, 0))</f>
        <v/>
      </c>
      <c r="I764" s="288" t="str">
        <f t="shared" si="43"/>
        <v>WS-10</v>
      </c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</row>
    <row r="765" spans="1:53" ht="17">
      <c r="A765" s="3">
        <v>17</v>
      </c>
      <c r="B765" s="196" t="str">
        <f>IFERROR(INDEX('S15 Routing Clustered'!$A$3:$A$18, A765), "")</f>
        <v/>
      </c>
      <c r="C765" s="3">
        <v>120</v>
      </c>
      <c r="D765" s="287" t="str">
        <f>IFERROR(HLOOKUP(C765, 'S15 Routing Clustered'!$B$2:$I$18,A765+1, 0), "")</f>
        <v/>
      </c>
      <c r="E765" s="287" t="str">
        <f t="shared" si="39"/>
        <v/>
      </c>
      <c r="F765" s="3" t="str">
        <f>IF(E765="", "", VLOOKUP(B765, 'S08 ABC Output'!$A$3:$C$18, 3, 0))</f>
        <v/>
      </c>
      <c r="I765" s="288" t="str">
        <f t="shared" si="43"/>
        <v>WS-11</v>
      </c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</row>
    <row r="766" spans="1:53" ht="17">
      <c r="A766" s="3">
        <v>17</v>
      </c>
      <c r="B766" s="196" t="str">
        <f>IFERROR(INDEX('S15 Routing Clustered'!$A$3:$A$18, A766), "")</f>
        <v/>
      </c>
      <c r="C766" s="3">
        <v>130</v>
      </c>
      <c r="D766" s="287" t="str">
        <f>IFERROR(HLOOKUP(C766, 'S15 Routing Clustered'!$B$2:$I$18,A766+1, 0), "")</f>
        <v/>
      </c>
      <c r="E766" s="287" t="str">
        <f t="shared" si="39"/>
        <v/>
      </c>
      <c r="F766" s="3" t="str">
        <f>IF(E766="", "", VLOOKUP(B766, 'S08 ABC Output'!$A$3:$C$18, 3, 0))</f>
        <v/>
      </c>
      <c r="I766" s="288" t="str">
        <f t="shared" si="43"/>
        <v>WS-12</v>
      </c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</row>
    <row r="767" spans="1:53" ht="17">
      <c r="A767" s="3">
        <v>17</v>
      </c>
      <c r="B767" s="196" t="str">
        <f>IFERROR(INDEX('S15 Routing Clustered'!$A$3:$A$18, A767), "")</f>
        <v/>
      </c>
      <c r="C767" s="3">
        <v>140</v>
      </c>
      <c r="D767" s="287" t="str">
        <f>IFERROR(HLOOKUP(C767, 'S15 Routing Clustered'!$B$2:$I$18,A767+1, 0), "")</f>
        <v/>
      </c>
      <c r="E767" s="287" t="str">
        <f t="shared" si="39"/>
        <v/>
      </c>
      <c r="F767" s="3" t="str">
        <f>IF(E767="", "", VLOOKUP(B767, 'S08 ABC Output'!$A$3:$C$18, 3, 0))</f>
        <v/>
      </c>
      <c r="I767" s="288" t="str">
        <f t="shared" si="43"/>
        <v>WS-13</v>
      </c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</row>
    <row r="768" spans="1:53" ht="17">
      <c r="A768" s="3">
        <v>17</v>
      </c>
      <c r="B768" s="196" t="str">
        <f>IFERROR(INDEX('S15 Routing Clustered'!$A$3:$A$18, A768), "")</f>
        <v/>
      </c>
      <c r="C768" s="3">
        <v>150</v>
      </c>
      <c r="D768" s="287" t="str">
        <f>IFERROR(HLOOKUP(C768, 'S15 Routing Clustered'!$B$2:$I$18,A768+1, 0), "")</f>
        <v/>
      </c>
      <c r="E768" s="287" t="str">
        <f t="shared" si="39"/>
        <v/>
      </c>
      <c r="F768" s="3" t="str">
        <f>IF(E768="", "", VLOOKUP(B768, 'S08 ABC Output'!$A$3:$C$18, 3, 0))</f>
        <v/>
      </c>
      <c r="I768" s="288" t="str">
        <f t="shared" si="43"/>
        <v>WS-14</v>
      </c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</row>
    <row r="769" spans="1:53" ht="17">
      <c r="A769" s="3">
        <v>17</v>
      </c>
      <c r="B769" s="196" t="str">
        <f>IFERROR(INDEX('S15 Routing Clustered'!$A$3:$A$18, A769), "")</f>
        <v/>
      </c>
      <c r="C769" s="3">
        <v>160</v>
      </c>
      <c r="D769" s="287" t="str">
        <f>IFERROR(HLOOKUP(C769, 'S15 Routing Clustered'!$B$2:$I$18,A769+1, 0), "")</f>
        <v/>
      </c>
      <c r="E769" s="287" t="str">
        <f t="shared" si="39"/>
        <v/>
      </c>
      <c r="F769" s="3" t="str">
        <f>IF(E769="", "", VLOOKUP(B769, 'S08 ABC Output'!$A$3:$C$18, 3, 0))</f>
        <v/>
      </c>
      <c r="I769" s="288" t="str">
        <f t="shared" si="43"/>
        <v>WS-15</v>
      </c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</row>
    <row r="770" spans="1:53" ht="17">
      <c r="A770" s="3">
        <v>17</v>
      </c>
      <c r="B770" s="196" t="str">
        <f>IFERROR(INDEX('S15 Routing Clustered'!$A$3:$A$18, A770), "")</f>
        <v/>
      </c>
      <c r="C770" s="3">
        <v>170</v>
      </c>
      <c r="D770" s="287" t="str">
        <f>IFERROR(HLOOKUP(C770, 'S15 Routing Clustered'!$B$2:$I$18,A770+1, 0), "")</f>
        <v/>
      </c>
      <c r="E770" s="287" t="str">
        <f t="shared" si="39"/>
        <v/>
      </c>
      <c r="F770" s="3" t="str">
        <f>IF(E770="", "", VLOOKUP(B770, 'S08 ABC Output'!$A$3:$C$18, 3, 0))</f>
        <v/>
      </c>
      <c r="I770" s="288" t="str">
        <f t="shared" si="43"/>
        <v>WS-16</v>
      </c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</row>
    <row r="771" spans="1:53" ht="17">
      <c r="A771" s="3">
        <v>17</v>
      </c>
      <c r="B771" s="196" t="str">
        <f>IFERROR(INDEX('S15 Routing Clustered'!$A$3:$A$18, A771), "")</f>
        <v/>
      </c>
      <c r="C771" s="3">
        <v>180</v>
      </c>
      <c r="D771" s="287" t="str">
        <f>IFERROR(HLOOKUP(C771, 'S15 Routing Clustered'!$B$2:$I$18,A771+1, 0), "")</f>
        <v/>
      </c>
      <c r="E771" s="287" t="str">
        <f t="shared" ref="E771:E834" si="44">IF(D771="", "", D772)</f>
        <v/>
      </c>
      <c r="F771" s="3" t="str">
        <f>IF(E771="", "", VLOOKUP(B771, 'S08 ABC Output'!$A$3:$C$18, 3, 0))</f>
        <v/>
      </c>
      <c r="I771" s="288" t="str">
        <f t="shared" si="43"/>
        <v>WS-17</v>
      </c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</row>
    <row r="772" spans="1:53" ht="17">
      <c r="A772" s="3">
        <v>17</v>
      </c>
      <c r="B772" s="196" t="str">
        <f>IFERROR(INDEX('S15 Routing Clustered'!$A$3:$A$18, A772), "")</f>
        <v/>
      </c>
      <c r="C772" s="3">
        <v>190</v>
      </c>
      <c r="D772" s="287" t="str">
        <f>IFERROR(HLOOKUP(C772, 'S15 Routing Clustered'!$B$2:$I$18,A772+1, 0), "")</f>
        <v/>
      </c>
      <c r="E772" s="287" t="str">
        <f t="shared" si="44"/>
        <v/>
      </c>
      <c r="F772" s="3" t="str">
        <f>IF(E772="", "", VLOOKUP(B772, 'S08 ABC Output'!$A$3:$C$18, 3, 0))</f>
        <v/>
      </c>
      <c r="I772" s="288" t="str">
        <f t="shared" si="43"/>
        <v>WS-18</v>
      </c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</row>
    <row r="773" spans="1:53" ht="17">
      <c r="A773" s="3">
        <v>17</v>
      </c>
      <c r="B773" s="196" t="str">
        <f>IFERROR(INDEX('S15 Routing Clustered'!$A$3:$A$18, A773), "")</f>
        <v/>
      </c>
      <c r="C773" s="3">
        <v>200</v>
      </c>
      <c r="D773" s="287" t="str">
        <f>IFERROR(HLOOKUP(C773, 'S15 Routing Clustered'!$B$2:$I$18,A773+1, 0), "")</f>
        <v/>
      </c>
      <c r="E773" s="287" t="str">
        <f t="shared" si="44"/>
        <v/>
      </c>
      <c r="F773" s="3" t="str">
        <f>IF(E773="", "", VLOOKUP(B773, 'S08 ABC Output'!$A$3:$C$18, 3, 0))</f>
        <v/>
      </c>
      <c r="I773" s="288" t="str">
        <f t="shared" si="43"/>
        <v>WS-19</v>
      </c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</row>
    <row r="774" spans="1:53" ht="17">
      <c r="A774" s="3">
        <v>17</v>
      </c>
      <c r="B774" s="196" t="str">
        <f>IFERROR(INDEX('S15 Routing Clustered'!$A$3:$A$18, A774), "")</f>
        <v/>
      </c>
      <c r="C774" s="3">
        <v>210</v>
      </c>
      <c r="D774" s="287" t="str">
        <f>IFERROR(HLOOKUP(C774, 'S15 Routing Clustered'!$B$2:$I$18,A774+1, 0), "")</f>
        <v/>
      </c>
      <c r="E774" s="287" t="str">
        <f t="shared" si="44"/>
        <v/>
      </c>
      <c r="F774" s="3" t="str">
        <f>IF(E774="", "", VLOOKUP(B774, 'S08 ABC Output'!$A$3:$C$18, 3, 0))</f>
        <v/>
      </c>
      <c r="I774" s="288" t="str">
        <f t="shared" si="43"/>
        <v>WS-20</v>
      </c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</row>
    <row r="775" spans="1:53" ht="17">
      <c r="A775" s="3">
        <v>17</v>
      </c>
      <c r="B775" s="196" t="str">
        <f>IFERROR(INDEX('S15 Routing Clustered'!$A$3:$A$18, A775), "")</f>
        <v/>
      </c>
      <c r="C775" s="3">
        <v>220</v>
      </c>
      <c r="D775" s="287" t="str">
        <f>IFERROR(HLOOKUP(C775, 'S15 Routing Clustered'!$B$2:$I$18,A775+1, 0), "")</f>
        <v/>
      </c>
      <c r="E775" s="287" t="str">
        <f t="shared" si="44"/>
        <v/>
      </c>
      <c r="F775" s="3" t="str">
        <f>IF(E775="", "", VLOOKUP(B775, 'S08 ABC Output'!$A$3:$C$18, 3, 0))</f>
        <v/>
      </c>
      <c r="I775" s="288" t="str">
        <f t="shared" si="43"/>
        <v>WS-21</v>
      </c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</row>
    <row r="776" spans="1:53" ht="17">
      <c r="A776" s="3">
        <v>17</v>
      </c>
      <c r="B776" s="196" t="str">
        <f>IFERROR(INDEX('S15 Routing Clustered'!$A$3:$A$18, A776), "")</f>
        <v/>
      </c>
      <c r="C776" s="3">
        <v>230</v>
      </c>
      <c r="D776" s="287" t="str">
        <f>IFERROR(HLOOKUP(C776, 'S15 Routing Clustered'!$B$2:$I$18,A776+1, 0), "")</f>
        <v/>
      </c>
      <c r="E776" s="287" t="str">
        <f t="shared" si="44"/>
        <v/>
      </c>
      <c r="F776" s="3" t="str">
        <f>IF(E776="", "", VLOOKUP(B776, 'S08 ABC Output'!$A$3:$C$18, 3, 0))</f>
        <v/>
      </c>
      <c r="I776" s="288" t="str">
        <f t="shared" si="43"/>
        <v>WS-22</v>
      </c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</row>
    <row r="777" spans="1:53" ht="17">
      <c r="A777" s="3">
        <v>17</v>
      </c>
      <c r="B777" s="196" t="str">
        <f>IFERROR(INDEX('S15 Routing Clustered'!$A$3:$A$18, A777), "")</f>
        <v/>
      </c>
      <c r="C777" s="3">
        <v>240</v>
      </c>
      <c r="D777" s="287" t="str">
        <f>IFERROR(HLOOKUP(C777, 'S15 Routing Clustered'!$B$2:$I$18,A777+1, 0), "")</f>
        <v/>
      </c>
      <c r="E777" s="287" t="str">
        <f t="shared" si="44"/>
        <v/>
      </c>
      <c r="F777" s="3" t="str">
        <f>IF(E777="", "", VLOOKUP(B777, 'S08 ABC Output'!$A$3:$C$18, 3, 0))</f>
        <v/>
      </c>
      <c r="I777" s="288" t="str">
        <f t="shared" si="43"/>
        <v>WS-23</v>
      </c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</row>
    <row r="778" spans="1:53" ht="17">
      <c r="A778" s="3">
        <v>17</v>
      </c>
      <c r="B778" s="196" t="str">
        <f>IFERROR(INDEX('S15 Routing Clustered'!$A$3:$A$18, A778), "")</f>
        <v/>
      </c>
      <c r="C778" s="3">
        <v>250</v>
      </c>
      <c r="D778" s="287" t="str">
        <f>IFERROR(HLOOKUP(C778, 'S15 Routing Clustered'!$B$2:$I$18,A778+1, 0), "")</f>
        <v/>
      </c>
      <c r="E778" s="287" t="str">
        <f t="shared" si="44"/>
        <v/>
      </c>
      <c r="F778" s="3" t="str">
        <f>IF(E778="", "", VLOOKUP(B778, 'S08 ABC Output'!$A$3:$C$18, 3, 0))</f>
        <v/>
      </c>
      <c r="I778" s="288" t="str">
        <f t="shared" si="43"/>
        <v>WS-24</v>
      </c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</row>
    <row r="779" spans="1:53" ht="17">
      <c r="A779" s="3">
        <v>17</v>
      </c>
      <c r="B779" s="196" t="str">
        <f>IFERROR(INDEX('S15 Routing Clustered'!$A$3:$A$18, A779), "")</f>
        <v/>
      </c>
      <c r="C779" s="3">
        <v>260</v>
      </c>
      <c r="D779" s="287" t="str">
        <f>IFERROR(HLOOKUP(C779, 'S15 Routing Clustered'!$B$2:$I$18,A779+1, 0), "")</f>
        <v/>
      </c>
      <c r="E779" s="287" t="str">
        <f t="shared" si="44"/>
        <v/>
      </c>
      <c r="F779" s="3" t="str">
        <f>IF(E779="", "", VLOOKUP(B779, 'S08 ABC Output'!$A$3:$C$18, 3, 0))</f>
        <v/>
      </c>
      <c r="I779" s="288" t="str">
        <f t="shared" si="43"/>
        <v>WS-25</v>
      </c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</row>
    <row r="780" spans="1:53" ht="17">
      <c r="A780" s="3">
        <v>17</v>
      </c>
      <c r="B780" s="196" t="str">
        <f>IFERROR(INDEX('S15 Routing Clustered'!$A$3:$A$18, A780), "")</f>
        <v/>
      </c>
      <c r="C780" s="3">
        <v>270</v>
      </c>
      <c r="D780" s="287" t="str">
        <f>IFERROR(HLOOKUP(C780, 'S15 Routing Clustered'!$B$2:$I$18,A780+1, 0), "")</f>
        <v/>
      </c>
      <c r="E780" s="287" t="str">
        <f t="shared" si="44"/>
        <v/>
      </c>
      <c r="F780" s="3" t="str">
        <f>IF(E780="", "", VLOOKUP(B780, 'S08 ABC Output'!$A$3:$C$18, 3, 0))</f>
        <v/>
      </c>
      <c r="I780" s="288" t="str">
        <f t="shared" si="43"/>
        <v>WS-26</v>
      </c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</row>
    <row r="781" spans="1:53" ht="17">
      <c r="A781" s="3">
        <v>17</v>
      </c>
      <c r="B781" s="196" t="str">
        <f>IFERROR(INDEX('S15 Routing Clustered'!$A$3:$A$18, A781), "")</f>
        <v/>
      </c>
      <c r="C781" s="3">
        <v>280</v>
      </c>
      <c r="D781" s="287" t="str">
        <f>IFERROR(HLOOKUP(C781, 'S15 Routing Clustered'!$B$2:$I$18,A781+1, 0), "")</f>
        <v/>
      </c>
      <c r="E781" s="287" t="str">
        <f t="shared" si="44"/>
        <v/>
      </c>
      <c r="F781" s="3" t="str">
        <f>IF(E781="", "", VLOOKUP(B781, 'S08 ABC Output'!$A$3:$C$18, 3, 0))</f>
        <v/>
      </c>
      <c r="I781" s="288" t="str">
        <f t="shared" si="43"/>
        <v>WS-27</v>
      </c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</row>
    <row r="782" spans="1:53" ht="17">
      <c r="A782" s="3">
        <v>17</v>
      </c>
      <c r="B782" s="196" t="str">
        <f>IFERROR(INDEX('S15 Routing Clustered'!$A$3:$A$18, A782), "")</f>
        <v/>
      </c>
      <c r="C782" s="3">
        <v>290</v>
      </c>
      <c r="D782" s="287" t="str">
        <f>IFERROR(HLOOKUP(C782, 'S15 Routing Clustered'!$B$2:$I$18,A782+1, 0), "")</f>
        <v/>
      </c>
      <c r="E782" s="287" t="str">
        <f t="shared" si="44"/>
        <v/>
      </c>
      <c r="F782" s="3" t="str">
        <f>IF(E782="", "", VLOOKUP(B782, 'S08 ABC Output'!$A$3:$C$18, 3, 0))</f>
        <v/>
      </c>
      <c r="I782" s="288" t="str">
        <f t="shared" si="43"/>
        <v>WS-28</v>
      </c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</row>
    <row r="783" spans="1:53" ht="17">
      <c r="A783" s="3">
        <v>17</v>
      </c>
      <c r="B783" s="196" t="str">
        <f>IFERROR(INDEX('S15 Routing Clustered'!$A$3:$A$18, A783), "")</f>
        <v/>
      </c>
      <c r="C783" s="3">
        <v>300</v>
      </c>
      <c r="D783" s="287" t="str">
        <f>IFERROR(HLOOKUP(C783, 'S15 Routing Clustered'!$B$2:$I$18,A783+1, 0), "")</f>
        <v/>
      </c>
      <c r="E783" s="287" t="str">
        <f t="shared" si="44"/>
        <v/>
      </c>
      <c r="F783" s="3" t="str">
        <f>IF(E783="", "", VLOOKUP(B783, 'S08 ABC Output'!$A$3:$C$18, 3, 0))</f>
        <v/>
      </c>
      <c r="I783" s="288" t="str">
        <f t="shared" si="43"/>
        <v>WS-29</v>
      </c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</row>
    <row r="784" spans="1:53" ht="17">
      <c r="A784" s="3">
        <v>17</v>
      </c>
      <c r="B784" s="196" t="str">
        <f>IFERROR(INDEX('S15 Routing Clustered'!$A$3:$A$18, A784), "")</f>
        <v/>
      </c>
      <c r="C784" s="3">
        <v>310</v>
      </c>
      <c r="D784" s="287" t="str">
        <f>IFERROR(HLOOKUP(C784, 'S15 Routing Clustered'!$B$2:$I$18,A784+1, 0), "")</f>
        <v/>
      </c>
      <c r="E784" s="287" t="str">
        <f t="shared" si="44"/>
        <v/>
      </c>
      <c r="F784" s="3" t="str">
        <f>IF(E784="", "", VLOOKUP(B784, 'S08 ABC Output'!$A$3:$C$18, 3, 0))</f>
        <v/>
      </c>
      <c r="I784" s="288" t="str">
        <f t="shared" si="43"/>
        <v>WS-30</v>
      </c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</row>
    <row r="785" spans="1:53" ht="17">
      <c r="A785" s="3">
        <v>17</v>
      </c>
      <c r="B785" s="196" t="str">
        <f>IFERROR(INDEX('S15 Routing Clustered'!$A$3:$A$18, A785), "")</f>
        <v/>
      </c>
      <c r="C785" s="3">
        <v>320</v>
      </c>
      <c r="D785" s="287" t="str">
        <f>IFERROR(HLOOKUP(C785, 'S15 Routing Clustered'!$B$2:$I$18,A785+1, 0), "")</f>
        <v/>
      </c>
      <c r="E785" s="287" t="str">
        <f t="shared" si="44"/>
        <v/>
      </c>
      <c r="F785" s="3" t="str">
        <f>IF(E785="", "", VLOOKUP(B785, 'S08 ABC Output'!$A$3:$C$18, 3, 0))</f>
        <v/>
      </c>
      <c r="I785" s="288" t="str">
        <f t="shared" si="43"/>
        <v>WS-31</v>
      </c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</row>
    <row r="786" spans="1:53" ht="17">
      <c r="A786" s="3">
        <v>17</v>
      </c>
      <c r="B786" s="196" t="str">
        <f>IFERROR(INDEX('S15 Routing Clustered'!$A$3:$A$18, A786), "")</f>
        <v/>
      </c>
      <c r="C786" s="3">
        <v>330</v>
      </c>
      <c r="D786" s="287" t="str">
        <f>IFERROR(HLOOKUP(C786, 'S15 Routing Clustered'!$B$2:$I$18,A786+1, 0), "")</f>
        <v/>
      </c>
      <c r="E786" s="287" t="str">
        <f t="shared" si="44"/>
        <v/>
      </c>
      <c r="F786" s="3" t="str">
        <f>IF(E786="", "", VLOOKUP(B786, 'S08 ABC Output'!$A$3:$C$18, 3, 0))</f>
        <v/>
      </c>
      <c r="I786" s="288" t="str">
        <f t="shared" si="43"/>
        <v>WS-32</v>
      </c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</row>
    <row r="787" spans="1:53" ht="17">
      <c r="A787" s="3">
        <v>17</v>
      </c>
      <c r="B787" s="196" t="str">
        <f>IFERROR(INDEX('S15 Routing Clustered'!$A$3:$A$18, A787), "")</f>
        <v/>
      </c>
      <c r="C787" s="3">
        <v>340</v>
      </c>
      <c r="D787" s="287" t="str">
        <f>IFERROR(HLOOKUP(C787, 'S15 Routing Clustered'!$B$2:$I$18,A787+1, 0), "")</f>
        <v/>
      </c>
      <c r="E787" s="287" t="str">
        <f t="shared" si="44"/>
        <v/>
      </c>
      <c r="F787" s="3" t="str">
        <f>IF(E787="", "", VLOOKUP(B787, 'S08 ABC Output'!$A$3:$C$18, 3, 0))</f>
        <v/>
      </c>
      <c r="I787" s="288" t="str">
        <f t="shared" si="43"/>
        <v>WS-33</v>
      </c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</row>
    <row r="788" spans="1:53" ht="17">
      <c r="A788" s="3">
        <v>17</v>
      </c>
      <c r="B788" s="196" t="str">
        <f>IFERROR(INDEX('S15 Routing Clustered'!$A$3:$A$18, A788), "")</f>
        <v/>
      </c>
      <c r="C788" s="3">
        <v>350</v>
      </c>
      <c r="D788" s="287" t="str">
        <f>IFERROR(HLOOKUP(C788, 'S15 Routing Clustered'!$B$2:$I$18,A788+1, 0), "")</f>
        <v/>
      </c>
      <c r="E788" s="287" t="str">
        <f t="shared" si="44"/>
        <v/>
      </c>
      <c r="F788" s="3" t="str">
        <f>IF(E788="", "", VLOOKUP(B788, 'S08 ABC Output'!$A$3:$C$18, 3, 0))</f>
        <v/>
      </c>
      <c r="I788" s="288" t="str">
        <f t="shared" si="43"/>
        <v>WS-34</v>
      </c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</row>
    <row r="789" spans="1:53" ht="17">
      <c r="A789" s="3">
        <v>17</v>
      </c>
      <c r="B789" s="196" t="str">
        <f>IFERROR(INDEX('S15 Routing Clustered'!$A$3:$A$18, A789), "")</f>
        <v/>
      </c>
      <c r="C789" s="3">
        <v>360</v>
      </c>
      <c r="D789" s="287" t="str">
        <f>IFERROR(HLOOKUP(C789, 'S15 Routing Clustered'!$B$2:$I$18,A789+1, 0), "")</f>
        <v/>
      </c>
      <c r="E789" s="287" t="str">
        <f t="shared" si="44"/>
        <v/>
      </c>
      <c r="F789" s="3" t="str">
        <f>IF(E789="", "", VLOOKUP(B789, 'S08 ABC Output'!$A$3:$C$18, 3, 0))</f>
        <v/>
      </c>
      <c r="I789" s="288" t="str">
        <f t="shared" si="43"/>
        <v>WS-35</v>
      </c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</row>
    <row r="790" spans="1:53" ht="17">
      <c r="A790" s="3">
        <v>17</v>
      </c>
      <c r="B790" s="196" t="str">
        <f>IFERROR(INDEX('S15 Routing Clustered'!$A$3:$A$18, A790), "")</f>
        <v/>
      </c>
      <c r="C790" s="3">
        <v>370</v>
      </c>
      <c r="D790" s="287" t="str">
        <f>IFERROR(HLOOKUP(C790, 'S15 Routing Clustered'!$B$2:$I$18,A790+1, 0), "")</f>
        <v/>
      </c>
      <c r="E790" s="287" t="str">
        <f t="shared" si="44"/>
        <v/>
      </c>
      <c r="F790" s="3" t="str">
        <f>IF(E790="", "", VLOOKUP(B790, 'S08 ABC Output'!$A$3:$C$18, 3, 0))</f>
        <v/>
      </c>
      <c r="I790" s="288" t="str">
        <f t="shared" si="43"/>
        <v>WS-36</v>
      </c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</row>
    <row r="791" spans="1:53" ht="17">
      <c r="A791" s="3">
        <v>17</v>
      </c>
      <c r="B791" s="196" t="str">
        <f>IFERROR(INDEX('S15 Routing Clustered'!$A$3:$A$18, A791), "")</f>
        <v/>
      </c>
      <c r="C791" s="3">
        <v>380</v>
      </c>
      <c r="D791" s="287" t="str">
        <f>IFERROR(HLOOKUP(C791, 'S15 Routing Clustered'!$B$2:$I$18,A791+1, 0), "")</f>
        <v/>
      </c>
      <c r="E791" s="287" t="str">
        <f t="shared" si="44"/>
        <v/>
      </c>
      <c r="F791" s="3" t="str">
        <f>IF(E791="", "", VLOOKUP(B791, 'S08 ABC Output'!$A$3:$C$18, 3, 0))</f>
        <v/>
      </c>
      <c r="I791" s="288" t="str">
        <f t="shared" si="43"/>
        <v>WS-37</v>
      </c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</row>
    <row r="792" spans="1:53" ht="17">
      <c r="A792" s="3">
        <v>17</v>
      </c>
      <c r="B792" s="196" t="str">
        <f>IFERROR(INDEX('S15 Routing Clustered'!$A$3:$A$18, A792), "")</f>
        <v/>
      </c>
      <c r="C792" s="3">
        <v>390</v>
      </c>
      <c r="D792" s="287" t="str">
        <f>IFERROR(HLOOKUP(C792, 'S15 Routing Clustered'!$B$2:$I$18,A792+1, 0), "")</f>
        <v/>
      </c>
      <c r="E792" s="287" t="str">
        <f t="shared" si="44"/>
        <v/>
      </c>
      <c r="F792" s="3" t="str">
        <f>IF(E792="", "", VLOOKUP(B792, 'S08 ABC Output'!$A$3:$C$18, 3, 0))</f>
        <v/>
      </c>
      <c r="I792" s="288" t="str">
        <f t="shared" si="43"/>
        <v>WS-38</v>
      </c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</row>
    <row r="793" spans="1:53" ht="17">
      <c r="A793" s="3">
        <v>17</v>
      </c>
      <c r="B793" s="196" t="str">
        <f>IFERROR(INDEX('S15 Routing Clustered'!$A$3:$A$18, A793), "")</f>
        <v/>
      </c>
      <c r="C793" s="3">
        <v>400</v>
      </c>
      <c r="D793" s="287" t="str">
        <f>IFERROR(HLOOKUP(C793, 'S15 Routing Clustered'!$B$2:$I$18,A793+1, 0), "")</f>
        <v/>
      </c>
      <c r="E793" s="287" t="str">
        <f t="shared" si="44"/>
        <v/>
      </c>
      <c r="F793" s="3" t="str">
        <f>IF(E793="", "", VLOOKUP(B793, 'S08 ABC Output'!$A$3:$C$18, 3, 0))</f>
        <v/>
      </c>
      <c r="I793" s="288" t="str">
        <f t="shared" si="43"/>
        <v>WS-39</v>
      </c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</row>
    <row r="794" spans="1:53" ht="17">
      <c r="A794" s="3">
        <v>17</v>
      </c>
      <c r="B794" s="196" t="str">
        <f>IFERROR(INDEX('S15 Routing Clustered'!$A$3:$A$18, A794), "")</f>
        <v/>
      </c>
      <c r="C794" s="3">
        <v>410</v>
      </c>
      <c r="D794" s="287" t="str">
        <f>IFERROR(HLOOKUP(C794, 'S15 Routing Clustered'!$B$2:$I$18,A794+1, 0), "")</f>
        <v/>
      </c>
      <c r="E794" s="287" t="str">
        <f t="shared" si="44"/>
        <v/>
      </c>
      <c r="F794" s="3" t="str">
        <f>IF(E794="", "", VLOOKUP(B794, 'S08 ABC Output'!$A$3:$C$18, 3, 0))</f>
        <v/>
      </c>
      <c r="I794" s="288" t="str">
        <f t="shared" si="43"/>
        <v>WS-40</v>
      </c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</row>
    <row r="795" spans="1:53" ht="17">
      <c r="A795" s="3">
        <v>17</v>
      </c>
      <c r="B795" s="196" t="str">
        <f>IFERROR(INDEX('S15 Routing Clustered'!$A$3:$A$18, A795), "")</f>
        <v/>
      </c>
      <c r="C795" s="3">
        <v>420</v>
      </c>
      <c r="D795" s="287" t="str">
        <f>IFERROR(HLOOKUP(C795, 'S15 Routing Clustered'!$B$2:$I$18,A795+1, 0), "")</f>
        <v/>
      </c>
      <c r="E795" s="287" t="str">
        <f t="shared" si="44"/>
        <v/>
      </c>
      <c r="F795" s="3" t="str">
        <f>IF(E795="", "", VLOOKUP(B795, 'S08 ABC Output'!$A$3:$C$18, 3, 0))</f>
        <v/>
      </c>
      <c r="I795" s="288" t="str">
        <f t="shared" si="43"/>
        <v>WS-41</v>
      </c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</row>
    <row r="796" spans="1:53" ht="17">
      <c r="A796" s="3">
        <v>17</v>
      </c>
      <c r="B796" s="196" t="str">
        <f>IFERROR(INDEX('S15 Routing Clustered'!$A$3:$A$18, A796), "")</f>
        <v/>
      </c>
      <c r="C796" s="3">
        <v>430</v>
      </c>
      <c r="D796" s="287" t="str">
        <f>IFERROR(HLOOKUP(C796, 'S15 Routing Clustered'!$B$2:$I$18,A796+1, 0), "")</f>
        <v/>
      </c>
      <c r="E796" s="287" t="str">
        <f t="shared" si="44"/>
        <v/>
      </c>
      <c r="F796" s="3" t="str">
        <f>IF(E796="", "", VLOOKUP(B796, 'S08 ABC Output'!$A$3:$C$18, 3, 0))</f>
        <v/>
      </c>
      <c r="I796" s="288" t="str">
        <f t="shared" si="43"/>
        <v>WS-42</v>
      </c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</row>
    <row r="797" spans="1:53" ht="17">
      <c r="A797" s="3">
        <v>17</v>
      </c>
      <c r="B797" s="196" t="str">
        <f>IFERROR(INDEX('S15 Routing Clustered'!$A$3:$A$18, A797), "")</f>
        <v/>
      </c>
      <c r="C797" s="3">
        <v>440</v>
      </c>
      <c r="D797" s="287" t="str">
        <f>IFERROR(HLOOKUP(C797, 'S15 Routing Clustered'!$B$2:$I$18,A797+1, 0), "")</f>
        <v/>
      </c>
      <c r="E797" s="287" t="str">
        <f t="shared" si="44"/>
        <v/>
      </c>
      <c r="F797" s="3" t="str">
        <f>IF(E797="", "", VLOOKUP(B797, 'S08 ABC Output'!$A$3:$C$18, 3, 0))</f>
        <v/>
      </c>
      <c r="I797" s="288" t="str">
        <f t="shared" si="43"/>
        <v>WS-43</v>
      </c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</row>
    <row r="798" spans="1:53" ht="17">
      <c r="A798" s="3">
        <v>17</v>
      </c>
      <c r="B798" s="196" t="str">
        <f>IFERROR(INDEX('S15 Routing Clustered'!$A$3:$A$18, A798), "")</f>
        <v/>
      </c>
      <c r="C798" s="3">
        <v>450</v>
      </c>
      <c r="D798" s="287" t="str">
        <f>IFERROR(HLOOKUP(C798, 'S15 Routing Clustered'!$B$2:$I$18,A798+1, 0), "")</f>
        <v/>
      </c>
      <c r="E798" s="287" t="str">
        <f t="shared" si="44"/>
        <v/>
      </c>
      <c r="F798" s="3" t="str">
        <f>IF(E798="", "", VLOOKUP(B798, 'S08 ABC Output'!$A$3:$C$18, 3, 0))</f>
        <v/>
      </c>
      <c r="I798" s="288" t="str">
        <f t="shared" si="43"/>
        <v>WS-44</v>
      </c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</row>
    <row r="799" spans="1:53" ht="17">
      <c r="B799" s="196" t="str">
        <f>IFERROR(INDEX('S15 Routing Clustered'!$A$3:$A$18, A799), "")</f>
        <v/>
      </c>
      <c r="D799" s="287" t="str">
        <f>IFERROR(HLOOKUP(C799, 'S15 Routing Clustered'!$B$2:$I$18,A799+1, 0), "")</f>
        <v/>
      </c>
      <c r="E799" s="287" t="str">
        <f t="shared" si="44"/>
        <v/>
      </c>
      <c r="F799" s="3" t="str">
        <f>IF(E799="", "", VLOOKUP(B799, 'S08 ABC Output'!$A$3:$C$18, 3, 0))</f>
        <v/>
      </c>
    </row>
    <row r="800" spans="1:53" ht="17">
      <c r="B800" s="196" t="str">
        <f>IFERROR(INDEX('S15 Routing Clustered'!$A$3:$A$18, A800), "")</f>
        <v/>
      </c>
      <c r="D800" s="287" t="str">
        <f>IFERROR(HLOOKUP(C800, 'S15 Routing Clustered'!$B$2:$I$18,A800+1, 0), "")</f>
        <v/>
      </c>
      <c r="E800" s="287" t="str">
        <f t="shared" si="44"/>
        <v/>
      </c>
      <c r="F800" s="3" t="str">
        <f>IF(E800="", "", VLOOKUP(B800, 'S08 ABC Output'!$A$3:$C$18, 3, 0))</f>
        <v/>
      </c>
    </row>
    <row r="801" spans="1:53" ht="17">
      <c r="A801" s="3">
        <v>18</v>
      </c>
      <c r="B801" s="196" t="str">
        <f>IFERROR(INDEX('S15 Routing Clustered'!$A$3:$A$18, A801), "")</f>
        <v/>
      </c>
      <c r="C801" s="3">
        <v>10</v>
      </c>
      <c r="D801" s="287" t="str">
        <f>IFERROR(HLOOKUP(C801, 'S15 Routing Clustered'!$B$2:$I$18,A801+1, 0), "")</f>
        <v/>
      </c>
      <c r="E801" s="287" t="str">
        <f t="shared" si="44"/>
        <v/>
      </c>
      <c r="F801" s="3" t="str">
        <f>IF(E801="", "", VLOOKUP(B801, 'S08 ABC Output'!$A$3:$C$18, 3, 0))</f>
        <v/>
      </c>
      <c r="I801" s="288"/>
      <c r="J801" s="288" t="str">
        <f>J754</f>
        <v>WS-01</v>
      </c>
      <c r="K801" s="288" t="str">
        <f t="shared" ref="K801:BA801" si="45">K754</f>
        <v>WS-02</v>
      </c>
      <c r="L801" s="288" t="str">
        <f t="shared" si="45"/>
        <v>WS-03</v>
      </c>
      <c r="M801" s="288" t="str">
        <f t="shared" si="45"/>
        <v>WS-04</v>
      </c>
      <c r="N801" s="288" t="str">
        <f t="shared" si="45"/>
        <v>WS-05</v>
      </c>
      <c r="O801" s="288" t="str">
        <f t="shared" si="45"/>
        <v>WS-06</v>
      </c>
      <c r="P801" s="288" t="str">
        <f t="shared" si="45"/>
        <v>WS-07</v>
      </c>
      <c r="Q801" s="288" t="str">
        <f t="shared" si="45"/>
        <v>WS-08</v>
      </c>
      <c r="R801" s="288" t="str">
        <f t="shared" si="45"/>
        <v>WS-09</v>
      </c>
      <c r="S801" s="288" t="str">
        <f t="shared" si="45"/>
        <v>WS-10</v>
      </c>
      <c r="T801" s="288" t="str">
        <f t="shared" si="45"/>
        <v>WS-11</v>
      </c>
      <c r="U801" s="288" t="str">
        <f t="shared" si="45"/>
        <v>WS-12</v>
      </c>
      <c r="V801" s="288" t="str">
        <f t="shared" si="45"/>
        <v>WS-13</v>
      </c>
      <c r="W801" s="288" t="str">
        <f t="shared" si="45"/>
        <v>WS-14</v>
      </c>
      <c r="X801" s="288" t="str">
        <f t="shared" si="45"/>
        <v>WS-15</v>
      </c>
      <c r="Y801" s="288" t="str">
        <f t="shared" si="45"/>
        <v>WS-16</v>
      </c>
      <c r="Z801" s="288" t="str">
        <f t="shared" si="45"/>
        <v>WS-17</v>
      </c>
      <c r="AA801" s="288" t="str">
        <f t="shared" si="45"/>
        <v>WS-18</v>
      </c>
      <c r="AB801" s="288" t="str">
        <f t="shared" si="45"/>
        <v>WS-19</v>
      </c>
      <c r="AC801" s="288" t="str">
        <f t="shared" si="45"/>
        <v>WS-20</v>
      </c>
      <c r="AD801" s="288" t="str">
        <f t="shared" si="45"/>
        <v>WS-21</v>
      </c>
      <c r="AE801" s="288" t="str">
        <f t="shared" si="45"/>
        <v>WS-22</v>
      </c>
      <c r="AF801" s="288" t="str">
        <f t="shared" si="45"/>
        <v>WS-23</v>
      </c>
      <c r="AG801" s="288" t="str">
        <f t="shared" si="45"/>
        <v>WS-24</v>
      </c>
      <c r="AH801" s="288" t="str">
        <f t="shared" si="45"/>
        <v>WS-25</v>
      </c>
      <c r="AI801" s="288" t="str">
        <f t="shared" si="45"/>
        <v>WS-26</v>
      </c>
      <c r="AJ801" s="288" t="str">
        <f t="shared" si="45"/>
        <v>WS-27</v>
      </c>
      <c r="AK801" s="288" t="str">
        <f t="shared" si="45"/>
        <v>WS-28</v>
      </c>
      <c r="AL801" s="288" t="str">
        <f t="shared" si="45"/>
        <v>WS-29</v>
      </c>
      <c r="AM801" s="288" t="str">
        <f t="shared" si="45"/>
        <v>WS-30</v>
      </c>
      <c r="AN801" s="288" t="str">
        <f t="shared" si="45"/>
        <v>WS-31</v>
      </c>
      <c r="AO801" s="288" t="str">
        <f t="shared" si="45"/>
        <v>WS-32</v>
      </c>
      <c r="AP801" s="288" t="str">
        <f t="shared" si="45"/>
        <v>WS-33</v>
      </c>
      <c r="AQ801" s="288" t="str">
        <f t="shared" si="45"/>
        <v>WS-34</v>
      </c>
      <c r="AR801" s="288" t="str">
        <f t="shared" si="45"/>
        <v>WS-35</v>
      </c>
      <c r="AS801" s="288" t="str">
        <f t="shared" si="45"/>
        <v>WS-36</v>
      </c>
      <c r="AT801" s="288" t="str">
        <f t="shared" si="45"/>
        <v>WS-37</v>
      </c>
      <c r="AU801" s="288" t="str">
        <f t="shared" si="45"/>
        <v>WS-38</v>
      </c>
      <c r="AV801" s="288" t="str">
        <f t="shared" si="45"/>
        <v>WS-39</v>
      </c>
      <c r="AW801" s="288" t="str">
        <f t="shared" si="45"/>
        <v>WS-40</v>
      </c>
      <c r="AX801" s="288" t="str">
        <f t="shared" si="45"/>
        <v>WS-41</v>
      </c>
      <c r="AY801" s="288" t="str">
        <f t="shared" si="45"/>
        <v>WS-42</v>
      </c>
      <c r="AZ801" s="288" t="str">
        <f t="shared" si="45"/>
        <v>WS-43</v>
      </c>
      <c r="BA801" s="288" t="str">
        <f t="shared" si="45"/>
        <v>WS-44</v>
      </c>
    </row>
    <row r="802" spans="1:53" ht="17">
      <c r="A802" s="3">
        <v>18</v>
      </c>
      <c r="B802" s="196" t="str">
        <f>IFERROR(INDEX('S15 Routing Clustered'!$A$3:$A$18, A802), "")</f>
        <v/>
      </c>
      <c r="C802" s="3">
        <v>20</v>
      </c>
      <c r="D802" s="287" t="str">
        <f>IFERROR(HLOOKUP(C802, 'S15 Routing Clustered'!$B$2:$I$18,A802+1, 0), "")</f>
        <v/>
      </c>
      <c r="E802" s="287" t="str">
        <f t="shared" si="44"/>
        <v/>
      </c>
      <c r="F802" s="3" t="str">
        <f>IF(E802="", "", VLOOKUP(B802, 'S08 ABC Output'!$A$3:$C$18, 3, 0))</f>
        <v/>
      </c>
      <c r="I802" s="288" t="str">
        <f>I755</f>
        <v>WS-01</v>
      </c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</row>
    <row r="803" spans="1:53" ht="17">
      <c r="A803" s="3">
        <v>18</v>
      </c>
      <c r="B803" s="196" t="str">
        <f>IFERROR(INDEX('S15 Routing Clustered'!$A$3:$A$18, A803), "")</f>
        <v/>
      </c>
      <c r="C803" s="3">
        <v>30</v>
      </c>
      <c r="D803" s="287" t="str">
        <f>IFERROR(HLOOKUP(C803, 'S15 Routing Clustered'!$B$2:$I$18,A803+1, 0), "")</f>
        <v/>
      </c>
      <c r="E803" s="287" t="str">
        <f t="shared" si="44"/>
        <v/>
      </c>
      <c r="F803" s="3" t="str">
        <f>IF(E803="", "", VLOOKUP(B803, 'S08 ABC Output'!$A$3:$C$18, 3, 0))</f>
        <v/>
      </c>
      <c r="I803" s="288" t="str">
        <f t="shared" ref="I803:I845" si="46">I756</f>
        <v>WS-02</v>
      </c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</row>
    <row r="804" spans="1:53" ht="17">
      <c r="A804" s="3">
        <v>18</v>
      </c>
      <c r="B804" s="196" t="str">
        <f>IFERROR(INDEX('S15 Routing Clustered'!$A$3:$A$18, A804), "")</f>
        <v/>
      </c>
      <c r="C804" s="3">
        <v>40</v>
      </c>
      <c r="D804" s="287" t="str">
        <f>IFERROR(HLOOKUP(C804, 'S15 Routing Clustered'!$B$2:$I$18,A804+1, 0), "")</f>
        <v/>
      </c>
      <c r="E804" s="287" t="str">
        <f t="shared" si="44"/>
        <v/>
      </c>
      <c r="F804" s="3" t="str">
        <f>IF(E804="", "", VLOOKUP(B804, 'S08 ABC Output'!$A$3:$C$18, 3, 0))</f>
        <v/>
      </c>
      <c r="I804" s="288" t="str">
        <f t="shared" si="46"/>
        <v>WS-03</v>
      </c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</row>
    <row r="805" spans="1:53" ht="17">
      <c r="A805" s="3">
        <v>18</v>
      </c>
      <c r="B805" s="196" t="str">
        <f>IFERROR(INDEX('S15 Routing Clustered'!$A$3:$A$18, A805), "")</f>
        <v/>
      </c>
      <c r="C805" s="3">
        <v>50</v>
      </c>
      <c r="D805" s="287" t="str">
        <f>IFERROR(HLOOKUP(C805, 'S15 Routing Clustered'!$B$2:$I$18,A805+1, 0), "")</f>
        <v/>
      </c>
      <c r="E805" s="287" t="str">
        <f t="shared" si="44"/>
        <v/>
      </c>
      <c r="F805" s="3" t="str">
        <f>IF(E805="", "", VLOOKUP(B805, 'S08 ABC Output'!$A$3:$C$18, 3, 0))</f>
        <v/>
      </c>
      <c r="I805" s="288" t="str">
        <f t="shared" si="46"/>
        <v>WS-04</v>
      </c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</row>
    <row r="806" spans="1:53" ht="17">
      <c r="A806" s="3">
        <v>18</v>
      </c>
      <c r="B806" s="196" t="str">
        <f>IFERROR(INDEX('S15 Routing Clustered'!$A$3:$A$18, A806), "")</f>
        <v/>
      </c>
      <c r="C806" s="3">
        <v>60</v>
      </c>
      <c r="D806" s="287" t="str">
        <f>IFERROR(HLOOKUP(C806, 'S15 Routing Clustered'!$B$2:$I$18,A806+1, 0), "")</f>
        <v/>
      </c>
      <c r="E806" s="287" t="str">
        <f t="shared" si="44"/>
        <v/>
      </c>
      <c r="F806" s="3" t="str">
        <f>IF(E806="", "", VLOOKUP(B806, 'S08 ABC Output'!$A$3:$C$18, 3, 0))</f>
        <v/>
      </c>
      <c r="I806" s="288" t="str">
        <f t="shared" si="46"/>
        <v>WS-05</v>
      </c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</row>
    <row r="807" spans="1:53" ht="17">
      <c r="A807" s="3">
        <v>18</v>
      </c>
      <c r="B807" s="196" t="str">
        <f>IFERROR(INDEX('S15 Routing Clustered'!$A$3:$A$18, A807), "")</f>
        <v/>
      </c>
      <c r="C807" s="3">
        <v>70</v>
      </c>
      <c r="D807" s="287" t="str">
        <f>IFERROR(HLOOKUP(C807, 'S15 Routing Clustered'!$B$2:$I$18,A807+1, 0), "")</f>
        <v/>
      </c>
      <c r="E807" s="287" t="str">
        <f t="shared" si="44"/>
        <v/>
      </c>
      <c r="F807" s="3" t="str">
        <f>IF(E807="", "", VLOOKUP(B807, 'S08 ABC Output'!$A$3:$C$18, 3, 0))</f>
        <v/>
      </c>
      <c r="I807" s="288" t="str">
        <f t="shared" si="46"/>
        <v>WS-06</v>
      </c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</row>
    <row r="808" spans="1:53" ht="17">
      <c r="A808" s="3">
        <v>18</v>
      </c>
      <c r="B808" s="196" t="str">
        <f>IFERROR(INDEX('S15 Routing Clustered'!$A$3:$A$18, A808), "")</f>
        <v/>
      </c>
      <c r="C808" s="3">
        <v>80</v>
      </c>
      <c r="D808" s="287" t="str">
        <f>IFERROR(HLOOKUP(C808, 'S15 Routing Clustered'!$B$2:$I$18,A808+1, 0), "")</f>
        <v/>
      </c>
      <c r="E808" s="287" t="str">
        <f t="shared" si="44"/>
        <v/>
      </c>
      <c r="F808" s="3" t="str">
        <f>IF(E808="", "", VLOOKUP(B808, 'S08 ABC Output'!$A$3:$C$18, 3, 0))</f>
        <v/>
      </c>
      <c r="I808" s="288" t="str">
        <f t="shared" si="46"/>
        <v>WS-07</v>
      </c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</row>
    <row r="809" spans="1:53" ht="17">
      <c r="A809" s="3">
        <v>18</v>
      </c>
      <c r="B809" s="196" t="str">
        <f>IFERROR(INDEX('S15 Routing Clustered'!$A$3:$A$18, A809), "")</f>
        <v/>
      </c>
      <c r="C809" s="3">
        <v>90</v>
      </c>
      <c r="D809" s="287" t="str">
        <f>IFERROR(HLOOKUP(C809, 'S15 Routing Clustered'!$B$2:$I$18,A809+1, 0), "")</f>
        <v/>
      </c>
      <c r="E809" s="287" t="str">
        <f t="shared" si="44"/>
        <v/>
      </c>
      <c r="F809" s="3" t="str">
        <f>IF(E809="", "", VLOOKUP(B809, 'S08 ABC Output'!$A$3:$C$18, 3, 0))</f>
        <v/>
      </c>
      <c r="I809" s="288" t="str">
        <f t="shared" si="46"/>
        <v>WS-08</v>
      </c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</row>
    <row r="810" spans="1:53" ht="17">
      <c r="A810" s="3">
        <v>18</v>
      </c>
      <c r="B810" s="196" t="str">
        <f>IFERROR(INDEX('S15 Routing Clustered'!$A$3:$A$18, A810), "")</f>
        <v/>
      </c>
      <c r="C810" s="3">
        <v>100</v>
      </c>
      <c r="D810" s="287" t="str">
        <f>IFERROR(HLOOKUP(C810, 'S15 Routing Clustered'!$B$2:$I$18,A810+1, 0), "")</f>
        <v/>
      </c>
      <c r="E810" s="287" t="str">
        <f t="shared" si="44"/>
        <v/>
      </c>
      <c r="F810" s="3" t="str">
        <f>IF(E810="", "", VLOOKUP(B810, 'S08 ABC Output'!$A$3:$C$18, 3, 0))</f>
        <v/>
      </c>
      <c r="I810" s="288" t="str">
        <f t="shared" si="46"/>
        <v>WS-09</v>
      </c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</row>
    <row r="811" spans="1:53" ht="17">
      <c r="A811" s="3">
        <v>18</v>
      </c>
      <c r="B811" s="196" t="str">
        <f>IFERROR(INDEX('S15 Routing Clustered'!$A$3:$A$18, A811), "")</f>
        <v/>
      </c>
      <c r="C811" s="3">
        <v>110</v>
      </c>
      <c r="D811" s="287" t="str">
        <f>IFERROR(HLOOKUP(C811, 'S15 Routing Clustered'!$B$2:$I$18,A811+1, 0), "")</f>
        <v/>
      </c>
      <c r="E811" s="287" t="str">
        <f t="shared" si="44"/>
        <v/>
      </c>
      <c r="F811" s="3" t="str">
        <f>IF(E811="", "", VLOOKUP(B811, 'S08 ABC Output'!$A$3:$C$18, 3, 0))</f>
        <v/>
      </c>
      <c r="I811" s="288" t="str">
        <f t="shared" si="46"/>
        <v>WS-10</v>
      </c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</row>
    <row r="812" spans="1:53" ht="17">
      <c r="A812" s="3">
        <v>18</v>
      </c>
      <c r="B812" s="196" t="str">
        <f>IFERROR(INDEX('S15 Routing Clustered'!$A$3:$A$18, A812), "")</f>
        <v/>
      </c>
      <c r="C812" s="3">
        <v>120</v>
      </c>
      <c r="D812" s="287" t="str">
        <f>IFERROR(HLOOKUP(C812, 'S15 Routing Clustered'!$B$2:$I$18,A812+1, 0), "")</f>
        <v/>
      </c>
      <c r="E812" s="287" t="str">
        <f t="shared" si="44"/>
        <v/>
      </c>
      <c r="F812" s="3" t="str">
        <f>IF(E812="", "", VLOOKUP(B812, 'S08 ABC Output'!$A$3:$C$18, 3, 0))</f>
        <v/>
      </c>
      <c r="I812" s="288" t="str">
        <f t="shared" si="46"/>
        <v>WS-11</v>
      </c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</row>
    <row r="813" spans="1:53" ht="17">
      <c r="A813" s="3">
        <v>18</v>
      </c>
      <c r="B813" s="196" t="str">
        <f>IFERROR(INDEX('S15 Routing Clustered'!$A$3:$A$18, A813), "")</f>
        <v/>
      </c>
      <c r="C813" s="3">
        <v>130</v>
      </c>
      <c r="D813" s="287" t="str">
        <f>IFERROR(HLOOKUP(C813, 'S15 Routing Clustered'!$B$2:$I$18,A813+1, 0), "")</f>
        <v/>
      </c>
      <c r="E813" s="287" t="str">
        <f t="shared" si="44"/>
        <v/>
      </c>
      <c r="F813" s="3" t="str">
        <f>IF(E813="", "", VLOOKUP(B813, 'S08 ABC Output'!$A$3:$C$18, 3, 0))</f>
        <v/>
      </c>
      <c r="I813" s="288" t="str">
        <f t="shared" si="46"/>
        <v>WS-12</v>
      </c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</row>
    <row r="814" spans="1:53" ht="17">
      <c r="A814" s="3">
        <v>18</v>
      </c>
      <c r="B814" s="196" t="str">
        <f>IFERROR(INDEX('S15 Routing Clustered'!$A$3:$A$18, A814), "")</f>
        <v/>
      </c>
      <c r="C814" s="3">
        <v>140</v>
      </c>
      <c r="D814" s="287" t="str">
        <f>IFERROR(HLOOKUP(C814, 'S15 Routing Clustered'!$B$2:$I$18,A814+1, 0), "")</f>
        <v/>
      </c>
      <c r="E814" s="287" t="str">
        <f t="shared" si="44"/>
        <v/>
      </c>
      <c r="F814" s="3" t="str">
        <f>IF(E814="", "", VLOOKUP(B814, 'S08 ABC Output'!$A$3:$C$18, 3, 0))</f>
        <v/>
      </c>
      <c r="I814" s="288" t="str">
        <f t="shared" si="46"/>
        <v>WS-13</v>
      </c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</row>
    <row r="815" spans="1:53" ht="17">
      <c r="A815" s="3">
        <v>18</v>
      </c>
      <c r="B815" s="196" t="str">
        <f>IFERROR(INDEX('S15 Routing Clustered'!$A$3:$A$18, A815), "")</f>
        <v/>
      </c>
      <c r="C815" s="3">
        <v>150</v>
      </c>
      <c r="D815" s="287" t="str">
        <f>IFERROR(HLOOKUP(C815, 'S15 Routing Clustered'!$B$2:$I$18,A815+1, 0), "")</f>
        <v/>
      </c>
      <c r="E815" s="287" t="str">
        <f t="shared" si="44"/>
        <v/>
      </c>
      <c r="F815" s="3" t="str">
        <f>IF(E815="", "", VLOOKUP(B815, 'S08 ABC Output'!$A$3:$C$18, 3, 0))</f>
        <v/>
      </c>
      <c r="I815" s="288" t="str">
        <f t="shared" si="46"/>
        <v>WS-14</v>
      </c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</row>
    <row r="816" spans="1:53" ht="17">
      <c r="A816" s="3">
        <v>18</v>
      </c>
      <c r="B816" s="196" t="str">
        <f>IFERROR(INDEX('S15 Routing Clustered'!$A$3:$A$18, A816), "")</f>
        <v/>
      </c>
      <c r="C816" s="3">
        <v>160</v>
      </c>
      <c r="D816" s="287" t="str">
        <f>IFERROR(HLOOKUP(C816, 'S15 Routing Clustered'!$B$2:$I$18,A816+1, 0), "")</f>
        <v/>
      </c>
      <c r="E816" s="287" t="str">
        <f t="shared" si="44"/>
        <v/>
      </c>
      <c r="F816" s="3" t="str">
        <f>IF(E816="", "", VLOOKUP(B816, 'S08 ABC Output'!$A$3:$C$18, 3, 0))</f>
        <v/>
      </c>
      <c r="I816" s="288" t="str">
        <f t="shared" si="46"/>
        <v>WS-15</v>
      </c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</row>
    <row r="817" spans="1:53" ht="17">
      <c r="A817" s="3">
        <v>18</v>
      </c>
      <c r="B817" s="196" t="str">
        <f>IFERROR(INDEX('S15 Routing Clustered'!$A$3:$A$18, A817), "")</f>
        <v/>
      </c>
      <c r="C817" s="3">
        <v>170</v>
      </c>
      <c r="D817" s="287" t="str">
        <f>IFERROR(HLOOKUP(C817, 'S15 Routing Clustered'!$B$2:$I$18,A817+1, 0), "")</f>
        <v/>
      </c>
      <c r="E817" s="287" t="str">
        <f t="shared" si="44"/>
        <v/>
      </c>
      <c r="F817" s="3" t="str">
        <f>IF(E817="", "", VLOOKUP(B817, 'S08 ABC Output'!$A$3:$C$18, 3, 0))</f>
        <v/>
      </c>
      <c r="I817" s="288" t="str">
        <f t="shared" si="46"/>
        <v>WS-16</v>
      </c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</row>
    <row r="818" spans="1:53" ht="17">
      <c r="A818" s="3">
        <v>18</v>
      </c>
      <c r="B818" s="196" t="str">
        <f>IFERROR(INDEX('S15 Routing Clustered'!$A$3:$A$18, A818), "")</f>
        <v/>
      </c>
      <c r="C818" s="3">
        <v>180</v>
      </c>
      <c r="D818" s="287" t="str">
        <f>IFERROR(HLOOKUP(C818, 'S15 Routing Clustered'!$B$2:$I$18,A818+1, 0), "")</f>
        <v/>
      </c>
      <c r="E818" s="287" t="str">
        <f t="shared" si="44"/>
        <v/>
      </c>
      <c r="F818" s="3" t="str">
        <f>IF(E818="", "", VLOOKUP(B818, 'S08 ABC Output'!$A$3:$C$18, 3, 0))</f>
        <v/>
      </c>
      <c r="I818" s="288" t="str">
        <f t="shared" si="46"/>
        <v>WS-17</v>
      </c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</row>
    <row r="819" spans="1:53" ht="17">
      <c r="A819" s="3">
        <v>18</v>
      </c>
      <c r="B819" s="196" t="str">
        <f>IFERROR(INDEX('S15 Routing Clustered'!$A$3:$A$18, A819), "")</f>
        <v/>
      </c>
      <c r="C819" s="3">
        <v>190</v>
      </c>
      <c r="D819" s="287" t="str">
        <f>IFERROR(HLOOKUP(C819, 'S15 Routing Clustered'!$B$2:$I$18,A819+1, 0), "")</f>
        <v/>
      </c>
      <c r="E819" s="287" t="str">
        <f t="shared" si="44"/>
        <v/>
      </c>
      <c r="F819" s="3" t="str">
        <f>IF(E819="", "", VLOOKUP(B819, 'S08 ABC Output'!$A$3:$C$18, 3, 0))</f>
        <v/>
      </c>
      <c r="I819" s="288" t="str">
        <f t="shared" si="46"/>
        <v>WS-18</v>
      </c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</row>
    <row r="820" spans="1:53" ht="17">
      <c r="A820" s="3">
        <v>18</v>
      </c>
      <c r="B820" s="196" t="str">
        <f>IFERROR(INDEX('S15 Routing Clustered'!$A$3:$A$18, A820), "")</f>
        <v/>
      </c>
      <c r="C820" s="3">
        <v>200</v>
      </c>
      <c r="D820" s="287" t="str">
        <f>IFERROR(HLOOKUP(C820, 'S15 Routing Clustered'!$B$2:$I$18,A820+1, 0), "")</f>
        <v/>
      </c>
      <c r="E820" s="287" t="str">
        <f t="shared" si="44"/>
        <v/>
      </c>
      <c r="F820" s="3" t="str">
        <f>IF(E820="", "", VLOOKUP(B820, 'S08 ABC Output'!$A$3:$C$18, 3, 0))</f>
        <v/>
      </c>
      <c r="I820" s="288" t="str">
        <f t="shared" si="46"/>
        <v>WS-19</v>
      </c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</row>
    <row r="821" spans="1:53" ht="17">
      <c r="A821" s="3">
        <v>18</v>
      </c>
      <c r="B821" s="196" t="str">
        <f>IFERROR(INDEX('S15 Routing Clustered'!$A$3:$A$18, A821), "")</f>
        <v/>
      </c>
      <c r="C821" s="3">
        <v>210</v>
      </c>
      <c r="D821" s="287" t="str">
        <f>IFERROR(HLOOKUP(C821, 'S15 Routing Clustered'!$B$2:$I$18,A821+1, 0), "")</f>
        <v/>
      </c>
      <c r="E821" s="287" t="str">
        <f t="shared" si="44"/>
        <v/>
      </c>
      <c r="F821" s="3" t="str">
        <f>IF(E821="", "", VLOOKUP(B821, 'S08 ABC Output'!$A$3:$C$18, 3, 0))</f>
        <v/>
      </c>
      <c r="I821" s="288" t="str">
        <f t="shared" si="46"/>
        <v>WS-20</v>
      </c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</row>
    <row r="822" spans="1:53" ht="17">
      <c r="A822" s="3">
        <v>18</v>
      </c>
      <c r="B822" s="196" t="str">
        <f>IFERROR(INDEX('S15 Routing Clustered'!$A$3:$A$18, A822), "")</f>
        <v/>
      </c>
      <c r="C822" s="3">
        <v>220</v>
      </c>
      <c r="D822" s="287" t="str">
        <f>IFERROR(HLOOKUP(C822, 'S15 Routing Clustered'!$B$2:$I$18,A822+1, 0), "")</f>
        <v/>
      </c>
      <c r="E822" s="287" t="str">
        <f t="shared" si="44"/>
        <v/>
      </c>
      <c r="F822" s="3" t="str">
        <f>IF(E822="", "", VLOOKUP(B822, 'S08 ABC Output'!$A$3:$C$18, 3, 0))</f>
        <v/>
      </c>
      <c r="I822" s="288" t="str">
        <f t="shared" si="46"/>
        <v>WS-21</v>
      </c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</row>
    <row r="823" spans="1:53" ht="17">
      <c r="A823" s="3">
        <v>18</v>
      </c>
      <c r="B823" s="196" t="str">
        <f>IFERROR(INDEX('S15 Routing Clustered'!$A$3:$A$18, A823), "")</f>
        <v/>
      </c>
      <c r="C823" s="3">
        <v>230</v>
      </c>
      <c r="D823" s="287" t="str">
        <f>IFERROR(HLOOKUP(C823, 'S15 Routing Clustered'!$B$2:$I$18,A823+1, 0), "")</f>
        <v/>
      </c>
      <c r="E823" s="287" t="str">
        <f t="shared" si="44"/>
        <v/>
      </c>
      <c r="F823" s="3" t="str">
        <f>IF(E823="", "", VLOOKUP(B823, 'S08 ABC Output'!$A$3:$C$18, 3, 0))</f>
        <v/>
      </c>
      <c r="I823" s="288" t="str">
        <f t="shared" si="46"/>
        <v>WS-22</v>
      </c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</row>
    <row r="824" spans="1:53" ht="17">
      <c r="A824" s="3">
        <v>18</v>
      </c>
      <c r="B824" s="196" t="str">
        <f>IFERROR(INDEX('S15 Routing Clustered'!$A$3:$A$18, A824), "")</f>
        <v/>
      </c>
      <c r="C824" s="3">
        <v>240</v>
      </c>
      <c r="D824" s="287" t="str">
        <f>IFERROR(HLOOKUP(C824, 'S15 Routing Clustered'!$B$2:$I$18,A824+1, 0), "")</f>
        <v/>
      </c>
      <c r="E824" s="287" t="str">
        <f t="shared" si="44"/>
        <v/>
      </c>
      <c r="F824" s="3" t="str">
        <f>IF(E824="", "", VLOOKUP(B824, 'S08 ABC Output'!$A$3:$C$18, 3, 0))</f>
        <v/>
      </c>
      <c r="I824" s="288" t="str">
        <f t="shared" si="46"/>
        <v>WS-23</v>
      </c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</row>
    <row r="825" spans="1:53" ht="17">
      <c r="A825" s="3">
        <v>18</v>
      </c>
      <c r="B825" s="196" t="str">
        <f>IFERROR(INDEX('S15 Routing Clustered'!$A$3:$A$18, A825), "")</f>
        <v/>
      </c>
      <c r="C825" s="3">
        <v>250</v>
      </c>
      <c r="D825" s="287" t="str">
        <f>IFERROR(HLOOKUP(C825, 'S15 Routing Clustered'!$B$2:$I$18,A825+1, 0), "")</f>
        <v/>
      </c>
      <c r="E825" s="287" t="str">
        <f t="shared" si="44"/>
        <v/>
      </c>
      <c r="F825" s="3" t="str">
        <f>IF(E825="", "", VLOOKUP(B825, 'S08 ABC Output'!$A$3:$C$18, 3, 0))</f>
        <v/>
      </c>
      <c r="I825" s="288" t="str">
        <f t="shared" si="46"/>
        <v>WS-24</v>
      </c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</row>
    <row r="826" spans="1:53" ht="17">
      <c r="A826" s="3">
        <v>18</v>
      </c>
      <c r="B826" s="196" t="str">
        <f>IFERROR(INDEX('S15 Routing Clustered'!$A$3:$A$18, A826), "")</f>
        <v/>
      </c>
      <c r="C826" s="3">
        <v>260</v>
      </c>
      <c r="D826" s="287" t="str">
        <f>IFERROR(HLOOKUP(C826, 'S15 Routing Clustered'!$B$2:$I$18,A826+1, 0), "")</f>
        <v/>
      </c>
      <c r="E826" s="287" t="str">
        <f t="shared" si="44"/>
        <v/>
      </c>
      <c r="F826" s="3" t="str">
        <f>IF(E826="", "", VLOOKUP(B826, 'S08 ABC Output'!$A$3:$C$18, 3, 0))</f>
        <v/>
      </c>
      <c r="I826" s="288" t="str">
        <f t="shared" si="46"/>
        <v>WS-25</v>
      </c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</row>
    <row r="827" spans="1:53" ht="17">
      <c r="A827" s="3">
        <v>18</v>
      </c>
      <c r="B827" s="196" t="str">
        <f>IFERROR(INDEX('S15 Routing Clustered'!$A$3:$A$18, A827), "")</f>
        <v/>
      </c>
      <c r="C827" s="3">
        <v>270</v>
      </c>
      <c r="D827" s="287" t="str">
        <f>IFERROR(HLOOKUP(C827, 'S15 Routing Clustered'!$B$2:$I$18,A827+1, 0), "")</f>
        <v/>
      </c>
      <c r="E827" s="287" t="str">
        <f t="shared" si="44"/>
        <v/>
      </c>
      <c r="F827" s="3" t="str">
        <f>IF(E827="", "", VLOOKUP(B827, 'S08 ABC Output'!$A$3:$C$18, 3, 0))</f>
        <v/>
      </c>
      <c r="I827" s="288" t="str">
        <f t="shared" si="46"/>
        <v>WS-26</v>
      </c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</row>
    <row r="828" spans="1:53" ht="17">
      <c r="A828" s="3">
        <v>18</v>
      </c>
      <c r="B828" s="196" t="str">
        <f>IFERROR(INDEX('S15 Routing Clustered'!$A$3:$A$18, A828), "")</f>
        <v/>
      </c>
      <c r="C828" s="3">
        <v>280</v>
      </c>
      <c r="D828" s="287" t="str">
        <f>IFERROR(HLOOKUP(C828, 'S15 Routing Clustered'!$B$2:$I$18,A828+1, 0), "")</f>
        <v/>
      </c>
      <c r="E828" s="287" t="str">
        <f t="shared" si="44"/>
        <v/>
      </c>
      <c r="F828" s="3" t="str">
        <f>IF(E828="", "", VLOOKUP(B828, 'S08 ABC Output'!$A$3:$C$18, 3, 0))</f>
        <v/>
      </c>
      <c r="I828" s="288" t="str">
        <f t="shared" si="46"/>
        <v>WS-27</v>
      </c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</row>
    <row r="829" spans="1:53" ht="17">
      <c r="A829" s="3">
        <v>18</v>
      </c>
      <c r="B829" s="196" t="str">
        <f>IFERROR(INDEX('S15 Routing Clustered'!$A$3:$A$18, A829), "")</f>
        <v/>
      </c>
      <c r="C829" s="3">
        <v>290</v>
      </c>
      <c r="D829" s="287" t="str">
        <f>IFERROR(HLOOKUP(C829, 'S15 Routing Clustered'!$B$2:$I$18,A829+1, 0), "")</f>
        <v/>
      </c>
      <c r="E829" s="287" t="str">
        <f t="shared" si="44"/>
        <v/>
      </c>
      <c r="F829" s="3" t="str">
        <f>IF(E829="", "", VLOOKUP(B829, 'S08 ABC Output'!$A$3:$C$18, 3, 0))</f>
        <v/>
      </c>
      <c r="I829" s="288" t="str">
        <f t="shared" si="46"/>
        <v>WS-28</v>
      </c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</row>
    <row r="830" spans="1:53" ht="17">
      <c r="A830" s="3">
        <v>18</v>
      </c>
      <c r="B830" s="196" t="str">
        <f>IFERROR(INDEX('S15 Routing Clustered'!$A$3:$A$18, A830), "")</f>
        <v/>
      </c>
      <c r="C830" s="3">
        <v>300</v>
      </c>
      <c r="D830" s="287" t="str">
        <f>IFERROR(HLOOKUP(C830, 'S15 Routing Clustered'!$B$2:$I$18,A830+1, 0), "")</f>
        <v/>
      </c>
      <c r="E830" s="287" t="str">
        <f t="shared" si="44"/>
        <v/>
      </c>
      <c r="F830" s="3" t="str">
        <f>IF(E830="", "", VLOOKUP(B830, 'S08 ABC Output'!$A$3:$C$18, 3, 0))</f>
        <v/>
      </c>
      <c r="I830" s="288" t="str">
        <f t="shared" si="46"/>
        <v>WS-29</v>
      </c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</row>
    <row r="831" spans="1:53" ht="17">
      <c r="A831" s="3">
        <v>18</v>
      </c>
      <c r="B831" s="196" t="str">
        <f>IFERROR(INDEX('S15 Routing Clustered'!$A$3:$A$18, A831), "")</f>
        <v/>
      </c>
      <c r="C831" s="3">
        <v>310</v>
      </c>
      <c r="D831" s="287" t="str">
        <f>IFERROR(HLOOKUP(C831, 'S15 Routing Clustered'!$B$2:$I$18,A831+1, 0), "")</f>
        <v/>
      </c>
      <c r="E831" s="287" t="str">
        <f t="shared" si="44"/>
        <v/>
      </c>
      <c r="F831" s="3" t="str">
        <f>IF(E831="", "", VLOOKUP(B831, 'S08 ABC Output'!$A$3:$C$18, 3, 0))</f>
        <v/>
      </c>
      <c r="I831" s="288" t="str">
        <f t="shared" si="46"/>
        <v>WS-30</v>
      </c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</row>
    <row r="832" spans="1:53" ht="17">
      <c r="A832" s="3">
        <v>18</v>
      </c>
      <c r="B832" s="196" t="str">
        <f>IFERROR(INDEX('S15 Routing Clustered'!$A$3:$A$18, A832), "")</f>
        <v/>
      </c>
      <c r="C832" s="3">
        <v>320</v>
      </c>
      <c r="D832" s="287" t="str">
        <f>IFERROR(HLOOKUP(C832, 'S15 Routing Clustered'!$B$2:$I$18,A832+1, 0), "")</f>
        <v/>
      </c>
      <c r="E832" s="287" t="str">
        <f t="shared" si="44"/>
        <v/>
      </c>
      <c r="F832" s="3" t="str">
        <f>IF(E832="", "", VLOOKUP(B832, 'S08 ABC Output'!$A$3:$C$18, 3, 0))</f>
        <v/>
      </c>
      <c r="I832" s="288" t="str">
        <f t="shared" si="46"/>
        <v>WS-31</v>
      </c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</row>
    <row r="833" spans="1:53" ht="17">
      <c r="A833" s="3">
        <v>18</v>
      </c>
      <c r="B833" s="196" t="str">
        <f>IFERROR(INDEX('S15 Routing Clustered'!$A$3:$A$18, A833), "")</f>
        <v/>
      </c>
      <c r="C833" s="3">
        <v>330</v>
      </c>
      <c r="D833" s="287" t="str">
        <f>IFERROR(HLOOKUP(C833, 'S15 Routing Clustered'!$B$2:$I$18,A833+1, 0), "")</f>
        <v/>
      </c>
      <c r="E833" s="287" t="str">
        <f t="shared" si="44"/>
        <v/>
      </c>
      <c r="F833" s="3" t="str">
        <f>IF(E833="", "", VLOOKUP(B833, 'S08 ABC Output'!$A$3:$C$18, 3, 0))</f>
        <v/>
      </c>
      <c r="I833" s="288" t="str">
        <f t="shared" si="46"/>
        <v>WS-32</v>
      </c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</row>
    <row r="834" spans="1:53" ht="17">
      <c r="A834" s="3">
        <v>18</v>
      </c>
      <c r="B834" s="196" t="str">
        <f>IFERROR(INDEX('S15 Routing Clustered'!$A$3:$A$18, A834), "")</f>
        <v/>
      </c>
      <c r="C834" s="3">
        <v>340</v>
      </c>
      <c r="D834" s="287" t="str">
        <f>IFERROR(HLOOKUP(C834, 'S15 Routing Clustered'!$B$2:$I$18,A834+1, 0), "")</f>
        <v/>
      </c>
      <c r="E834" s="287" t="str">
        <f t="shared" si="44"/>
        <v/>
      </c>
      <c r="F834" s="3" t="str">
        <f>IF(E834="", "", VLOOKUP(B834, 'S08 ABC Output'!$A$3:$C$18, 3, 0))</f>
        <v/>
      </c>
      <c r="I834" s="288" t="str">
        <f t="shared" si="46"/>
        <v>WS-33</v>
      </c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</row>
    <row r="835" spans="1:53" ht="17">
      <c r="A835" s="3">
        <v>18</v>
      </c>
      <c r="B835" s="196" t="str">
        <f>IFERROR(INDEX('S15 Routing Clustered'!$A$3:$A$18, A835), "")</f>
        <v/>
      </c>
      <c r="C835" s="3">
        <v>350</v>
      </c>
      <c r="D835" s="287" t="str">
        <f>IFERROR(HLOOKUP(C835, 'S15 Routing Clustered'!$B$2:$I$18,A835+1, 0), "")</f>
        <v/>
      </c>
      <c r="E835" s="287" t="str">
        <f t="shared" ref="E835:E898" si="47">IF(D835="", "", D836)</f>
        <v/>
      </c>
      <c r="F835" s="3" t="str">
        <f>IF(E835="", "", VLOOKUP(B835, 'S08 ABC Output'!$A$3:$C$18, 3, 0))</f>
        <v/>
      </c>
      <c r="I835" s="288" t="str">
        <f t="shared" si="46"/>
        <v>WS-34</v>
      </c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</row>
    <row r="836" spans="1:53" ht="17">
      <c r="A836" s="3">
        <v>18</v>
      </c>
      <c r="B836" s="196" t="str">
        <f>IFERROR(INDEX('S15 Routing Clustered'!$A$3:$A$18, A836), "")</f>
        <v/>
      </c>
      <c r="C836" s="3">
        <v>360</v>
      </c>
      <c r="D836" s="287" t="str">
        <f>IFERROR(HLOOKUP(C836, 'S15 Routing Clustered'!$B$2:$I$18,A836+1, 0), "")</f>
        <v/>
      </c>
      <c r="E836" s="287" t="str">
        <f t="shared" si="47"/>
        <v/>
      </c>
      <c r="F836" s="3" t="str">
        <f>IF(E836="", "", VLOOKUP(B836, 'S08 ABC Output'!$A$3:$C$18, 3, 0))</f>
        <v/>
      </c>
      <c r="I836" s="288" t="str">
        <f t="shared" si="46"/>
        <v>WS-35</v>
      </c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</row>
    <row r="837" spans="1:53" ht="17">
      <c r="A837" s="3">
        <v>18</v>
      </c>
      <c r="B837" s="196" t="str">
        <f>IFERROR(INDEX('S15 Routing Clustered'!$A$3:$A$18, A837), "")</f>
        <v/>
      </c>
      <c r="C837" s="3">
        <v>370</v>
      </c>
      <c r="D837" s="287" t="str">
        <f>IFERROR(HLOOKUP(C837, 'S15 Routing Clustered'!$B$2:$I$18,A837+1, 0), "")</f>
        <v/>
      </c>
      <c r="E837" s="287" t="str">
        <f t="shared" si="47"/>
        <v/>
      </c>
      <c r="F837" s="3" t="str">
        <f>IF(E837="", "", VLOOKUP(B837, 'S08 ABC Output'!$A$3:$C$18, 3, 0))</f>
        <v/>
      </c>
      <c r="I837" s="288" t="str">
        <f t="shared" si="46"/>
        <v>WS-36</v>
      </c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</row>
    <row r="838" spans="1:53" ht="17">
      <c r="A838" s="3">
        <v>18</v>
      </c>
      <c r="B838" s="196" t="str">
        <f>IFERROR(INDEX('S15 Routing Clustered'!$A$3:$A$18, A838), "")</f>
        <v/>
      </c>
      <c r="C838" s="3">
        <v>380</v>
      </c>
      <c r="D838" s="287" t="str">
        <f>IFERROR(HLOOKUP(C838, 'S15 Routing Clustered'!$B$2:$I$18,A838+1, 0), "")</f>
        <v/>
      </c>
      <c r="E838" s="287" t="str">
        <f t="shared" si="47"/>
        <v/>
      </c>
      <c r="F838" s="3" t="str">
        <f>IF(E838="", "", VLOOKUP(B838, 'S08 ABC Output'!$A$3:$C$18, 3, 0))</f>
        <v/>
      </c>
      <c r="I838" s="288" t="str">
        <f t="shared" si="46"/>
        <v>WS-37</v>
      </c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</row>
    <row r="839" spans="1:53" ht="17">
      <c r="A839" s="3">
        <v>18</v>
      </c>
      <c r="B839" s="196" t="str">
        <f>IFERROR(INDEX('S15 Routing Clustered'!$A$3:$A$18, A839), "")</f>
        <v/>
      </c>
      <c r="C839" s="3">
        <v>390</v>
      </c>
      <c r="D839" s="287" t="str">
        <f>IFERROR(HLOOKUP(C839, 'S15 Routing Clustered'!$B$2:$I$18,A839+1, 0), "")</f>
        <v/>
      </c>
      <c r="E839" s="287" t="str">
        <f t="shared" si="47"/>
        <v/>
      </c>
      <c r="F839" s="3" t="str">
        <f>IF(E839="", "", VLOOKUP(B839, 'S08 ABC Output'!$A$3:$C$18, 3, 0))</f>
        <v/>
      </c>
      <c r="I839" s="288" t="str">
        <f t="shared" si="46"/>
        <v>WS-38</v>
      </c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</row>
    <row r="840" spans="1:53" ht="17">
      <c r="A840" s="3">
        <v>18</v>
      </c>
      <c r="B840" s="196" t="str">
        <f>IFERROR(INDEX('S15 Routing Clustered'!$A$3:$A$18, A840), "")</f>
        <v/>
      </c>
      <c r="C840" s="3">
        <v>400</v>
      </c>
      <c r="D840" s="287" t="str">
        <f>IFERROR(HLOOKUP(C840, 'S15 Routing Clustered'!$B$2:$I$18,A840+1, 0), "")</f>
        <v/>
      </c>
      <c r="E840" s="287" t="str">
        <f t="shared" si="47"/>
        <v/>
      </c>
      <c r="F840" s="3" t="str">
        <f>IF(E840="", "", VLOOKUP(B840, 'S08 ABC Output'!$A$3:$C$18, 3, 0))</f>
        <v/>
      </c>
      <c r="I840" s="288" t="str">
        <f t="shared" si="46"/>
        <v>WS-39</v>
      </c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</row>
    <row r="841" spans="1:53" ht="17">
      <c r="A841" s="3">
        <v>18</v>
      </c>
      <c r="B841" s="196" t="str">
        <f>IFERROR(INDEX('S15 Routing Clustered'!$A$3:$A$18, A841), "")</f>
        <v/>
      </c>
      <c r="C841" s="3">
        <v>410</v>
      </c>
      <c r="D841" s="287" t="str">
        <f>IFERROR(HLOOKUP(C841, 'S15 Routing Clustered'!$B$2:$I$18,A841+1, 0), "")</f>
        <v/>
      </c>
      <c r="E841" s="287" t="str">
        <f t="shared" si="47"/>
        <v/>
      </c>
      <c r="F841" s="3" t="str">
        <f>IF(E841="", "", VLOOKUP(B841, 'S08 ABC Output'!$A$3:$C$18, 3, 0))</f>
        <v/>
      </c>
      <c r="I841" s="288" t="str">
        <f t="shared" si="46"/>
        <v>WS-40</v>
      </c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</row>
    <row r="842" spans="1:53" ht="17">
      <c r="A842" s="3">
        <v>18</v>
      </c>
      <c r="B842" s="196" t="str">
        <f>IFERROR(INDEX('S15 Routing Clustered'!$A$3:$A$18, A842), "")</f>
        <v/>
      </c>
      <c r="C842" s="3">
        <v>420</v>
      </c>
      <c r="D842" s="287" t="str">
        <f>IFERROR(HLOOKUP(C842, 'S15 Routing Clustered'!$B$2:$I$18,A842+1, 0), "")</f>
        <v/>
      </c>
      <c r="E842" s="287" t="str">
        <f t="shared" si="47"/>
        <v/>
      </c>
      <c r="F842" s="3" t="str">
        <f>IF(E842="", "", VLOOKUP(B842, 'S08 ABC Output'!$A$3:$C$18, 3, 0))</f>
        <v/>
      </c>
      <c r="I842" s="288" t="str">
        <f t="shared" si="46"/>
        <v>WS-41</v>
      </c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</row>
    <row r="843" spans="1:53" ht="17">
      <c r="A843" s="3">
        <v>18</v>
      </c>
      <c r="B843" s="196" t="str">
        <f>IFERROR(INDEX('S15 Routing Clustered'!$A$3:$A$18, A843), "")</f>
        <v/>
      </c>
      <c r="C843" s="3">
        <v>430</v>
      </c>
      <c r="D843" s="287" t="str">
        <f>IFERROR(HLOOKUP(C843, 'S15 Routing Clustered'!$B$2:$I$18,A843+1, 0), "")</f>
        <v/>
      </c>
      <c r="E843" s="287" t="str">
        <f t="shared" si="47"/>
        <v/>
      </c>
      <c r="F843" s="3" t="str">
        <f>IF(E843="", "", VLOOKUP(B843, 'S08 ABC Output'!$A$3:$C$18, 3, 0))</f>
        <v/>
      </c>
      <c r="I843" s="288" t="str">
        <f t="shared" si="46"/>
        <v>WS-42</v>
      </c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</row>
    <row r="844" spans="1:53" ht="17">
      <c r="A844" s="3">
        <v>18</v>
      </c>
      <c r="B844" s="196" t="str">
        <f>IFERROR(INDEX('S15 Routing Clustered'!$A$3:$A$18, A844), "")</f>
        <v/>
      </c>
      <c r="C844" s="3">
        <v>440</v>
      </c>
      <c r="D844" s="287" t="str">
        <f>IFERROR(HLOOKUP(C844, 'S15 Routing Clustered'!$B$2:$I$18,A844+1, 0), "")</f>
        <v/>
      </c>
      <c r="E844" s="287" t="str">
        <f t="shared" si="47"/>
        <v/>
      </c>
      <c r="F844" s="3" t="str">
        <f>IF(E844="", "", VLOOKUP(B844, 'S08 ABC Output'!$A$3:$C$18, 3, 0))</f>
        <v/>
      </c>
      <c r="I844" s="288" t="str">
        <f t="shared" si="46"/>
        <v>WS-43</v>
      </c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</row>
    <row r="845" spans="1:53" ht="17">
      <c r="A845" s="3">
        <v>18</v>
      </c>
      <c r="B845" s="196" t="str">
        <f>IFERROR(INDEX('S15 Routing Clustered'!$A$3:$A$18, A845), "")</f>
        <v/>
      </c>
      <c r="C845" s="3">
        <v>450</v>
      </c>
      <c r="D845" s="287" t="str">
        <f>IFERROR(HLOOKUP(C845, 'S15 Routing Clustered'!$B$2:$I$18,A845+1, 0), "")</f>
        <v/>
      </c>
      <c r="E845" s="287" t="str">
        <f t="shared" si="47"/>
        <v/>
      </c>
      <c r="F845" s="3" t="str">
        <f>IF(E845="", "", VLOOKUP(B845, 'S08 ABC Output'!$A$3:$C$18, 3, 0))</f>
        <v/>
      </c>
      <c r="I845" s="288" t="str">
        <f t="shared" si="46"/>
        <v>WS-44</v>
      </c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</row>
    <row r="846" spans="1:53" ht="17">
      <c r="B846" s="196" t="str">
        <f>IFERROR(INDEX('S15 Routing Clustered'!$A$3:$A$18, A846), "")</f>
        <v/>
      </c>
      <c r="D846" s="287" t="str">
        <f>IFERROR(HLOOKUP(C846, 'S15 Routing Clustered'!$B$2:$I$18,A846+1, 0), "")</f>
        <v/>
      </c>
      <c r="E846" s="287" t="str">
        <f t="shared" si="47"/>
        <v/>
      </c>
      <c r="F846" s="3" t="str">
        <f>IF(E846="", "", VLOOKUP(B846, 'S08 ABC Output'!$A$3:$C$18, 3, 0))</f>
        <v/>
      </c>
    </row>
    <row r="847" spans="1:53" ht="17">
      <c r="B847" s="196" t="str">
        <f>IFERROR(INDEX('S15 Routing Clustered'!$A$3:$A$18, A847), "")</f>
        <v/>
      </c>
      <c r="D847" s="287" t="str">
        <f>IFERROR(HLOOKUP(C847, 'S15 Routing Clustered'!$B$2:$I$18,A847+1, 0), "")</f>
        <v/>
      </c>
      <c r="E847" s="287" t="str">
        <f t="shared" si="47"/>
        <v/>
      </c>
      <c r="F847" s="3" t="str">
        <f>IF(E847="", "", VLOOKUP(B847, 'S08 ABC Output'!$A$3:$C$18, 3, 0))</f>
        <v/>
      </c>
    </row>
    <row r="848" spans="1:53" ht="17">
      <c r="A848" s="3">
        <v>19</v>
      </c>
      <c r="B848" s="196" t="str">
        <f>IFERROR(INDEX('S15 Routing Clustered'!$A$3:$A$18, A848), "")</f>
        <v/>
      </c>
      <c r="C848" s="3">
        <v>10</v>
      </c>
      <c r="D848" s="287" t="str">
        <f>IFERROR(HLOOKUP(C848, 'S15 Routing Clustered'!$B$2:$I$18,A848+1, 0), "")</f>
        <v/>
      </c>
      <c r="E848" s="287" t="str">
        <f t="shared" si="47"/>
        <v/>
      </c>
      <c r="F848" s="3" t="str">
        <f>IF(E848="", "", VLOOKUP(B848, 'S08 ABC Output'!$A$3:$C$18, 3, 0))</f>
        <v/>
      </c>
      <c r="I848" s="288"/>
      <c r="J848" s="288" t="str">
        <f>J801</f>
        <v>WS-01</v>
      </c>
      <c r="K848" s="288" t="str">
        <f t="shared" ref="K848:BA848" si="48">K801</f>
        <v>WS-02</v>
      </c>
      <c r="L848" s="288" t="str">
        <f t="shared" si="48"/>
        <v>WS-03</v>
      </c>
      <c r="M848" s="288" t="str">
        <f t="shared" si="48"/>
        <v>WS-04</v>
      </c>
      <c r="N848" s="288" t="str">
        <f t="shared" si="48"/>
        <v>WS-05</v>
      </c>
      <c r="O848" s="288" t="str">
        <f t="shared" si="48"/>
        <v>WS-06</v>
      </c>
      <c r="P848" s="288" t="str">
        <f t="shared" si="48"/>
        <v>WS-07</v>
      </c>
      <c r="Q848" s="288" t="str">
        <f t="shared" si="48"/>
        <v>WS-08</v>
      </c>
      <c r="R848" s="288" t="str">
        <f t="shared" si="48"/>
        <v>WS-09</v>
      </c>
      <c r="S848" s="288" t="str">
        <f t="shared" si="48"/>
        <v>WS-10</v>
      </c>
      <c r="T848" s="288" t="str">
        <f t="shared" si="48"/>
        <v>WS-11</v>
      </c>
      <c r="U848" s="288" t="str">
        <f t="shared" si="48"/>
        <v>WS-12</v>
      </c>
      <c r="V848" s="288" t="str">
        <f t="shared" si="48"/>
        <v>WS-13</v>
      </c>
      <c r="W848" s="288" t="str">
        <f t="shared" si="48"/>
        <v>WS-14</v>
      </c>
      <c r="X848" s="288" t="str">
        <f t="shared" si="48"/>
        <v>WS-15</v>
      </c>
      <c r="Y848" s="288" t="str">
        <f t="shared" si="48"/>
        <v>WS-16</v>
      </c>
      <c r="Z848" s="288" t="str">
        <f t="shared" si="48"/>
        <v>WS-17</v>
      </c>
      <c r="AA848" s="288" t="str">
        <f t="shared" si="48"/>
        <v>WS-18</v>
      </c>
      <c r="AB848" s="288" t="str">
        <f t="shared" si="48"/>
        <v>WS-19</v>
      </c>
      <c r="AC848" s="288" t="str">
        <f t="shared" si="48"/>
        <v>WS-20</v>
      </c>
      <c r="AD848" s="288" t="str">
        <f t="shared" si="48"/>
        <v>WS-21</v>
      </c>
      <c r="AE848" s="288" t="str">
        <f t="shared" si="48"/>
        <v>WS-22</v>
      </c>
      <c r="AF848" s="288" t="str">
        <f t="shared" si="48"/>
        <v>WS-23</v>
      </c>
      <c r="AG848" s="288" t="str">
        <f t="shared" si="48"/>
        <v>WS-24</v>
      </c>
      <c r="AH848" s="288" t="str">
        <f t="shared" si="48"/>
        <v>WS-25</v>
      </c>
      <c r="AI848" s="288" t="str">
        <f t="shared" si="48"/>
        <v>WS-26</v>
      </c>
      <c r="AJ848" s="288" t="str">
        <f t="shared" si="48"/>
        <v>WS-27</v>
      </c>
      <c r="AK848" s="288" t="str">
        <f t="shared" si="48"/>
        <v>WS-28</v>
      </c>
      <c r="AL848" s="288" t="str">
        <f t="shared" si="48"/>
        <v>WS-29</v>
      </c>
      <c r="AM848" s="288" t="str">
        <f t="shared" si="48"/>
        <v>WS-30</v>
      </c>
      <c r="AN848" s="288" t="str">
        <f t="shared" si="48"/>
        <v>WS-31</v>
      </c>
      <c r="AO848" s="288" t="str">
        <f t="shared" si="48"/>
        <v>WS-32</v>
      </c>
      <c r="AP848" s="288" t="str">
        <f t="shared" si="48"/>
        <v>WS-33</v>
      </c>
      <c r="AQ848" s="288" t="str">
        <f t="shared" si="48"/>
        <v>WS-34</v>
      </c>
      <c r="AR848" s="288" t="str">
        <f t="shared" si="48"/>
        <v>WS-35</v>
      </c>
      <c r="AS848" s="288" t="str">
        <f t="shared" si="48"/>
        <v>WS-36</v>
      </c>
      <c r="AT848" s="288" t="str">
        <f t="shared" si="48"/>
        <v>WS-37</v>
      </c>
      <c r="AU848" s="288" t="str">
        <f t="shared" si="48"/>
        <v>WS-38</v>
      </c>
      <c r="AV848" s="288" t="str">
        <f t="shared" si="48"/>
        <v>WS-39</v>
      </c>
      <c r="AW848" s="288" t="str">
        <f t="shared" si="48"/>
        <v>WS-40</v>
      </c>
      <c r="AX848" s="288" t="str">
        <f t="shared" si="48"/>
        <v>WS-41</v>
      </c>
      <c r="AY848" s="288" t="str">
        <f t="shared" si="48"/>
        <v>WS-42</v>
      </c>
      <c r="AZ848" s="288" t="str">
        <f t="shared" si="48"/>
        <v>WS-43</v>
      </c>
      <c r="BA848" s="288" t="str">
        <f t="shared" si="48"/>
        <v>WS-44</v>
      </c>
    </row>
    <row r="849" spans="1:53" ht="17">
      <c r="A849" s="3">
        <v>19</v>
      </c>
      <c r="B849" s="196" t="str">
        <f>IFERROR(INDEX('S15 Routing Clustered'!$A$3:$A$18, A849), "")</f>
        <v/>
      </c>
      <c r="C849" s="3">
        <v>20</v>
      </c>
      <c r="D849" s="287" t="str">
        <f>IFERROR(HLOOKUP(C849, 'S15 Routing Clustered'!$B$2:$I$18,A849+1, 0), "")</f>
        <v/>
      </c>
      <c r="E849" s="287" t="str">
        <f t="shared" si="47"/>
        <v/>
      </c>
      <c r="F849" s="3" t="str">
        <f>IF(E849="", "", VLOOKUP(B849, 'S08 ABC Output'!$A$3:$C$18, 3, 0))</f>
        <v/>
      </c>
      <c r="I849" s="288" t="str">
        <f>I802</f>
        <v>WS-01</v>
      </c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</row>
    <row r="850" spans="1:53" ht="17">
      <c r="A850" s="3">
        <v>19</v>
      </c>
      <c r="B850" s="196" t="str">
        <f>IFERROR(INDEX('S15 Routing Clustered'!$A$3:$A$18, A850), "")</f>
        <v/>
      </c>
      <c r="C850" s="3">
        <v>30</v>
      </c>
      <c r="D850" s="287" t="str">
        <f>IFERROR(HLOOKUP(C850, 'S15 Routing Clustered'!$B$2:$I$18,A850+1, 0), "")</f>
        <v/>
      </c>
      <c r="E850" s="287" t="str">
        <f t="shared" si="47"/>
        <v/>
      </c>
      <c r="F850" s="3" t="str">
        <f>IF(E850="", "", VLOOKUP(B850, 'S08 ABC Output'!$A$3:$C$18, 3, 0))</f>
        <v/>
      </c>
      <c r="I850" s="288" t="str">
        <f t="shared" ref="I850:I892" si="49">I803</f>
        <v>WS-02</v>
      </c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</row>
    <row r="851" spans="1:53" ht="17">
      <c r="A851" s="3">
        <v>19</v>
      </c>
      <c r="B851" s="196" t="str">
        <f>IFERROR(INDEX('S15 Routing Clustered'!$A$3:$A$18, A851), "")</f>
        <v/>
      </c>
      <c r="C851" s="3">
        <v>40</v>
      </c>
      <c r="D851" s="287" t="str">
        <f>IFERROR(HLOOKUP(C851, 'S15 Routing Clustered'!$B$2:$I$18,A851+1, 0), "")</f>
        <v/>
      </c>
      <c r="E851" s="287" t="str">
        <f t="shared" si="47"/>
        <v/>
      </c>
      <c r="F851" s="3" t="str">
        <f>IF(E851="", "", VLOOKUP(B851, 'S08 ABC Output'!$A$3:$C$18, 3, 0))</f>
        <v/>
      </c>
      <c r="I851" s="288" t="str">
        <f t="shared" si="49"/>
        <v>WS-03</v>
      </c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</row>
    <row r="852" spans="1:53" ht="17">
      <c r="A852" s="3">
        <v>19</v>
      </c>
      <c r="B852" s="196" t="str">
        <f>IFERROR(INDEX('S15 Routing Clustered'!$A$3:$A$18, A852), "")</f>
        <v/>
      </c>
      <c r="C852" s="3">
        <v>50</v>
      </c>
      <c r="D852" s="287" t="str">
        <f>IFERROR(HLOOKUP(C852, 'S15 Routing Clustered'!$B$2:$I$18,A852+1, 0), "")</f>
        <v/>
      </c>
      <c r="E852" s="287" t="str">
        <f t="shared" si="47"/>
        <v/>
      </c>
      <c r="F852" s="3" t="str">
        <f>IF(E852="", "", VLOOKUP(B852, 'S08 ABC Output'!$A$3:$C$18, 3, 0))</f>
        <v/>
      </c>
      <c r="I852" s="288" t="str">
        <f t="shared" si="49"/>
        <v>WS-04</v>
      </c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</row>
    <row r="853" spans="1:53" ht="17">
      <c r="A853" s="3">
        <v>19</v>
      </c>
      <c r="B853" s="196" t="str">
        <f>IFERROR(INDEX('S15 Routing Clustered'!$A$3:$A$18, A853), "")</f>
        <v/>
      </c>
      <c r="C853" s="3">
        <v>60</v>
      </c>
      <c r="D853" s="287" t="str">
        <f>IFERROR(HLOOKUP(C853, 'S15 Routing Clustered'!$B$2:$I$18,A853+1, 0), "")</f>
        <v/>
      </c>
      <c r="E853" s="287" t="str">
        <f t="shared" si="47"/>
        <v/>
      </c>
      <c r="F853" s="3" t="str">
        <f>IF(E853="", "", VLOOKUP(B853, 'S08 ABC Output'!$A$3:$C$18, 3, 0))</f>
        <v/>
      </c>
      <c r="I853" s="288" t="str">
        <f t="shared" si="49"/>
        <v>WS-05</v>
      </c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</row>
    <row r="854" spans="1:53" ht="17">
      <c r="A854" s="3">
        <v>19</v>
      </c>
      <c r="B854" s="196" t="str">
        <f>IFERROR(INDEX('S15 Routing Clustered'!$A$3:$A$18, A854), "")</f>
        <v/>
      </c>
      <c r="C854" s="3">
        <v>70</v>
      </c>
      <c r="D854" s="287" t="str">
        <f>IFERROR(HLOOKUP(C854, 'S15 Routing Clustered'!$B$2:$I$18,A854+1, 0), "")</f>
        <v/>
      </c>
      <c r="E854" s="287" t="str">
        <f t="shared" si="47"/>
        <v/>
      </c>
      <c r="F854" s="3" t="str">
        <f>IF(E854="", "", VLOOKUP(B854, 'S08 ABC Output'!$A$3:$C$18, 3, 0))</f>
        <v/>
      </c>
      <c r="I854" s="288" t="str">
        <f t="shared" si="49"/>
        <v>WS-06</v>
      </c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</row>
    <row r="855" spans="1:53" ht="17">
      <c r="A855" s="3">
        <v>19</v>
      </c>
      <c r="B855" s="196" t="str">
        <f>IFERROR(INDEX('S15 Routing Clustered'!$A$3:$A$18, A855), "")</f>
        <v/>
      </c>
      <c r="C855" s="3">
        <v>80</v>
      </c>
      <c r="D855" s="287" t="str">
        <f>IFERROR(HLOOKUP(C855, 'S15 Routing Clustered'!$B$2:$I$18,A855+1, 0), "")</f>
        <v/>
      </c>
      <c r="E855" s="287" t="str">
        <f t="shared" si="47"/>
        <v/>
      </c>
      <c r="F855" s="3" t="str">
        <f>IF(E855="", "", VLOOKUP(B855, 'S08 ABC Output'!$A$3:$C$18, 3, 0))</f>
        <v/>
      </c>
      <c r="I855" s="288" t="str">
        <f t="shared" si="49"/>
        <v>WS-07</v>
      </c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</row>
    <row r="856" spans="1:53" ht="17">
      <c r="A856" s="3">
        <v>19</v>
      </c>
      <c r="B856" s="196" t="str">
        <f>IFERROR(INDEX('S15 Routing Clustered'!$A$3:$A$18, A856), "")</f>
        <v/>
      </c>
      <c r="C856" s="3">
        <v>90</v>
      </c>
      <c r="D856" s="287" t="str">
        <f>IFERROR(HLOOKUP(C856, 'S15 Routing Clustered'!$B$2:$I$18,A856+1, 0), "")</f>
        <v/>
      </c>
      <c r="E856" s="287" t="str">
        <f t="shared" si="47"/>
        <v/>
      </c>
      <c r="F856" s="3" t="str">
        <f>IF(E856="", "", VLOOKUP(B856, 'S08 ABC Output'!$A$3:$C$18, 3, 0))</f>
        <v/>
      </c>
      <c r="I856" s="288" t="str">
        <f t="shared" si="49"/>
        <v>WS-08</v>
      </c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</row>
    <row r="857" spans="1:53" ht="17">
      <c r="A857" s="3">
        <v>19</v>
      </c>
      <c r="B857" s="196" t="str">
        <f>IFERROR(INDEX('S15 Routing Clustered'!$A$3:$A$18, A857), "")</f>
        <v/>
      </c>
      <c r="C857" s="3">
        <v>100</v>
      </c>
      <c r="D857" s="287" t="str">
        <f>IFERROR(HLOOKUP(C857, 'S15 Routing Clustered'!$B$2:$I$18,A857+1, 0), "")</f>
        <v/>
      </c>
      <c r="E857" s="287" t="str">
        <f t="shared" si="47"/>
        <v/>
      </c>
      <c r="F857" s="3" t="str">
        <f>IF(E857="", "", VLOOKUP(B857, 'S08 ABC Output'!$A$3:$C$18, 3, 0))</f>
        <v/>
      </c>
      <c r="I857" s="288" t="str">
        <f t="shared" si="49"/>
        <v>WS-09</v>
      </c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</row>
    <row r="858" spans="1:53" ht="17">
      <c r="A858" s="3">
        <v>19</v>
      </c>
      <c r="B858" s="196" t="str">
        <f>IFERROR(INDEX('S15 Routing Clustered'!$A$3:$A$18, A858), "")</f>
        <v/>
      </c>
      <c r="C858" s="3">
        <v>110</v>
      </c>
      <c r="D858" s="287" t="str">
        <f>IFERROR(HLOOKUP(C858, 'S15 Routing Clustered'!$B$2:$I$18,A858+1, 0), "")</f>
        <v/>
      </c>
      <c r="E858" s="287" t="str">
        <f t="shared" si="47"/>
        <v/>
      </c>
      <c r="F858" s="3" t="str">
        <f>IF(E858="", "", VLOOKUP(B858, 'S08 ABC Output'!$A$3:$C$18, 3, 0))</f>
        <v/>
      </c>
      <c r="I858" s="288" t="str">
        <f t="shared" si="49"/>
        <v>WS-10</v>
      </c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</row>
    <row r="859" spans="1:53" ht="17">
      <c r="A859" s="3">
        <v>19</v>
      </c>
      <c r="B859" s="196" t="str">
        <f>IFERROR(INDEX('S15 Routing Clustered'!$A$3:$A$18, A859), "")</f>
        <v/>
      </c>
      <c r="C859" s="3">
        <v>120</v>
      </c>
      <c r="D859" s="287" t="str">
        <f>IFERROR(HLOOKUP(C859, 'S15 Routing Clustered'!$B$2:$I$18,A859+1, 0), "")</f>
        <v/>
      </c>
      <c r="E859" s="287" t="str">
        <f t="shared" si="47"/>
        <v/>
      </c>
      <c r="F859" s="3" t="str">
        <f>IF(E859="", "", VLOOKUP(B859, 'S08 ABC Output'!$A$3:$C$18, 3, 0))</f>
        <v/>
      </c>
      <c r="I859" s="288" t="str">
        <f t="shared" si="49"/>
        <v>WS-11</v>
      </c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</row>
    <row r="860" spans="1:53" ht="17">
      <c r="A860" s="3">
        <v>19</v>
      </c>
      <c r="B860" s="196" t="str">
        <f>IFERROR(INDEX('S15 Routing Clustered'!$A$3:$A$18, A860), "")</f>
        <v/>
      </c>
      <c r="C860" s="3">
        <v>130</v>
      </c>
      <c r="D860" s="287" t="str">
        <f>IFERROR(HLOOKUP(C860, 'S15 Routing Clustered'!$B$2:$I$18,A860+1, 0), "")</f>
        <v/>
      </c>
      <c r="E860" s="287" t="str">
        <f t="shared" si="47"/>
        <v/>
      </c>
      <c r="F860" s="3" t="str">
        <f>IF(E860="", "", VLOOKUP(B860, 'S08 ABC Output'!$A$3:$C$18, 3, 0))</f>
        <v/>
      </c>
      <c r="I860" s="288" t="str">
        <f t="shared" si="49"/>
        <v>WS-12</v>
      </c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</row>
    <row r="861" spans="1:53" ht="17">
      <c r="A861" s="3">
        <v>19</v>
      </c>
      <c r="B861" s="196" t="str">
        <f>IFERROR(INDEX('S15 Routing Clustered'!$A$3:$A$18, A861), "")</f>
        <v/>
      </c>
      <c r="C861" s="3">
        <v>140</v>
      </c>
      <c r="D861" s="287" t="str">
        <f>IFERROR(HLOOKUP(C861, 'S15 Routing Clustered'!$B$2:$I$18,A861+1, 0), "")</f>
        <v/>
      </c>
      <c r="E861" s="287" t="str">
        <f t="shared" si="47"/>
        <v/>
      </c>
      <c r="F861" s="3" t="str">
        <f>IF(E861="", "", VLOOKUP(B861, 'S08 ABC Output'!$A$3:$C$18, 3, 0))</f>
        <v/>
      </c>
      <c r="I861" s="288" t="str">
        <f t="shared" si="49"/>
        <v>WS-13</v>
      </c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</row>
    <row r="862" spans="1:53" ht="17">
      <c r="A862" s="3">
        <v>19</v>
      </c>
      <c r="B862" s="196" t="str">
        <f>IFERROR(INDEX('S15 Routing Clustered'!$A$3:$A$18, A862), "")</f>
        <v/>
      </c>
      <c r="C862" s="3">
        <v>150</v>
      </c>
      <c r="D862" s="287" t="str">
        <f>IFERROR(HLOOKUP(C862, 'S15 Routing Clustered'!$B$2:$I$18,A862+1, 0), "")</f>
        <v/>
      </c>
      <c r="E862" s="287" t="str">
        <f t="shared" si="47"/>
        <v/>
      </c>
      <c r="F862" s="3" t="str">
        <f>IF(E862="", "", VLOOKUP(B862, 'S08 ABC Output'!$A$3:$C$18, 3, 0))</f>
        <v/>
      </c>
      <c r="I862" s="288" t="str">
        <f t="shared" si="49"/>
        <v>WS-14</v>
      </c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</row>
    <row r="863" spans="1:53" ht="17">
      <c r="A863" s="3">
        <v>19</v>
      </c>
      <c r="B863" s="196" t="str">
        <f>IFERROR(INDEX('S15 Routing Clustered'!$A$3:$A$18, A863), "")</f>
        <v/>
      </c>
      <c r="C863" s="3">
        <v>160</v>
      </c>
      <c r="D863" s="287" t="str">
        <f>IFERROR(HLOOKUP(C863, 'S15 Routing Clustered'!$B$2:$I$18,A863+1, 0), "")</f>
        <v/>
      </c>
      <c r="E863" s="287" t="str">
        <f t="shared" si="47"/>
        <v/>
      </c>
      <c r="F863" s="3" t="str">
        <f>IF(E863="", "", VLOOKUP(B863, 'S08 ABC Output'!$A$3:$C$18, 3, 0))</f>
        <v/>
      </c>
      <c r="I863" s="288" t="str">
        <f t="shared" si="49"/>
        <v>WS-15</v>
      </c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</row>
    <row r="864" spans="1:53" ht="17">
      <c r="A864" s="3">
        <v>19</v>
      </c>
      <c r="B864" s="196" t="str">
        <f>IFERROR(INDEX('S15 Routing Clustered'!$A$3:$A$18, A864), "")</f>
        <v/>
      </c>
      <c r="C864" s="3">
        <v>170</v>
      </c>
      <c r="D864" s="287" t="str">
        <f>IFERROR(HLOOKUP(C864, 'S15 Routing Clustered'!$B$2:$I$18,A864+1, 0), "")</f>
        <v/>
      </c>
      <c r="E864" s="287" t="str">
        <f t="shared" si="47"/>
        <v/>
      </c>
      <c r="F864" s="3" t="str">
        <f>IF(E864="", "", VLOOKUP(B864, 'S08 ABC Output'!$A$3:$C$18, 3, 0))</f>
        <v/>
      </c>
      <c r="I864" s="288" t="str">
        <f t="shared" si="49"/>
        <v>WS-16</v>
      </c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</row>
    <row r="865" spans="1:53" ht="17">
      <c r="A865" s="3">
        <v>19</v>
      </c>
      <c r="B865" s="196" t="str">
        <f>IFERROR(INDEX('S15 Routing Clustered'!$A$3:$A$18, A865), "")</f>
        <v/>
      </c>
      <c r="C865" s="3">
        <v>180</v>
      </c>
      <c r="D865" s="287" t="str">
        <f>IFERROR(HLOOKUP(C865, 'S15 Routing Clustered'!$B$2:$I$18,A865+1, 0), "")</f>
        <v/>
      </c>
      <c r="E865" s="287" t="str">
        <f t="shared" si="47"/>
        <v/>
      </c>
      <c r="F865" s="3" t="str">
        <f>IF(E865="", "", VLOOKUP(B865, 'S08 ABC Output'!$A$3:$C$18, 3, 0))</f>
        <v/>
      </c>
      <c r="I865" s="288" t="str">
        <f t="shared" si="49"/>
        <v>WS-17</v>
      </c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</row>
    <row r="866" spans="1:53" ht="17">
      <c r="A866" s="3">
        <v>19</v>
      </c>
      <c r="B866" s="196" t="str">
        <f>IFERROR(INDEX('S15 Routing Clustered'!$A$3:$A$18, A866), "")</f>
        <v/>
      </c>
      <c r="C866" s="3">
        <v>190</v>
      </c>
      <c r="D866" s="287" t="str">
        <f>IFERROR(HLOOKUP(C866, 'S15 Routing Clustered'!$B$2:$I$18,A866+1, 0), "")</f>
        <v/>
      </c>
      <c r="E866" s="287" t="str">
        <f t="shared" si="47"/>
        <v/>
      </c>
      <c r="F866" s="3" t="str">
        <f>IF(E866="", "", VLOOKUP(B866, 'S08 ABC Output'!$A$3:$C$18, 3, 0))</f>
        <v/>
      </c>
      <c r="I866" s="288" t="str">
        <f t="shared" si="49"/>
        <v>WS-18</v>
      </c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</row>
    <row r="867" spans="1:53" ht="17">
      <c r="A867" s="3">
        <v>19</v>
      </c>
      <c r="B867" s="196" t="str">
        <f>IFERROR(INDEX('S15 Routing Clustered'!$A$3:$A$18, A867), "")</f>
        <v/>
      </c>
      <c r="C867" s="3">
        <v>200</v>
      </c>
      <c r="D867" s="287" t="str">
        <f>IFERROR(HLOOKUP(C867, 'S15 Routing Clustered'!$B$2:$I$18,A867+1, 0), "")</f>
        <v/>
      </c>
      <c r="E867" s="287" t="str">
        <f t="shared" si="47"/>
        <v/>
      </c>
      <c r="F867" s="3" t="str">
        <f>IF(E867="", "", VLOOKUP(B867, 'S08 ABC Output'!$A$3:$C$18, 3, 0))</f>
        <v/>
      </c>
      <c r="I867" s="288" t="str">
        <f t="shared" si="49"/>
        <v>WS-19</v>
      </c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</row>
    <row r="868" spans="1:53" ht="17">
      <c r="A868" s="3">
        <v>19</v>
      </c>
      <c r="B868" s="196" t="str">
        <f>IFERROR(INDEX('S15 Routing Clustered'!$A$3:$A$18, A868), "")</f>
        <v/>
      </c>
      <c r="C868" s="3">
        <v>210</v>
      </c>
      <c r="D868" s="287" t="str">
        <f>IFERROR(HLOOKUP(C868, 'S15 Routing Clustered'!$B$2:$I$18,A868+1, 0), "")</f>
        <v/>
      </c>
      <c r="E868" s="287" t="str">
        <f t="shared" si="47"/>
        <v/>
      </c>
      <c r="F868" s="3" t="str">
        <f>IF(E868="", "", VLOOKUP(B868, 'S08 ABC Output'!$A$3:$C$18, 3, 0))</f>
        <v/>
      </c>
      <c r="I868" s="288" t="str">
        <f t="shared" si="49"/>
        <v>WS-20</v>
      </c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</row>
    <row r="869" spans="1:53" ht="17">
      <c r="A869" s="3">
        <v>19</v>
      </c>
      <c r="B869" s="196" t="str">
        <f>IFERROR(INDEX('S15 Routing Clustered'!$A$3:$A$18, A869), "")</f>
        <v/>
      </c>
      <c r="C869" s="3">
        <v>220</v>
      </c>
      <c r="D869" s="287" t="str">
        <f>IFERROR(HLOOKUP(C869, 'S15 Routing Clustered'!$B$2:$I$18,A869+1, 0), "")</f>
        <v/>
      </c>
      <c r="E869" s="287" t="str">
        <f t="shared" si="47"/>
        <v/>
      </c>
      <c r="F869" s="3" t="str">
        <f>IF(E869="", "", VLOOKUP(B869, 'S08 ABC Output'!$A$3:$C$18, 3, 0))</f>
        <v/>
      </c>
      <c r="I869" s="288" t="str">
        <f t="shared" si="49"/>
        <v>WS-21</v>
      </c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</row>
    <row r="870" spans="1:53" ht="17">
      <c r="A870" s="3">
        <v>19</v>
      </c>
      <c r="B870" s="196" t="str">
        <f>IFERROR(INDEX('S15 Routing Clustered'!$A$3:$A$18, A870), "")</f>
        <v/>
      </c>
      <c r="C870" s="3">
        <v>230</v>
      </c>
      <c r="D870" s="287" t="str">
        <f>IFERROR(HLOOKUP(C870, 'S15 Routing Clustered'!$B$2:$I$18,A870+1, 0), "")</f>
        <v/>
      </c>
      <c r="E870" s="287" t="str">
        <f t="shared" si="47"/>
        <v/>
      </c>
      <c r="F870" s="3" t="str">
        <f>IF(E870="", "", VLOOKUP(B870, 'S08 ABC Output'!$A$3:$C$18, 3, 0))</f>
        <v/>
      </c>
      <c r="I870" s="288" t="str">
        <f t="shared" si="49"/>
        <v>WS-22</v>
      </c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</row>
    <row r="871" spans="1:53" ht="17">
      <c r="A871" s="3">
        <v>19</v>
      </c>
      <c r="B871" s="196" t="str">
        <f>IFERROR(INDEX('S15 Routing Clustered'!$A$3:$A$18, A871), "")</f>
        <v/>
      </c>
      <c r="C871" s="3">
        <v>240</v>
      </c>
      <c r="D871" s="287" t="str">
        <f>IFERROR(HLOOKUP(C871, 'S15 Routing Clustered'!$B$2:$I$18,A871+1, 0), "")</f>
        <v/>
      </c>
      <c r="E871" s="287" t="str">
        <f t="shared" si="47"/>
        <v/>
      </c>
      <c r="F871" s="3" t="str">
        <f>IF(E871="", "", VLOOKUP(B871, 'S08 ABC Output'!$A$3:$C$18, 3, 0))</f>
        <v/>
      </c>
      <c r="I871" s="288" t="str">
        <f t="shared" si="49"/>
        <v>WS-23</v>
      </c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</row>
    <row r="872" spans="1:53" ht="17">
      <c r="A872" s="3">
        <v>19</v>
      </c>
      <c r="B872" s="196" t="str">
        <f>IFERROR(INDEX('S15 Routing Clustered'!$A$3:$A$18, A872), "")</f>
        <v/>
      </c>
      <c r="C872" s="3">
        <v>250</v>
      </c>
      <c r="D872" s="287" t="str">
        <f>IFERROR(HLOOKUP(C872, 'S15 Routing Clustered'!$B$2:$I$18,A872+1, 0), "")</f>
        <v/>
      </c>
      <c r="E872" s="287" t="str">
        <f t="shared" si="47"/>
        <v/>
      </c>
      <c r="F872" s="3" t="str">
        <f>IF(E872="", "", VLOOKUP(B872, 'S08 ABC Output'!$A$3:$C$18, 3, 0))</f>
        <v/>
      </c>
      <c r="I872" s="288" t="str">
        <f t="shared" si="49"/>
        <v>WS-24</v>
      </c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</row>
    <row r="873" spans="1:53" ht="17">
      <c r="A873" s="3">
        <v>19</v>
      </c>
      <c r="B873" s="196" t="str">
        <f>IFERROR(INDEX('S15 Routing Clustered'!$A$3:$A$18, A873), "")</f>
        <v/>
      </c>
      <c r="C873" s="3">
        <v>260</v>
      </c>
      <c r="D873" s="287" t="str">
        <f>IFERROR(HLOOKUP(C873, 'S15 Routing Clustered'!$B$2:$I$18,A873+1, 0), "")</f>
        <v/>
      </c>
      <c r="E873" s="287" t="str">
        <f t="shared" si="47"/>
        <v/>
      </c>
      <c r="F873" s="3" t="str">
        <f>IF(E873="", "", VLOOKUP(B873, 'S08 ABC Output'!$A$3:$C$18, 3, 0))</f>
        <v/>
      </c>
      <c r="I873" s="288" t="str">
        <f t="shared" si="49"/>
        <v>WS-25</v>
      </c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</row>
    <row r="874" spans="1:53" ht="17">
      <c r="A874" s="3">
        <v>19</v>
      </c>
      <c r="B874" s="196" t="str">
        <f>IFERROR(INDEX('S15 Routing Clustered'!$A$3:$A$18, A874), "")</f>
        <v/>
      </c>
      <c r="C874" s="3">
        <v>270</v>
      </c>
      <c r="D874" s="287" t="str">
        <f>IFERROR(HLOOKUP(C874, 'S15 Routing Clustered'!$B$2:$I$18,A874+1, 0), "")</f>
        <v/>
      </c>
      <c r="E874" s="287" t="str">
        <f t="shared" si="47"/>
        <v/>
      </c>
      <c r="F874" s="3" t="str">
        <f>IF(E874="", "", VLOOKUP(B874, 'S08 ABC Output'!$A$3:$C$18, 3, 0))</f>
        <v/>
      </c>
      <c r="I874" s="288" t="str">
        <f t="shared" si="49"/>
        <v>WS-26</v>
      </c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</row>
    <row r="875" spans="1:53" ht="17">
      <c r="A875" s="3">
        <v>19</v>
      </c>
      <c r="B875" s="196" t="str">
        <f>IFERROR(INDEX('S15 Routing Clustered'!$A$3:$A$18, A875), "")</f>
        <v/>
      </c>
      <c r="C875" s="3">
        <v>280</v>
      </c>
      <c r="D875" s="287" t="str">
        <f>IFERROR(HLOOKUP(C875, 'S15 Routing Clustered'!$B$2:$I$18,A875+1, 0), "")</f>
        <v/>
      </c>
      <c r="E875" s="287" t="str">
        <f t="shared" si="47"/>
        <v/>
      </c>
      <c r="F875" s="3" t="str">
        <f>IF(E875="", "", VLOOKUP(B875, 'S08 ABC Output'!$A$3:$C$18, 3, 0))</f>
        <v/>
      </c>
      <c r="I875" s="288" t="str">
        <f t="shared" si="49"/>
        <v>WS-27</v>
      </c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</row>
    <row r="876" spans="1:53" ht="17">
      <c r="A876" s="3">
        <v>19</v>
      </c>
      <c r="B876" s="196" t="str">
        <f>IFERROR(INDEX('S15 Routing Clustered'!$A$3:$A$18, A876), "")</f>
        <v/>
      </c>
      <c r="C876" s="3">
        <v>290</v>
      </c>
      <c r="D876" s="287" t="str">
        <f>IFERROR(HLOOKUP(C876, 'S15 Routing Clustered'!$B$2:$I$18,A876+1, 0), "")</f>
        <v/>
      </c>
      <c r="E876" s="287" t="str">
        <f t="shared" si="47"/>
        <v/>
      </c>
      <c r="F876" s="3" t="str">
        <f>IF(E876="", "", VLOOKUP(B876, 'S08 ABC Output'!$A$3:$C$18, 3, 0))</f>
        <v/>
      </c>
      <c r="I876" s="288" t="str">
        <f t="shared" si="49"/>
        <v>WS-28</v>
      </c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</row>
    <row r="877" spans="1:53" ht="17">
      <c r="A877" s="3">
        <v>19</v>
      </c>
      <c r="B877" s="196" t="str">
        <f>IFERROR(INDEX('S15 Routing Clustered'!$A$3:$A$18, A877), "")</f>
        <v/>
      </c>
      <c r="C877" s="3">
        <v>300</v>
      </c>
      <c r="D877" s="287" t="str">
        <f>IFERROR(HLOOKUP(C877, 'S15 Routing Clustered'!$B$2:$I$18,A877+1, 0), "")</f>
        <v/>
      </c>
      <c r="E877" s="287" t="str">
        <f t="shared" si="47"/>
        <v/>
      </c>
      <c r="F877" s="3" t="str">
        <f>IF(E877="", "", VLOOKUP(B877, 'S08 ABC Output'!$A$3:$C$18, 3, 0))</f>
        <v/>
      </c>
      <c r="I877" s="288" t="str">
        <f t="shared" si="49"/>
        <v>WS-29</v>
      </c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</row>
    <row r="878" spans="1:53" ht="17">
      <c r="A878" s="3">
        <v>19</v>
      </c>
      <c r="B878" s="196" t="str">
        <f>IFERROR(INDEX('S15 Routing Clustered'!$A$3:$A$18, A878), "")</f>
        <v/>
      </c>
      <c r="C878" s="3">
        <v>310</v>
      </c>
      <c r="D878" s="287" t="str">
        <f>IFERROR(HLOOKUP(C878, 'S15 Routing Clustered'!$B$2:$I$18,A878+1, 0), "")</f>
        <v/>
      </c>
      <c r="E878" s="287" t="str">
        <f t="shared" si="47"/>
        <v/>
      </c>
      <c r="F878" s="3" t="str">
        <f>IF(E878="", "", VLOOKUP(B878, 'S08 ABC Output'!$A$3:$C$18, 3, 0))</f>
        <v/>
      </c>
      <c r="I878" s="288" t="str">
        <f t="shared" si="49"/>
        <v>WS-30</v>
      </c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</row>
    <row r="879" spans="1:53" ht="17">
      <c r="A879" s="3">
        <v>19</v>
      </c>
      <c r="B879" s="196" t="str">
        <f>IFERROR(INDEX('S15 Routing Clustered'!$A$3:$A$18, A879), "")</f>
        <v/>
      </c>
      <c r="C879" s="3">
        <v>320</v>
      </c>
      <c r="D879" s="287" t="str">
        <f>IFERROR(HLOOKUP(C879, 'S15 Routing Clustered'!$B$2:$I$18,A879+1, 0), "")</f>
        <v/>
      </c>
      <c r="E879" s="287" t="str">
        <f t="shared" si="47"/>
        <v/>
      </c>
      <c r="F879" s="3" t="str">
        <f>IF(E879="", "", VLOOKUP(B879, 'S08 ABC Output'!$A$3:$C$18, 3, 0))</f>
        <v/>
      </c>
      <c r="I879" s="288" t="str">
        <f t="shared" si="49"/>
        <v>WS-31</v>
      </c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</row>
    <row r="880" spans="1:53" ht="17">
      <c r="A880" s="3">
        <v>19</v>
      </c>
      <c r="B880" s="196" t="str">
        <f>IFERROR(INDEX('S15 Routing Clustered'!$A$3:$A$18, A880), "")</f>
        <v/>
      </c>
      <c r="C880" s="3">
        <v>330</v>
      </c>
      <c r="D880" s="287" t="str">
        <f>IFERROR(HLOOKUP(C880, 'S15 Routing Clustered'!$B$2:$I$18,A880+1, 0), "")</f>
        <v/>
      </c>
      <c r="E880" s="287" t="str">
        <f t="shared" si="47"/>
        <v/>
      </c>
      <c r="F880" s="3" t="str">
        <f>IF(E880="", "", VLOOKUP(B880, 'S08 ABC Output'!$A$3:$C$18, 3, 0))</f>
        <v/>
      </c>
      <c r="I880" s="288" t="str">
        <f t="shared" si="49"/>
        <v>WS-32</v>
      </c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</row>
    <row r="881" spans="1:53" ht="17">
      <c r="A881" s="3">
        <v>19</v>
      </c>
      <c r="B881" s="196" t="str">
        <f>IFERROR(INDEX('S15 Routing Clustered'!$A$3:$A$18, A881), "")</f>
        <v/>
      </c>
      <c r="C881" s="3">
        <v>340</v>
      </c>
      <c r="D881" s="287" t="str">
        <f>IFERROR(HLOOKUP(C881, 'S15 Routing Clustered'!$B$2:$I$18,A881+1, 0), "")</f>
        <v/>
      </c>
      <c r="E881" s="287" t="str">
        <f t="shared" si="47"/>
        <v/>
      </c>
      <c r="F881" s="3" t="str">
        <f>IF(E881="", "", VLOOKUP(B881, 'S08 ABC Output'!$A$3:$C$18, 3, 0))</f>
        <v/>
      </c>
      <c r="I881" s="288" t="str">
        <f t="shared" si="49"/>
        <v>WS-33</v>
      </c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</row>
    <row r="882" spans="1:53" ht="17">
      <c r="A882" s="3">
        <v>19</v>
      </c>
      <c r="B882" s="196" t="str">
        <f>IFERROR(INDEX('S15 Routing Clustered'!$A$3:$A$18, A882), "")</f>
        <v/>
      </c>
      <c r="C882" s="3">
        <v>350</v>
      </c>
      <c r="D882" s="287" t="str">
        <f>IFERROR(HLOOKUP(C882, 'S15 Routing Clustered'!$B$2:$I$18,A882+1, 0), "")</f>
        <v/>
      </c>
      <c r="E882" s="287" t="str">
        <f t="shared" si="47"/>
        <v/>
      </c>
      <c r="F882" s="3" t="str">
        <f>IF(E882="", "", VLOOKUP(B882, 'S08 ABC Output'!$A$3:$C$18, 3, 0))</f>
        <v/>
      </c>
      <c r="I882" s="288" t="str">
        <f t="shared" si="49"/>
        <v>WS-34</v>
      </c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</row>
    <row r="883" spans="1:53" ht="17">
      <c r="A883" s="3">
        <v>19</v>
      </c>
      <c r="B883" s="196" t="str">
        <f>IFERROR(INDEX('S15 Routing Clustered'!$A$3:$A$18, A883), "")</f>
        <v/>
      </c>
      <c r="C883" s="3">
        <v>360</v>
      </c>
      <c r="D883" s="287" t="str">
        <f>IFERROR(HLOOKUP(C883, 'S15 Routing Clustered'!$B$2:$I$18,A883+1, 0), "")</f>
        <v/>
      </c>
      <c r="E883" s="287" t="str">
        <f t="shared" si="47"/>
        <v/>
      </c>
      <c r="F883" s="3" t="str">
        <f>IF(E883="", "", VLOOKUP(B883, 'S08 ABC Output'!$A$3:$C$18, 3, 0))</f>
        <v/>
      </c>
      <c r="I883" s="288" t="str">
        <f t="shared" si="49"/>
        <v>WS-35</v>
      </c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</row>
    <row r="884" spans="1:53" ht="17">
      <c r="A884" s="3">
        <v>19</v>
      </c>
      <c r="B884" s="196" t="str">
        <f>IFERROR(INDEX('S15 Routing Clustered'!$A$3:$A$18, A884), "")</f>
        <v/>
      </c>
      <c r="C884" s="3">
        <v>370</v>
      </c>
      <c r="D884" s="287" t="str">
        <f>IFERROR(HLOOKUP(C884, 'S15 Routing Clustered'!$B$2:$I$18,A884+1, 0), "")</f>
        <v/>
      </c>
      <c r="E884" s="287" t="str">
        <f t="shared" si="47"/>
        <v/>
      </c>
      <c r="F884" s="3" t="str">
        <f>IF(E884="", "", VLOOKUP(B884, 'S08 ABC Output'!$A$3:$C$18, 3, 0))</f>
        <v/>
      </c>
      <c r="I884" s="288" t="str">
        <f t="shared" si="49"/>
        <v>WS-36</v>
      </c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</row>
    <row r="885" spans="1:53" ht="17">
      <c r="A885" s="3">
        <v>19</v>
      </c>
      <c r="B885" s="196" t="str">
        <f>IFERROR(INDEX('S15 Routing Clustered'!$A$3:$A$18, A885), "")</f>
        <v/>
      </c>
      <c r="C885" s="3">
        <v>380</v>
      </c>
      <c r="D885" s="287" t="str">
        <f>IFERROR(HLOOKUP(C885, 'S15 Routing Clustered'!$B$2:$I$18,A885+1, 0), "")</f>
        <v/>
      </c>
      <c r="E885" s="287" t="str">
        <f t="shared" si="47"/>
        <v/>
      </c>
      <c r="F885" s="3" t="str">
        <f>IF(E885="", "", VLOOKUP(B885, 'S08 ABC Output'!$A$3:$C$18, 3, 0))</f>
        <v/>
      </c>
      <c r="I885" s="288" t="str">
        <f t="shared" si="49"/>
        <v>WS-37</v>
      </c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</row>
    <row r="886" spans="1:53" ht="17">
      <c r="A886" s="3">
        <v>19</v>
      </c>
      <c r="B886" s="196" t="str">
        <f>IFERROR(INDEX('S15 Routing Clustered'!$A$3:$A$18, A886), "")</f>
        <v/>
      </c>
      <c r="C886" s="3">
        <v>390</v>
      </c>
      <c r="D886" s="287" t="str">
        <f>IFERROR(HLOOKUP(C886, 'S15 Routing Clustered'!$B$2:$I$18,A886+1, 0), "")</f>
        <v/>
      </c>
      <c r="E886" s="287" t="str">
        <f t="shared" si="47"/>
        <v/>
      </c>
      <c r="F886" s="3" t="str">
        <f>IF(E886="", "", VLOOKUP(B886, 'S08 ABC Output'!$A$3:$C$18, 3, 0))</f>
        <v/>
      </c>
      <c r="I886" s="288" t="str">
        <f t="shared" si="49"/>
        <v>WS-38</v>
      </c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</row>
    <row r="887" spans="1:53" ht="17">
      <c r="A887" s="3">
        <v>19</v>
      </c>
      <c r="B887" s="196" t="str">
        <f>IFERROR(INDEX('S15 Routing Clustered'!$A$3:$A$18, A887), "")</f>
        <v/>
      </c>
      <c r="C887" s="3">
        <v>400</v>
      </c>
      <c r="D887" s="287" t="str">
        <f>IFERROR(HLOOKUP(C887, 'S15 Routing Clustered'!$B$2:$I$18,A887+1, 0), "")</f>
        <v/>
      </c>
      <c r="E887" s="287" t="str">
        <f t="shared" si="47"/>
        <v/>
      </c>
      <c r="F887" s="3" t="str">
        <f>IF(E887="", "", VLOOKUP(B887, 'S08 ABC Output'!$A$3:$C$18, 3, 0))</f>
        <v/>
      </c>
      <c r="I887" s="288" t="str">
        <f t="shared" si="49"/>
        <v>WS-39</v>
      </c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</row>
    <row r="888" spans="1:53" ht="17">
      <c r="A888" s="3">
        <v>19</v>
      </c>
      <c r="B888" s="196" t="str">
        <f>IFERROR(INDEX('S15 Routing Clustered'!$A$3:$A$18, A888), "")</f>
        <v/>
      </c>
      <c r="C888" s="3">
        <v>410</v>
      </c>
      <c r="D888" s="287" t="str">
        <f>IFERROR(HLOOKUP(C888, 'S15 Routing Clustered'!$B$2:$I$18,A888+1, 0), "")</f>
        <v/>
      </c>
      <c r="E888" s="287" t="str">
        <f t="shared" si="47"/>
        <v/>
      </c>
      <c r="F888" s="3" t="str">
        <f>IF(E888="", "", VLOOKUP(B888, 'S08 ABC Output'!$A$3:$C$18, 3, 0))</f>
        <v/>
      </c>
      <c r="I888" s="288" t="str">
        <f t="shared" si="49"/>
        <v>WS-40</v>
      </c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</row>
    <row r="889" spans="1:53" ht="17">
      <c r="A889" s="3">
        <v>19</v>
      </c>
      <c r="B889" s="196" t="str">
        <f>IFERROR(INDEX('S15 Routing Clustered'!$A$3:$A$18, A889), "")</f>
        <v/>
      </c>
      <c r="C889" s="3">
        <v>420</v>
      </c>
      <c r="D889" s="287" t="str">
        <f>IFERROR(HLOOKUP(C889, 'S15 Routing Clustered'!$B$2:$I$18,A889+1, 0), "")</f>
        <v/>
      </c>
      <c r="E889" s="287" t="str">
        <f t="shared" si="47"/>
        <v/>
      </c>
      <c r="F889" s="3" t="str">
        <f>IF(E889="", "", VLOOKUP(B889, 'S08 ABC Output'!$A$3:$C$18, 3, 0))</f>
        <v/>
      </c>
      <c r="I889" s="288" t="str">
        <f t="shared" si="49"/>
        <v>WS-41</v>
      </c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</row>
    <row r="890" spans="1:53" ht="17">
      <c r="A890" s="3">
        <v>19</v>
      </c>
      <c r="B890" s="196" t="str">
        <f>IFERROR(INDEX('S15 Routing Clustered'!$A$3:$A$18, A890), "")</f>
        <v/>
      </c>
      <c r="C890" s="3">
        <v>430</v>
      </c>
      <c r="D890" s="287" t="str">
        <f>IFERROR(HLOOKUP(C890, 'S15 Routing Clustered'!$B$2:$I$18,A890+1, 0), "")</f>
        <v/>
      </c>
      <c r="E890" s="287" t="str">
        <f t="shared" si="47"/>
        <v/>
      </c>
      <c r="F890" s="3" t="str">
        <f>IF(E890="", "", VLOOKUP(B890, 'S08 ABC Output'!$A$3:$C$18, 3, 0))</f>
        <v/>
      </c>
      <c r="I890" s="288" t="str">
        <f t="shared" si="49"/>
        <v>WS-42</v>
      </c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</row>
    <row r="891" spans="1:53" ht="17">
      <c r="A891" s="3">
        <v>19</v>
      </c>
      <c r="B891" s="196" t="str">
        <f>IFERROR(INDEX('S15 Routing Clustered'!$A$3:$A$18, A891), "")</f>
        <v/>
      </c>
      <c r="C891" s="3">
        <v>440</v>
      </c>
      <c r="D891" s="287" t="str">
        <f>IFERROR(HLOOKUP(C891, 'S15 Routing Clustered'!$B$2:$I$18,A891+1, 0), "")</f>
        <v/>
      </c>
      <c r="E891" s="287" t="str">
        <f t="shared" si="47"/>
        <v/>
      </c>
      <c r="F891" s="3" t="str">
        <f>IF(E891="", "", VLOOKUP(B891, 'S08 ABC Output'!$A$3:$C$18, 3, 0))</f>
        <v/>
      </c>
      <c r="I891" s="288" t="str">
        <f t="shared" si="49"/>
        <v>WS-43</v>
      </c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</row>
    <row r="892" spans="1:53" ht="17">
      <c r="A892" s="3">
        <v>19</v>
      </c>
      <c r="B892" s="196" t="str">
        <f>IFERROR(INDEX('S15 Routing Clustered'!$A$3:$A$18, A892), "")</f>
        <v/>
      </c>
      <c r="C892" s="3">
        <v>450</v>
      </c>
      <c r="D892" s="287" t="str">
        <f>IFERROR(HLOOKUP(C892, 'S15 Routing Clustered'!$B$2:$I$18,A892+1, 0), "")</f>
        <v/>
      </c>
      <c r="E892" s="287" t="str">
        <f t="shared" si="47"/>
        <v/>
      </c>
      <c r="F892" s="3" t="str">
        <f>IF(E892="", "", VLOOKUP(B892, 'S08 ABC Output'!$A$3:$C$18, 3, 0))</f>
        <v/>
      </c>
      <c r="I892" s="288" t="str">
        <f t="shared" si="49"/>
        <v>WS-44</v>
      </c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</row>
    <row r="893" spans="1:53" ht="17">
      <c r="B893" s="196" t="str">
        <f>IFERROR(INDEX('S15 Routing Clustered'!$A$3:$A$18, A893), "")</f>
        <v/>
      </c>
      <c r="D893" s="287" t="str">
        <f>IFERROR(HLOOKUP(C893, 'S15 Routing Clustered'!$B$2:$I$18,A893+1, 0), "")</f>
        <v/>
      </c>
      <c r="E893" s="287" t="str">
        <f t="shared" si="47"/>
        <v/>
      </c>
      <c r="F893" s="3" t="str">
        <f>IF(E893="", "", VLOOKUP(B893, 'S08 ABC Output'!$A$3:$C$18, 3, 0))</f>
        <v/>
      </c>
    </row>
    <row r="894" spans="1:53" ht="17">
      <c r="B894" s="196" t="str">
        <f>IFERROR(INDEX('S15 Routing Clustered'!$A$3:$A$18, A894), "")</f>
        <v/>
      </c>
      <c r="D894" s="287" t="str">
        <f>IFERROR(HLOOKUP(C894, 'S15 Routing Clustered'!$B$2:$I$18,A894+1, 0), "")</f>
        <v/>
      </c>
      <c r="E894" s="287" t="str">
        <f t="shared" si="47"/>
        <v/>
      </c>
      <c r="F894" s="3" t="str">
        <f>IF(E894="", "", VLOOKUP(B894, 'S08 ABC Output'!$A$3:$C$18, 3, 0))</f>
        <v/>
      </c>
    </row>
    <row r="895" spans="1:53" ht="17">
      <c r="A895" s="3">
        <v>20</v>
      </c>
      <c r="B895" s="196" t="str">
        <f>IFERROR(INDEX('S15 Routing Clustered'!$A$3:$A$18, A895), "")</f>
        <v/>
      </c>
      <c r="C895" s="3">
        <v>10</v>
      </c>
      <c r="D895" s="287" t="str">
        <f>IFERROR(HLOOKUP(C895, 'S15 Routing Clustered'!$B$2:$I$18,A895+1, 0), "")</f>
        <v/>
      </c>
      <c r="E895" s="287" t="str">
        <f t="shared" si="47"/>
        <v/>
      </c>
      <c r="F895" s="3" t="str">
        <f>IF(E895="", "", VLOOKUP(B895, 'S08 ABC Output'!$A$3:$C$18, 3, 0))</f>
        <v/>
      </c>
      <c r="I895" s="288"/>
      <c r="J895" s="288" t="str">
        <f>J848</f>
        <v>WS-01</v>
      </c>
      <c r="K895" s="288" t="str">
        <f t="shared" ref="K895:BA895" si="50">K848</f>
        <v>WS-02</v>
      </c>
      <c r="L895" s="288" t="str">
        <f t="shared" si="50"/>
        <v>WS-03</v>
      </c>
      <c r="M895" s="288" t="str">
        <f t="shared" si="50"/>
        <v>WS-04</v>
      </c>
      <c r="N895" s="288" t="str">
        <f t="shared" si="50"/>
        <v>WS-05</v>
      </c>
      <c r="O895" s="288" t="str">
        <f t="shared" si="50"/>
        <v>WS-06</v>
      </c>
      <c r="P895" s="288" t="str">
        <f t="shared" si="50"/>
        <v>WS-07</v>
      </c>
      <c r="Q895" s="288" t="str">
        <f t="shared" si="50"/>
        <v>WS-08</v>
      </c>
      <c r="R895" s="288" t="str">
        <f t="shared" si="50"/>
        <v>WS-09</v>
      </c>
      <c r="S895" s="288" t="str">
        <f t="shared" si="50"/>
        <v>WS-10</v>
      </c>
      <c r="T895" s="288" t="str">
        <f t="shared" si="50"/>
        <v>WS-11</v>
      </c>
      <c r="U895" s="288" t="str">
        <f t="shared" si="50"/>
        <v>WS-12</v>
      </c>
      <c r="V895" s="288" t="str">
        <f t="shared" si="50"/>
        <v>WS-13</v>
      </c>
      <c r="W895" s="288" t="str">
        <f t="shared" si="50"/>
        <v>WS-14</v>
      </c>
      <c r="X895" s="288" t="str">
        <f t="shared" si="50"/>
        <v>WS-15</v>
      </c>
      <c r="Y895" s="288" t="str">
        <f t="shared" si="50"/>
        <v>WS-16</v>
      </c>
      <c r="Z895" s="288" t="str">
        <f t="shared" si="50"/>
        <v>WS-17</v>
      </c>
      <c r="AA895" s="288" t="str">
        <f t="shared" si="50"/>
        <v>WS-18</v>
      </c>
      <c r="AB895" s="288" t="str">
        <f t="shared" si="50"/>
        <v>WS-19</v>
      </c>
      <c r="AC895" s="288" t="str">
        <f t="shared" si="50"/>
        <v>WS-20</v>
      </c>
      <c r="AD895" s="288" t="str">
        <f t="shared" si="50"/>
        <v>WS-21</v>
      </c>
      <c r="AE895" s="288" t="str">
        <f t="shared" si="50"/>
        <v>WS-22</v>
      </c>
      <c r="AF895" s="288" t="str">
        <f t="shared" si="50"/>
        <v>WS-23</v>
      </c>
      <c r="AG895" s="288" t="str">
        <f t="shared" si="50"/>
        <v>WS-24</v>
      </c>
      <c r="AH895" s="288" t="str">
        <f t="shared" si="50"/>
        <v>WS-25</v>
      </c>
      <c r="AI895" s="288" t="str">
        <f t="shared" si="50"/>
        <v>WS-26</v>
      </c>
      <c r="AJ895" s="288" t="str">
        <f t="shared" si="50"/>
        <v>WS-27</v>
      </c>
      <c r="AK895" s="288" t="str">
        <f t="shared" si="50"/>
        <v>WS-28</v>
      </c>
      <c r="AL895" s="288" t="str">
        <f t="shared" si="50"/>
        <v>WS-29</v>
      </c>
      <c r="AM895" s="288" t="str">
        <f t="shared" si="50"/>
        <v>WS-30</v>
      </c>
      <c r="AN895" s="288" t="str">
        <f t="shared" si="50"/>
        <v>WS-31</v>
      </c>
      <c r="AO895" s="288" t="str">
        <f t="shared" si="50"/>
        <v>WS-32</v>
      </c>
      <c r="AP895" s="288" t="str">
        <f t="shared" si="50"/>
        <v>WS-33</v>
      </c>
      <c r="AQ895" s="288" t="str">
        <f t="shared" si="50"/>
        <v>WS-34</v>
      </c>
      <c r="AR895" s="288" t="str">
        <f t="shared" si="50"/>
        <v>WS-35</v>
      </c>
      <c r="AS895" s="288" t="str">
        <f t="shared" si="50"/>
        <v>WS-36</v>
      </c>
      <c r="AT895" s="288" t="str">
        <f t="shared" si="50"/>
        <v>WS-37</v>
      </c>
      <c r="AU895" s="288" t="str">
        <f t="shared" si="50"/>
        <v>WS-38</v>
      </c>
      <c r="AV895" s="288" t="str">
        <f t="shared" si="50"/>
        <v>WS-39</v>
      </c>
      <c r="AW895" s="288" t="str">
        <f t="shared" si="50"/>
        <v>WS-40</v>
      </c>
      <c r="AX895" s="288" t="str">
        <f t="shared" si="50"/>
        <v>WS-41</v>
      </c>
      <c r="AY895" s="288" t="str">
        <f t="shared" si="50"/>
        <v>WS-42</v>
      </c>
      <c r="AZ895" s="288" t="str">
        <f t="shared" si="50"/>
        <v>WS-43</v>
      </c>
      <c r="BA895" s="288" t="str">
        <f t="shared" si="50"/>
        <v>WS-44</v>
      </c>
    </row>
    <row r="896" spans="1:53" ht="17">
      <c r="A896" s="3">
        <v>20</v>
      </c>
      <c r="B896" s="196" t="str">
        <f>IFERROR(INDEX('S15 Routing Clustered'!$A$3:$A$18, A896), "")</f>
        <v/>
      </c>
      <c r="C896" s="3">
        <v>20</v>
      </c>
      <c r="D896" s="287" t="str">
        <f>IFERROR(HLOOKUP(C896, 'S15 Routing Clustered'!$B$2:$I$18,A896+1, 0), "")</f>
        <v/>
      </c>
      <c r="E896" s="287" t="str">
        <f t="shared" si="47"/>
        <v/>
      </c>
      <c r="F896" s="3" t="str">
        <f>IF(E896="", "", VLOOKUP(B896, 'S08 ABC Output'!$A$3:$C$18, 3, 0))</f>
        <v/>
      </c>
      <c r="I896" s="288" t="str">
        <f>I849</f>
        <v>WS-01</v>
      </c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</row>
    <row r="897" spans="1:53" ht="17">
      <c r="A897" s="3">
        <v>20</v>
      </c>
      <c r="B897" s="196" t="str">
        <f>IFERROR(INDEX('S15 Routing Clustered'!$A$3:$A$18, A897), "")</f>
        <v/>
      </c>
      <c r="C897" s="3">
        <v>30</v>
      </c>
      <c r="D897" s="287" t="str">
        <f>IFERROR(HLOOKUP(C897, 'S15 Routing Clustered'!$B$2:$I$18,A897+1, 0), "")</f>
        <v/>
      </c>
      <c r="E897" s="287" t="str">
        <f t="shared" si="47"/>
        <v/>
      </c>
      <c r="F897" s="3" t="str">
        <f>IF(E897="", "", VLOOKUP(B897, 'S08 ABC Output'!$A$3:$C$18, 3, 0))</f>
        <v/>
      </c>
      <c r="I897" s="288" t="str">
        <f t="shared" ref="I897:I939" si="51">I850</f>
        <v>WS-02</v>
      </c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</row>
    <row r="898" spans="1:53" ht="17">
      <c r="A898" s="3">
        <v>20</v>
      </c>
      <c r="B898" s="196" t="str">
        <f>IFERROR(INDEX('S15 Routing Clustered'!$A$3:$A$18, A898), "")</f>
        <v/>
      </c>
      <c r="C898" s="3">
        <v>40</v>
      </c>
      <c r="D898" s="287" t="str">
        <f>IFERROR(HLOOKUP(C898, 'S15 Routing Clustered'!$B$2:$I$18,A898+1, 0), "")</f>
        <v/>
      </c>
      <c r="E898" s="287" t="str">
        <f t="shared" si="47"/>
        <v/>
      </c>
      <c r="F898" s="3" t="str">
        <f>IF(E898="", "", VLOOKUP(B898, 'S08 ABC Output'!$A$3:$C$18, 3, 0))</f>
        <v/>
      </c>
      <c r="I898" s="288" t="str">
        <f t="shared" si="51"/>
        <v>WS-03</v>
      </c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</row>
    <row r="899" spans="1:53" ht="17">
      <c r="A899" s="3">
        <v>20</v>
      </c>
      <c r="B899" s="196" t="str">
        <f>IFERROR(INDEX('S15 Routing Clustered'!$A$3:$A$18, A899), "")</f>
        <v/>
      </c>
      <c r="C899" s="3">
        <v>50</v>
      </c>
      <c r="D899" s="287" t="str">
        <f>IFERROR(HLOOKUP(C899, 'S15 Routing Clustered'!$B$2:$I$18,A899+1, 0), "")</f>
        <v/>
      </c>
      <c r="E899" s="287" t="str">
        <f t="shared" ref="E899:E939" si="52">IF(D899="", "", D900)</f>
        <v/>
      </c>
      <c r="F899" s="3" t="str">
        <f>IF(E899="", "", VLOOKUP(B899, 'S08 ABC Output'!$A$3:$C$18, 3, 0))</f>
        <v/>
      </c>
      <c r="I899" s="288" t="str">
        <f t="shared" si="51"/>
        <v>WS-04</v>
      </c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</row>
    <row r="900" spans="1:53" ht="17">
      <c r="A900" s="3">
        <v>20</v>
      </c>
      <c r="B900" s="196" t="str">
        <f>IFERROR(INDEX('S15 Routing Clustered'!$A$3:$A$18, A900), "")</f>
        <v/>
      </c>
      <c r="C900" s="3">
        <v>60</v>
      </c>
      <c r="D900" s="287" t="str">
        <f>IFERROR(HLOOKUP(C900, 'S15 Routing Clustered'!$B$2:$I$18,A900+1, 0), "")</f>
        <v/>
      </c>
      <c r="E900" s="287" t="str">
        <f t="shared" si="52"/>
        <v/>
      </c>
      <c r="F900" s="3" t="str">
        <f>IF(E900="", "", VLOOKUP(B900, 'S08 ABC Output'!$A$3:$C$18, 3, 0))</f>
        <v/>
      </c>
      <c r="I900" s="288" t="str">
        <f t="shared" si="51"/>
        <v>WS-05</v>
      </c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</row>
    <row r="901" spans="1:53" ht="17">
      <c r="A901" s="3">
        <v>20</v>
      </c>
      <c r="B901" s="196" t="str">
        <f>IFERROR(INDEX('S15 Routing Clustered'!$A$3:$A$18, A901), "")</f>
        <v/>
      </c>
      <c r="C901" s="3">
        <v>70</v>
      </c>
      <c r="D901" s="287" t="str">
        <f>IFERROR(HLOOKUP(C901, 'S15 Routing Clustered'!$B$2:$I$18,A901+1, 0), "")</f>
        <v/>
      </c>
      <c r="E901" s="287" t="str">
        <f t="shared" si="52"/>
        <v/>
      </c>
      <c r="F901" s="3" t="str">
        <f>IF(E901="", "", VLOOKUP(B901, 'S08 ABC Output'!$A$3:$C$18, 3, 0))</f>
        <v/>
      </c>
      <c r="I901" s="288" t="str">
        <f t="shared" si="51"/>
        <v>WS-06</v>
      </c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</row>
    <row r="902" spans="1:53" ht="17">
      <c r="A902" s="3">
        <v>20</v>
      </c>
      <c r="B902" s="196" t="str">
        <f>IFERROR(INDEX('S15 Routing Clustered'!$A$3:$A$18, A902), "")</f>
        <v/>
      </c>
      <c r="C902" s="3">
        <v>80</v>
      </c>
      <c r="D902" s="287" t="str">
        <f>IFERROR(HLOOKUP(C902, 'S15 Routing Clustered'!$B$2:$I$18,A902+1, 0), "")</f>
        <v/>
      </c>
      <c r="E902" s="287" t="str">
        <f t="shared" si="52"/>
        <v/>
      </c>
      <c r="F902" s="3" t="str">
        <f>IF(E902="", "", VLOOKUP(B902, 'S08 ABC Output'!$A$3:$C$18, 3, 0))</f>
        <v/>
      </c>
      <c r="I902" s="288" t="str">
        <f t="shared" si="51"/>
        <v>WS-07</v>
      </c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</row>
    <row r="903" spans="1:53" ht="17">
      <c r="A903" s="3">
        <v>20</v>
      </c>
      <c r="B903" s="196" t="str">
        <f>IFERROR(INDEX('S15 Routing Clustered'!$A$3:$A$18, A903), "")</f>
        <v/>
      </c>
      <c r="C903" s="3">
        <v>90</v>
      </c>
      <c r="D903" s="287" t="str">
        <f>IFERROR(HLOOKUP(C903, 'S15 Routing Clustered'!$B$2:$I$18,A903+1, 0), "")</f>
        <v/>
      </c>
      <c r="E903" s="287" t="str">
        <f t="shared" si="52"/>
        <v/>
      </c>
      <c r="F903" s="3" t="str">
        <f>IF(E903="", "", VLOOKUP(B903, 'S08 ABC Output'!$A$3:$C$18, 3, 0))</f>
        <v/>
      </c>
      <c r="I903" s="288" t="str">
        <f t="shared" si="51"/>
        <v>WS-08</v>
      </c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</row>
    <row r="904" spans="1:53" ht="17">
      <c r="A904" s="3">
        <v>20</v>
      </c>
      <c r="B904" s="196" t="str">
        <f>IFERROR(INDEX('S15 Routing Clustered'!$A$3:$A$18, A904), "")</f>
        <v/>
      </c>
      <c r="C904" s="3">
        <v>100</v>
      </c>
      <c r="D904" s="287" t="str">
        <f>IFERROR(HLOOKUP(C904, 'S15 Routing Clustered'!$B$2:$I$18,A904+1, 0), "")</f>
        <v/>
      </c>
      <c r="E904" s="287" t="str">
        <f t="shared" si="52"/>
        <v/>
      </c>
      <c r="F904" s="3" t="str">
        <f>IF(E904="", "", VLOOKUP(B904, 'S08 ABC Output'!$A$3:$C$18, 3, 0))</f>
        <v/>
      </c>
      <c r="I904" s="288" t="str">
        <f t="shared" si="51"/>
        <v>WS-09</v>
      </c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</row>
    <row r="905" spans="1:53" ht="17">
      <c r="A905" s="3">
        <v>20</v>
      </c>
      <c r="B905" s="196" t="str">
        <f>IFERROR(INDEX('S15 Routing Clustered'!$A$3:$A$18, A905), "")</f>
        <v/>
      </c>
      <c r="C905" s="3">
        <v>110</v>
      </c>
      <c r="D905" s="287" t="str">
        <f>IFERROR(HLOOKUP(C905, 'S15 Routing Clustered'!$B$2:$I$18,A905+1, 0), "")</f>
        <v/>
      </c>
      <c r="E905" s="287" t="str">
        <f t="shared" si="52"/>
        <v/>
      </c>
      <c r="F905" s="3" t="str">
        <f>IF(E905="", "", VLOOKUP(B905, 'S08 ABC Output'!$A$3:$C$18, 3, 0))</f>
        <v/>
      </c>
      <c r="I905" s="288" t="str">
        <f t="shared" si="51"/>
        <v>WS-10</v>
      </c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</row>
    <row r="906" spans="1:53" ht="17">
      <c r="A906" s="3">
        <v>20</v>
      </c>
      <c r="B906" s="196" t="str">
        <f>IFERROR(INDEX('S15 Routing Clustered'!$A$3:$A$18, A906), "")</f>
        <v/>
      </c>
      <c r="C906" s="3">
        <v>120</v>
      </c>
      <c r="D906" s="287" t="str">
        <f>IFERROR(HLOOKUP(C906, 'S15 Routing Clustered'!$B$2:$I$18,A906+1, 0), "")</f>
        <v/>
      </c>
      <c r="E906" s="287" t="str">
        <f t="shared" si="52"/>
        <v/>
      </c>
      <c r="F906" s="3" t="str">
        <f>IF(E906="", "", VLOOKUP(B906, 'S08 ABC Output'!$A$3:$C$18, 3, 0))</f>
        <v/>
      </c>
      <c r="I906" s="288" t="str">
        <f t="shared" si="51"/>
        <v>WS-11</v>
      </c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</row>
    <row r="907" spans="1:53" ht="17">
      <c r="A907" s="3">
        <v>20</v>
      </c>
      <c r="B907" s="196" t="str">
        <f>IFERROR(INDEX('S15 Routing Clustered'!$A$3:$A$18, A907), "")</f>
        <v/>
      </c>
      <c r="C907" s="3">
        <v>130</v>
      </c>
      <c r="D907" s="287" t="str">
        <f>IFERROR(HLOOKUP(C907, 'S15 Routing Clustered'!$B$2:$I$18,A907+1, 0), "")</f>
        <v/>
      </c>
      <c r="E907" s="287" t="str">
        <f t="shared" si="52"/>
        <v/>
      </c>
      <c r="F907" s="3" t="str">
        <f>IF(E907="", "", VLOOKUP(B907, 'S08 ABC Output'!$A$3:$C$18, 3, 0))</f>
        <v/>
      </c>
      <c r="I907" s="288" t="str">
        <f t="shared" si="51"/>
        <v>WS-12</v>
      </c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</row>
    <row r="908" spans="1:53" ht="17">
      <c r="A908" s="3">
        <v>20</v>
      </c>
      <c r="B908" s="196" t="str">
        <f>IFERROR(INDEX('S15 Routing Clustered'!$A$3:$A$18, A908), "")</f>
        <v/>
      </c>
      <c r="C908" s="3">
        <v>140</v>
      </c>
      <c r="D908" s="287" t="str">
        <f>IFERROR(HLOOKUP(C908, 'S15 Routing Clustered'!$B$2:$I$18,A908+1, 0), "")</f>
        <v/>
      </c>
      <c r="E908" s="287" t="str">
        <f t="shared" si="52"/>
        <v/>
      </c>
      <c r="F908" s="3" t="str">
        <f>IF(E908="", "", VLOOKUP(B908, 'S08 ABC Output'!$A$3:$C$18, 3, 0))</f>
        <v/>
      </c>
      <c r="I908" s="288" t="str">
        <f t="shared" si="51"/>
        <v>WS-13</v>
      </c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</row>
    <row r="909" spans="1:53" ht="17">
      <c r="A909" s="3">
        <v>20</v>
      </c>
      <c r="B909" s="196" t="str">
        <f>IFERROR(INDEX('S15 Routing Clustered'!$A$3:$A$18, A909), "")</f>
        <v/>
      </c>
      <c r="C909" s="3">
        <v>150</v>
      </c>
      <c r="D909" s="287" t="str">
        <f>IFERROR(HLOOKUP(C909, 'S15 Routing Clustered'!$B$2:$I$18,A909+1, 0), "")</f>
        <v/>
      </c>
      <c r="E909" s="287" t="str">
        <f t="shared" si="52"/>
        <v/>
      </c>
      <c r="F909" s="3" t="str">
        <f>IF(E909="", "", VLOOKUP(B909, 'S08 ABC Output'!$A$3:$C$18, 3, 0))</f>
        <v/>
      </c>
      <c r="I909" s="288" t="str">
        <f t="shared" si="51"/>
        <v>WS-14</v>
      </c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</row>
    <row r="910" spans="1:53" ht="17">
      <c r="A910" s="3">
        <v>20</v>
      </c>
      <c r="B910" s="196" t="str">
        <f>IFERROR(INDEX('S15 Routing Clustered'!$A$3:$A$18, A910), "")</f>
        <v/>
      </c>
      <c r="C910" s="3">
        <v>160</v>
      </c>
      <c r="D910" s="287" t="str">
        <f>IFERROR(HLOOKUP(C910, 'S15 Routing Clustered'!$B$2:$I$18,A910+1, 0), "")</f>
        <v/>
      </c>
      <c r="E910" s="287" t="str">
        <f t="shared" si="52"/>
        <v/>
      </c>
      <c r="F910" s="3" t="str">
        <f>IF(E910="", "", VLOOKUP(B910, 'S08 ABC Output'!$A$3:$C$18, 3, 0))</f>
        <v/>
      </c>
      <c r="I910" s="288" t="str">
        <f t="shared" si="51"/>
        <v>WS-15</v>
      </c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</row>
    <row r="911" spans="1:53" ht="17">
      <c r="A911" s="3">
        <v>20</v>
      </c>
      <c r="B911" s="196" t="str">
        <f>IFERROR(INDEX('S15 Routing Clustered'!$A$3:$A$18, A911), "")</f>
        <v/>
      </c>
      <c r="C911" s="3">
        <v>170</v>
      </c>
      <c r="D911" s="287" t="str">
        <f>IFERROR(HLOOKUP(C911, 'S15 Routing Clustered'!$B$2:$I$18,A911+1, 0), "")</f>
        <v/>
      </c>
      <c r="E911" s="287" t="str">
        <f t="shared" si="52"/>
        <v/>
      </c>
      <c r="F911" s="3" t="str">
        <f>IF(E911="", "", VLOOKUP(B911, 'S08 ABC Output'!$A$3:$C$18, 3, 0))</f>
        <v/>
      </c>
      <c r="I911" s="288" t="str">
        <f t="shared" si="51"/>
        <v>WS-16</v>
      </c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</row>
    <row r="912" spans="1:53" ht="17">
      <c r="A912" s="3">
        <v>20</v>
      </c>
      <c r="B912" s="196" t="str">
        <f>IFERROR(INDEX('S15 Routing Clustered'!$A$3:$A$18, A912), "")</f>
        <v/>
      </c>
      <c r="C912" s="3">
        <v>180</v>
      </c>
      <c r="D912" s="287" t="str">
        <f>IFERROR(HLOOKUP(C912, 'S15 Routing Clustered'!$B$2:$I$18,A912+1, 0), "")</f>
        <v/>
      </c>
      <c r="E912" s="287" t="str">
        <f t="shared" si="52"/>
        <v/>
      </c>
      <c r="F912" s="3" t="str">
        <f>IF(E912="", "", VLOOKUP(B912, 'S08 ABC Output'!$A$3:$C$18, 3, 0))</f>
        <v/>
      </c>
      <c r="I912" s="288" t="str">
        <f t="shared" si="51"/>
        <v>WS-17</v>
      </c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</row>
    <row r="913" spans="1:53" ht="17">
      <c r="A913" s="3">
        <v>20</v>
      </c>
      <c r="B913" s="196" t="str">
        <f>IFERROR(INDEX('S15 Routing Clustered'!$A$3:$A$18, A913), "")</f>
        <v/>
      </c>
      <c r="C913" s="3">
        <v>190</v>
      </c>
      <c r="D913" s="287" t="str">
        <f>IFERROR(HLOOKUP(C913, 'S15 Routing Clustered'!$B$2:$I$18,A913+1, 0), "")</f>
        <v/>
      </c>
      <c r="E913" s="287" t="str">
        <f t="shared" si="52"/>
        <v/>
      </c>
      <c r="F913" s="3" t="str">
        <f>IF(E913="", "", VLOOKUP(B913, 'S08 ABC Output'!$A$3:$C$18, 3, 0))</f>
        <v/>
      </c>
      <c r="I913" s="288" t="str">
        <f t="shared" si="51"/>
        <v>WS-18</v>
      </c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</row>
    <row r="914" spans="1:53" ht="17">
      <c r="A914" s="3">
        <v>20</v>
      </c>
      <c r="B914" s="196" t="str">
        <f>IFERROR(INDEX('S15 Routing Clustered'!$A$3:$A$18, A914), "")</f>
        <v/>
      </c>
      <c r="C914" s="3">
        <v>200</v>
      </c>
      <c r="D914" s="287" t="str">
        <f>IFERROR(HLOOKUP(C914, 'S15 Routing Clustered'!$B$2:$I$18,A914+1, 0), "")</f>
        <v/>
      </c>
      <c r="E914" s="287" t="str">
        <f t="shared" si="52"/>
        <v/>
      </c>
      <c r="F914" s="3" t="str">
        <f>IF(E914="", "", VLOOKUP(B914, 'S08 ABC Output'!$A$3:$C$18, 3, 0))</f>
        <v/>
      </c>
      <c r="I914" s="288" t="str">
        <f t="shared" si="51"/>
        <v>WS-19</v>
      </c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</row>
    <row r="915" spans="1:53" ht="17">
      <c r="A915" s="3">
        <v>20</v>
      </c>
      <c r="B915" s="196" t="str">
        <f>IFERROR(INDEX('S15 Routing Clustered'!$A$3:$A$18, A915), "")</f>
        <v/>
      </c>
      <c r="C915" s="3">
        <v>210</v>
      </c>
      <c r="D915" s="287" t="str">
        <f>IFERROR(HLOOKUP(C915, 'S15 Routing Clustered'!$B$2:$I$18,A915+1, 0), "")</f>
        <v/>
      </c>
      <c r="E915" s="287" t="str">
        <f t="shared" si="52"/>
        <v/>
      </c>
      <c r="F915" s="3" t="str">
        <f>IF(E915="", "", VLOOKUP(B915, 'S08 ABC Output'!$A$3:$C$18, 3, 0))</f>
        <v/>
      </c>
      <c r="I915" s="288" t="str">
        <f t="shared" si="51"/>
        <v>WS-20</v>
      </c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</row>
    <row r="916" spans="1:53" ht="17">
      <c r="A916" s="3">
        <v>20</v>
      </c>
      <c r="B916" s="196" t="str">
        <f>IFERROR(INDEX('S15 Routing Clustered'!$A$3:$A$18, A916), "")</f>
        <v/>
      </c>
      <c r="C916" s="3">
        <v>220</v>
      </c>
      <c r="D916" s="287" t="str">
        <f>IFERROR(HLOOKUP(C916, 'S15 Routing Clustered'!$B$2:$I$18,A916+1, 0), "")</f>
        <v/>
      </c>
      <c r="E916" s="287" t="str">
        <f t="shared" si="52"/>
        <v/>
      </c>
      <c r="F916" s="3" t="str">
        <f>IF(E916="", "", VLOOKUP(B916, 'S08 ABC Output'!$A$3:$C$18, 3, 0))</f>
        <v/>
      </c>
      <c r="I916" s="288" t="str">
        <f t="shared" si="51"/>
        <v>WS-21</v>
      </c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</row>
    <row r="917" spans="1:53" ht="17">
      <c r="A917" s="3">
        <v>20</v>
      </c>
      <c r="B917" s="196" t="str">
        <f>IFERROR(INDEX('S15 Routing Clustered'!$A$3:$A$18, A917), "")</f>
        <v/>
      </c>
      <c r="C917" s="3">
        <v>230</v>
      </c>
      <c r="D917" s="287" t="str">
        <f>IFERROR(HLOOKUP(C917, 'S15 Routing Clustered'!$B$2:$I$18,A917+1, 0), "")</f>
        <v/>
      </c>
      <c r="E917" s="287" t="str">
        <f t="shared" si="52"/>
        <v/>
      </c>
      <c r="F917" s="3" t="str">
        <f>IF(E917="", "", VLOOKUP(B917, 'S08 ABC Output'!$A$3:$C$18, 3, 0))</f>
        <v/>
      </c>
      <c r="I917" s="288" t="str">
        <f t="shared" si="51"/>
        <v>WS-22</v>
      </c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</row>
    <row r="918" spans="1:53" ht="17">
      <c r="A918" s="3">
        <v>20</v>
      </c>
      <c r="B918" s="196" t="str">
        <f>IFERROR(INDEX('S15 Routing Clustered'!$A$3:$A$18, A918), "")</f>
        <v/>
      </c>
      <c r="C918" s="3">
        <v>240</v>
      </c>
      <c r="D918" s="287" t="str">
        <f>IFERROR(HLOOKUP(C918, 'S15 Routing Clustered'!$B$2:$I$18,A918+1, 0), "")</f>
        <v/>
      </c>
      <c r="E918" s="287" t="str">
        <f t="shared" si="52"/>
        <v/>
      </c>
      <c r="F918" s="3" t="str">
        <f>IF(E918="", "", VLOOKUP(B918, 'S08 ABC Output'!$A$3:$C$18, 3, 0))</f>
        <v/>
      </c>
      <c r="I918" s="288" t="str">
        <f t="shared" si="51"/>
        <v>WS-23</v>
      </c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</row>
    <row r="919" spans="1:53" ht="17">
      <c r="A919" s="3">
        <v>20</v>
      </c>
      <c r="B919" s="196" t="str">
        <f>IFERROR(INDEX('S15 Routing Clustered'!$A$3:$A$18, A919), "")</f>
        <v/>
      </c>
      <c r="C919" s="3">
        <v>250</v>
      </c>
      <c r="D919" s="287" t="str">
        <f>IFERROR(HLOOKUP(C919, 'S15 Routing Clustered'!$B$2:$I$18,A919+1, 0), "")</f>
        <v/>
      </c>
      <c r="E919" s="287" t="str">
        <f t="shared" si="52"/>
        <v/>
      </c>
      <c r="F919" s="3" t="str">
        <f>IF(E919="", "", VLOOKUP(B919, 'S08 ABC Output'!$A$3:$C$18, 3, 0))</f>
        <v/>
      </c>
      <c r="I919" s="288" t="str">
        <f t="shared" si="51"/>
        <v>WS-24</v>
      </c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</row>
    <row r="920" spans="1:53" ht="17">
      <c r="A920" s="3">
        <v>20</v>
      </c>
      <c r="B920" s="196" t="str">
        <f>IFERROR(INDEX('S15 Routing Clustered'!$A$3:$A$18, A920), "")</f>
        <v/>
      </c>
      <c r="C920" s="3">
        <v>260</v>
      </c>
      <c r="D920" s="287" t="str">
        <f>IFERROR(HLOOKUP(C920, 'S15 Routing Clustered'!$B$2:$I$18,A920+1, 0), "")</f>
        <v/>
      </c>
      <c r="E920" s="287" t="str">
        <f t="shared" si="52"/>
        <v/>
      </c>
      <c r="F920" s="3" t="str">
        <f>IF(E920="", "", VLOOKUP(B920, 'S08 ABC Output'!$A$3:$C$18, 3, 0))</f>
        <v/>
      </c>
      <c r="I920" s="288" t="str">
        <f t="shared" si="51"/>
        <v>WS-25</v>
      </c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</row>
    <row r="921" spans="1:53" ht="17">
      <c r="A921" s="3">
        <v>20</v>
      </c>
      <c r="B921" s="196" t="str">
        <f>IFERROR(INDEX('S15 Routing Clustered'!$A$3:$A$18, A921), "")</f>
        <v/>
      </c>
      <c r="C921" s="3">
        <v>270</v>
      </c>
      <c r="D921" s="287" t="str">
        <f>IFERROR(HLOOKUP(C921, 'S15 Routing Clustered'!$B$2:$I$18,A921+1, 0), "")</f>
        <v/>
      </c>
      <c r="E921" s="287" t="str">
        <f t="shared" si="52"/>
        <v/>
      </c>
      <c r="F921" s="3" t="str">
        <f>IF(E921="", "", VLOOKUP(B921, 'S08 ABC Output'!$A$3:$C$18, 3, 0))</f>
        <v/>
      </c>
      <c r="I921" s="288" t="str">
        <f t="shared" si="51"/>
        <v>WS-26</v>
      </c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</row>
    <row r="922" spans="1:53" ht="17">
      <c r="A922" s="3">
        <v>20</v>
      </c>
      <c r="B922" s="196" t="str">
        <f>IFERROR(INDEX('S15 Routing Clustered'!$A$3:$A$18, A922), "")</f>
        <v/>
      </c>
      <c r="C922" s="3">
        <v>280</v>
      </c>
      <c r="D922" s="287" t="str">
        <f>IFERROR(HLOOKUP(C922, 'S15 Routing Clustered'!$B$2:$I$18,A922+1, 0), "")</f>
        <v/>
      </c>
      <c r="E922" s="287" t="str">
        <f t="shared" si="52"/>
        <v/>
      </c>
      <c r="F922" s="3" t="str">
        <f>IF(E922="", "", VLOOKUP(B922, 'S08 ABC Output'!$A$3:$C$18, 3, 0))</f>
        <v/>
      </c>
      <c r="I922" s="288" t="str">
        <f t="shared" si="51"/>
        <v>WS-27</v>
      </c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</row>
    <row r="923" spans="1:53" ht="17">
      <c r="A923" s="3">
        <v>20</v>
      </c>
      <c r="B923" s="196" t="str">
        <f>IFERROR(INDEX('S15 Routing Clustered'!$A$3:$A$18, A923), "")</f>
        <v/>
      </c>
      <c r="C923" s="3">
        <v>290</v>
      </c>
      <c r="D923" s="287" t="str">
        <f>IFERROR(HLOOKUP(C923, 'S15 Routing Clustered'!$B$2:$I$18,A923+1, 0), "")</f>
        <v/>
      </c>
      <c r="E923" s="287" t="str">
        <f t="shared" si="52"/>
        <v/>
      </c>
      <c r="F923" s="3" t="str">
        <f>IF(E923="", "", VLOOKUP(B923, 'S08 ABC Output'!$A$3:$C$18, 3, 0))</f>
        <v/>
      </c>
      <c r="I923" s="288" t="str">
        <f t="shared" si="51"/>
        <v>WS-28</v>
      </c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</row>
    <row r="924" spans="1:53" ht="17">
      <c r="A924" s="3">
        <v>20</v>
      </c>
      <c r="B924" s="196" t="str">
        <f>IFERROR(INDEX('S15 Routing Clustered'!$A$3:$A$18, A924), "")</f>
        <v/>
      </c>
      <c r="C924" s="3">
        <v>300</v>
      </c>
      <c r="D924" s="287" t="str">
        <f>IFERROR(HLOOKUP(C924, 'S15 Routing Clustered'!$B$2:$I$18,A924+1, 0), "")</f>
        <v/>
      </c>
      <c r="E924" s="287" t="str">
        <f t="shared" si="52"/>
        <v/>
      </c>
      <c r="F924" s="3" t="str">
        <f>IF(E924="", "", VLOOKUP(B924, 'S08 ABC Output'!$A$3:$C$18, 3, 0))</f>
        <v/>
      </c>
      <c r="I924" s="288" t="str">
        <f t="shared" si="51"/>
        <v>WS-29</v>
      </c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</row>
    <row r="925" spans="1:53" ht="17">
      <c r="A925" s="3">
        <v>20</v>
      </c>
      <c r="B925" s="196" t="str">
        <f>IFERROR(INDEX('S15 Routing Clustered'!$A$3:$A$18, A925), "")</f>
        <v/>
      </c>
      <c r="C925" s="3">
        <v>310</v>
      </c>
      <c r="D925" s="287" t="str">
        <f>IFERROR(HLOOKUP(C925, 'S15 Routing Clustered'!$B$2:$I$18,A925+1, 0), "")</f>
        <v/>
      </c>
      <c r="E925" s="287" t="str">
        <f t="shared" si="52"/>
        <v/>
      </c>
      <c r="F925" s="3" t="str">
        <f>IF(E925="", "", VLOOKUP(B925, 'S08 ABC Output'!$A$3:$C$18, 3, 0))</f>
        <v/>
      </c>
      <c r="I925" s="288" t="str">
        <f t="shared" si="51"/>
        <v>WS-30</v>
      </c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</row>
    <row r="926" spans="1:53" ht="17">
      <c r="A926" s="3">
        <v>20</v>
      </c>
      <c r="B926" s="196" t="str">
        <f>IFERROR(INDEX('S15 Routing Clustered'!$A$3:$A$18, A926), "")</f>
        <v/>
      </c>
      <c r="C926" s="3">
        <v>320</v>
      </c>
      <c r="D926" s="287" t="str">
        <f>IFERROR(HLOOKUP(C926, 'S15 Routing Clustered'!$B$2:$I$18,A926+1, 0), "")</f>
        <v/>
      </c>
      <c r="E926" s="287" t="str">
        <f t="shared" si="52"/>
        <v/>
      </c>
      <c r="F926" s="3" t="str">
        <f>IF(E926="", "", VLOOKUP(B926, 'S08 ABC Output'!$A$3:$C$18, 3, 0))</f>
        <v/>
      </c>
      <c r="I926" s="288" t="str">
        <f t="shared" si="51"/>
        <v>WS-31</v>
      </c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</row>
    <row r="927" spans="1:53" ht="17">
      <c r="A927" s="3">
        <v>20</v>
      </c>
      <c r="B927" s="196" t="str">
        <f>IFERROR(INDEX('S15 Routing Clustered'!$A$3:$A$18, A927), "")</f>
        <v/>
      </c>
      <c r="C927" s="3">
        <v>330</v>
      </c>
      <c r="D927" s="287" t="str">
        <f>IFERROR(HLOOKUP(C927, 'S15 Routing Clustered'!$B$2:$I$18,A927+1, 0), "")</f>
        <v/>
      </c>
      <c r="E927" s="287" t="str">
        <f t="shared" si="52"/>
        <v/>
      </c>
      <c r="F927" s="3" t="str">
        <f>IF(E927="", "", VLOOKUP(B927, 'S08 ABC Output'!$A$3:$C$18, 3, 0))</f>
        <v/>
      </c>
      <c r="I927" s="288" t="str">
        <f t="shared" si="51"/>
        <v>WS-32</v>
      </c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</row>
    <row r="928" spans="1:53" ht="17">
      <c r="A928" s="3">
        <v>20</v>
      </c>
      <c r="B928" s="196" t="str">
        <f>IFERROR(INDEX('S15 Routing Clustered'!$A$3:$A$18, A928), "")</f>
        <v/>
      </c>
      <c r="C928" s="3">
        <v>340</v>
      </c>
      <c r="D928" s="287" t="str">
        <f>IFERROR(HLOOKUP(C928, 'S15 Routing Clustered'!$B$2:$I$18,A928+1, 0), "")</f>
        <v/>
      </c>
      <c r="E928" s="287" t="str">
        <f t="shared" si="52"/>
        <v/>
      </c>
      <c r="F928" s="3" t="str">
        <f>IF(E928="", "", VLOOKUP(B928, 'S08 ABC Output'!$A$3:$C$18, 3, 0))</f>
        <v/>
      </c>
      <c r="I928" s="288" t="str">
        <f t="shared" si="51"/>
        <v>WS-33</v>
      </c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</row>
    <row r="929" spans="1:53" ht="17">
      <c r="A929" s="3">
        <v>20</v>
      </c>
      <c r="B929" s="196" t="str">
        <f>IFERROR(INDEX('S15 Routing Clustered'!$A$3:$A$18, A929), "")</f>
        <v/>
      </c>
      <c r="C929" s="3">
        <v>350</v>
      </c>
      <c r="D929" s="287" t="str">
        <f>IFERROR(HLOOKUP(C929, 'S15 Routing Clustered'!$B$2:$I$18,A929+1, 0), "")</f>
        <v/>
      </c>
      <c r="E929" s="287" t="str">
        <f t="shared" si="52"/>
        <v/>
      </c>
      <c r="F929" s="3" t="str">
        <f>IF(E929="", "", VLOOKUP(B929, 'S08 ABC Output'!$A$3:$C$18, 3, 0))</f>
        <v/>
      </c>
      <c r="I929" s="288" t="str">
        <f t="shared" si="51"/>
        <v>WS-34</v>
      </c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</row>
    <row r="930" spans="1:53" ht="17">
      <c r="A930" s="3">
        <v>20</v>
      </c>
      <c r="B930" s="196" t="str">
        <f>IFERROR(INDEX('S15 Routing Clustered'!$A$3:$A$18, A930), "")</f>
        <v/>
      </c>
      <c r="C930" s="3">
        <v>360</v>
      </c>
      <c r="D930" s="287" t="str">
        <f>IFERROR(HLOOKUP(C930, 'S15 Routing Clustered'!$B$2:$I$18,A930+1, 0), "")</f>
        <v/>
      </c>
      <c r="E930" s="287" t="str">
        <f t="shared" si="52"/>
        <v/>
      </c>
      <c r="F930" s="3" t="str">
        <f>IF(E930="", "", VLOOKUP(B930, 'S08 ABC Output'!$A$3:$C$18, 3, 0))</f>
        <v/>
      </c>
      <c r="I930" s="288" t="str">
        <f t="shared" si="51"/>
        <v>WS-35</v>
      </c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</row>
    <row r="931" spans="1:53" ht="17">
      <c r="A931" s="3">
        <v>20</v>
      </c>
      <c r="B931" s="196" t="str">
        <f>IFERROR(INDEX('S15 Routing Clustered'!$A$3:$A$18, A931), "")</f>
        <v/>
      </c>
      <c r="C931" s="3">
        <v>370</v>
      </c>
      <c r="D931" s="287" t="str">
        <f>IFERROR(HLOOKUP(C931, 'S15 Routing Clustered'!$B$2:$I$18,A931+1, 0), "")</f>
        <v/>
      </c>
      <c r="E931" s="287" t="str">
        <f t="shared" si="52"/>
        <v/>
      </c>
      <c r="F931" s="3" t="str">
        <f>IF(E931="", "", VLOOKUP(B931, 'S08 ABC Output'!$A$3:$C$18, 3, 0))</f>
        <v/>
      </c>
      <c r="I931" s="288" t="str">
        <f t="shared" si="51"/>
        <v>WS-36</v>
      </c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</row>
    <row r="932" spans="1:53" ht="17">
      <c r="A932" s="3">
        <v>20</v>
      </c>
      <c r="B932" s="196" t="str">
        <f>IFERROR(INDEX('S15 Routing Clustered'!$A$3:$A$18, A932), "")</f>
        <v/>
      </c>
      <c r="C932" s="3">
        <v>380</v>
      </c>
      <c r="D932" s="287" t="str">
        <f>IFERROR(HLOOKUP(C932, 'S15 Routing Clustered'!$B$2:$I$18,A932+1, 0), "")</f>
        <v/>
      </c>
      <c r="E932" s="287" t="str">
        <f t="shared" si="52"/>
        <v/>
      </c>
      <c r="F932" s="3" t="str">
        <f>IF(E932="", "", VLOOKUP(B932, 'S08 ABC Output'!$A$3:$C$18, 3, 0))</f>
        <v/>
      </c>
      <c r="I932" s="288" t="str">
        <f t="shared" si="51"/>
        <v>WS-37</v>
      </c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</row>
    <row r="933" spans="1:53" ht="17">
      <c r="A933" s="3">
        <v>20</v>
      </c>
      <c r="B933" s="196" t="str">
        <f>IFERROR(INDEX('S15 Routing Clustered'!$A$3:$A$18, A933), "")</f>
        <v/>
      </c>
      <c r="C933" s="3">
        <v>390</v>
      </c>
      <c r="D933" s="287" t="str">
        <f>IFERROR(HLOOKUP(C933, 'S15 Routing Clustered'!$B$2:$I$18,A933+1, 0), "")</f>
        <v/>
      </c>
      <c r="E933" s="287" t="str">
        <f t="shared" si="52"/>
        <v/>
      </c>
      <c r="F933" s="3" t="str">
        <f>IF(E933="", "", VLOOKUP(B933, 'S08 ABC Output'!$A$3:$C$18, 3, 0))</f>
        <v/>
      </c>
      <c r="I933" s="288" t="str">
        <f t="shared" si="51"/>
        <v>WS-38</v>
      </c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</row>
    <row r="934" spans="1:53" ht="17">
      <c r="A934" s="3">
        <v>20</v>
      </c>
      <c r="B934" s="196" t="str">
        <f>IFERROR(INDEX('S15 Routing Clustered'!$A$3:$A$18, A934), "")</f>
        <v/>
      </c>
      <c r="C934" s="3">
        <v>400</v>
      </c>
      <c r="D934" s="287" t="str">
        <f>IFERROR(HLOOKUP(C934, 'S15 Routing Clustered'!$B$2:$I$18,A934+1, 0), "")</f>
        <v/>
      </c>
      <c r="E934" s="287" t="str">
        <f t="shared" si="52"/>
        <v/>
      </c>
      <c r="F934" s="3" t="str">
        <f>IF(E934="", "", VLOOKUP(B934, 'S08 ABC Output'!$A$3:$C$18, 3, 0))</f>
        <v/>
      </c>
      <c r="I934" s="288" t="str">
        <f t="shared" si="51"/>
        <v>WS-39</v>
      </c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</row>
    <row r="935" spans="1:53" ht="17">
      <c r="A935" s="3">
        <v>20</v>
      </c>
      <c r="B935" s="196" t="str">
        <f>IFERROR(INDEX('S15 Routing Clustered'!$A$3:$A$18, A935), "")</f>
        <v/>
      </c>
      <c r="C935" s="3">
        <v>410</v>
      </c>
      <c r="D935" s="287" t="str">
        <f>IFERROR(HLOOKUP(C935, 'S15 Routing Clustered'!$B$2:$I$18,A935+1, 0), "")</f>
        <v/>
      </c>
      <c r="E935" s="287" t="str">
        <f t="shared" si="52"/>
        <v/>
      </c>
      <c r="F935" s="3" t="str">
        <f>IF(E935="", "", VLOOKUP(B935, 'S08 ABC Output'!$A$3:$C$18, 3, 0))</f>
        <v/>
      </c>
      <c r="I935" s="288" t="str">
        <f t="shared" si="51"/>
        <v>WS-40</v>
      </c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</row>
    <row r="936" spans="1:53" ht="17">
      <c r="A936" s="3">
        <v>20</v>
      </c>
      <c r="B936" s="196" t="str">
        <f>IFERROR(INDEX('S15 Routing Clustered'!$A$3:$A$18, A936), "")</f>
        <v/>
      </c>
      <c r="C936" s="3">
        <v>420</v>
      </c>
      <c r="D936" s="287" t="str">
        <f>IFERROR(HLOOKUP(C936, 'S15 Routing Clustered'!$B$2:$I$18,A936+1, 0), "")</f>
        <v/>
      </c>
      <c r="E936" s="287" t="str">
        <f t="shared" si="52"/>
        <v/>
      </c>
      <c r="F936" s="3" t="str">
        <f>IF(E936="", "", VLOOKUP(B936, 'S08 ABC Output'!$A$3:$C$18, 3, 0))</f>
        <v/>
      </c>
      <c r="I936" s="288" t="str">
        <f t="shared" si="51"/>
        <v>WS-41</v>
      </c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</row>
    <row r="937" spans="1:53" ht="17">
      <c r="A937" s="3">
        <v>20</v>
      </c>
      <c r="B937" s="196" t="str">
        <f>IFERROR(INDEX('S15 Routing Clustered'!$A$3:$A$18, A937), "")</f>
        <v/>
      </c>
      <c r="C937" s="3">
        <v>430</v>
      </c>
      <c r="D937" s="287" t="str">
        <f>IFERROR(HLOOKUP(C937, 'S15 Routing Clustered'!$B$2:$I$18,A937+1, 0), "")</f>
        <v/>
      </c>
      <c r="E937" s="287" t="str">
        <f t="shared" si="52"/>
        <v/>
      </c>
      <c r="F937" s="3" t="str">
        <f>IF(E937="", "", VLOOKUP(B937, 'S08 ABC Output'!$A$3:$C$18, 3, 0))</f>
        <v/>
      </c>
      <c r="I937" s="288" t="str">
        <f t="shared" si="51"/>
        <v>WS-42</v>
      </c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</row>
    <row r="938" spans="1:53" ht="17">
      <c r="A938" s="3">
        <v>20</v>
      </c>
      <c r="B938" s="196" t="str">
        <f>IFERROR(INDEX('S15 Routing Clustered'!$A$3:$A$18, A938), "")</f>
        <v/>
      </c>
      <c r="C938" s="3">
        <v>440</v>
      </c>
      <c r="D938" s="287" t="str">
        <f>IFERROR(HLOOKUP(C938, 'S15 Routing Clustered'!$B$2:$I$18,A938+1, 0), "")</f>
        <v/>
      </c>
      <c r="E938" s="287" t="str">
        <f t="shared" si="52"/>
        <v/>
      </c>
      <c r="F938" s="3" t="str">
        <f>IF(E938="", "", VLOOKUP(B938, 'S08 ABC Output'!$A$3:$C$18, 3, 0))</f>
        <v/>
      </c>
      <c r="I938" s="288" t="str">
        <f t="shared" si="51"/>
        <v>WS-43</v>
      </c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</row>
    <row r="939" spans="1:53" ht="17">
      <c r="A939" s="3">
        <v>20</v>
      </c>
      <c r="B939" s="196" t="str">
        <f>IFERROR(INDEX('S15 Routing Clustered'!$A$3:$A$18, A939), "")</f>
        <v/>
      </c>
      <c r="C939" s="3">
        <v>450</v>
      </c>
      <c r="D939" s="287" t="str">
        <f>IFERROR(HLOOKUP(C939, 'S15 Routing Clustered'!$B$2:$I$18,A939+1, 0), "")</f>
        <v/>
      </c>
      <c r="E939" s="287" t="str">
        <f t="shared" si="52"/>
        <v/>
      </c>
      <c r="F939" s="3" t="str">
        <f>IF(E939="", "", VLOOKUP(B939, 'S08 ABC Output'!$A$3:$C$18, 3, 0))</f>
        <v/>
      </c>
      <c r="I939" s="288" t="str">
        <f t="shared" si="51"/>
        <v>WS-44</v>
      </c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</row>
    <row r="953" spans="9:53">
      <c r="I953" t="s">
        <v>1100</v>
      </c>
    </row>
    <row r="954" spans="9:53">
      <c r="I954" s="288"/>
      <c r="J954" s="288" t="str">
        <f>J707</f>
        <v>WS-01</v>
      </c>
      <c r="K954" s="288" t="str">
        <f t="shared" ref="K954:BA954" si="53">K707</f>
        <v>WS-02</v>
      </c>
      <c r="L954" s="288" t="str">
        <f t="shared" si="53"/>
        <v>WS-03</v>
      </c>
      <c r="M954" s="288" t="str">
        <f t="shared" si="53"/>
        <v>WS-04</v>
      </c>
      <c r="N954" s="288" t="str">
        <f t="shared" si="53"/>
        <v>WS-05</v>
      </c>
      <c r="O954" s="288" t="str">
        <f t="shared" si="53"/>
        <v>WS-06</v>
      </c>
      <c r="P954" s="288" t="str">
        <f t="shared" si="53"/>
        <v>WS-07</v>
      </c>
      <c r="Q954" s="288" t="str">
        <f t="shared" si="53"/>
        <v>WS-08</v>
      </c>
      <c r="R954" s="288" t="str">
        <f t="shared" si="53"/>
        <v>WS-09</v>
      </c>
      <c r="S954" s="288" t="str">
        <f t="shared" si="53"/>
        <v>WS-10</v>
      </c>
      <c r="T954" s="288" t="str">
        <f t="shared" si="53"/>
        <v>WS-11</v>
      </c>
      <c r="U954" s="288" t="str">
        <f t="shared" si="53"/>
        <v>WS-12</v>
      </c>
      <c r="V954" s="288" t="str">
        <f t="shared" si="53"/>
        <v>WS-13</v>
      </c>
      <c r="W954" s="288" t="str">
        <f t="shared" si="53"/>
        <v>WS-14</v>
      </c>
      <c r="X954" s="288" t="str">
        <f t="shared" si="53"/>
        <v>WS-15</v>
      </c>
      <c r="Y954" s="288" t="str">
        <f t="shared" si="53"/>
        <v>WS-16</v>
      </c>
      <c r="Z954" s="288" t="str">
        <f t="shared" si="53"/>
        <v>WS-17</v>
      </c>
      <c r="AA954" s="288" t="str">
        <f t="shared" si="53"/>
        <v>WS-18</v>
      </c>
      <c r="AB954" s="288" t="str">
        <f t="shared" si="53"/>
        <v>WS-19</v>
      </c>
      <c r="AC954" s="288" t="str">
        <f t="shared" si="53"/>
        <v>WS-20</v>
      </c>
      <c r="AD954" s="288" t="str">
        <f t="shared" si="53"/>
        <v>WS-21</v>
      </c>
      <c r="AE954" s="288" t="str">
        <f t="shared" si="53"/>
        <v>WS-22</v>
      </c>
      <c r="AF954" s="288" t="str">
        <f t="shared" si="53"/>
        <v>WS-23</v>
      </c>
      <c r="AG954" s="288" t="str">
        <f t="shared" si="53"/>
        <v>WS-24</v>
      </c>
      <c r="AH954" s="288" t="str">
        <f t="shared" si="53"/>
        <v>WS-25</v>
      </c>
      <c r="AI954" s="288" t="str">
        <f t="shared" si="53"/>
        <v>WS-26</v>
      </c>
      <c r="AJ954" s="288" t="str">
        <f t="shared" si="53"/>
        <v>WS-27</v>
      </c>
      <c r="AK954" s="288" t="str">
        <f t="shared" si="53"/>
        <v>WS-28</v>
      </c>
      <c r="AL954" s="288" t="str">
        <f t="shared" si="53"/>
        <v>WS-29</v>
      </c>
      <c r="AM954" s="288" t="str">
        <f t="shared" si="53"/>
        <v>WS-30</v>
      </c>
      <c r="AN954" s="288" t="str">
        <f t="shared" si="53"/>
        <v>WS-31</v>
      </c>
      <c r="AO954" s="288" t="str">
        <f t="shared" si="53"/>
        <v>WS-32</v>
      </c>
      <c r="AP954" s="288" t="str">
        <f t="shared" si="53"/>
        <v>WS-33</v>
      </c>
      <c r="AQ954" s="288" t="str">
        <f t="shared" si="53"/>
        <v>WS-34</v>
      </c>
      <c r="AR954" s="288" t="str">
        <f t="shared" si="53"/>
        <v>WS-35</v>
      </c>
      <c r="AS954" s="288" t="str">
        <f t="shared" si="53"/>
        <v>WS-36</v>
      </c>
      <c r="AT954" s="288" t="str">
        <f t="shared" si="53"/>
        <v>WS-37</v>
      </c>
      <c r="AU954" s="288" t="str">
        <f t="shared" si="53"/>
        <v>WS-38</v>
      </c>
      <c r="AV954" s="288" t="str">
        <f t="shared" si="53"/>
        <v>WS-39</v>
      </c>
      <c r="AW954" s="288" t="str">
        <f t="shared" si="53"/>
        <v>WS-40</v>
      </c>
      <c r="AX954" s="288" t="str">
        <f t="shared" si="53"/>
        <v>WS-41</v>
      </c>
      <c r="AY954" s="288" t="str">
        <f t="shared" si="53"/>
        <v>WS-42</v>
      </c>
      <c r="AZ954" s="288" t="str">
        <f t="shared" si="53"/>
        <v>WS-43</v>
      </c>
      <c r="BA954" s="288" t="str">
        <f t="shared" si="53"/>
        <v>WS-44</v>
      </c>
    </row>
    <row r="955" spans="9:53">
      <c r="I955" s="288" t="str">
        <f>I708</f>
        <v>WS-01</v>
      </c>
      <c r="J955" s="3">
        <f t="shared" ref="J955:AZ960" si="54">J3+J50+J97+J144+J191+J238+J285+J332+J379+J426+J473+J520+J567+J614+J661+J708</f>
        <v>0</v>
      </c>
      <c r="K955" s="3">
        <f t="shared" si="54"/>
        <v>0</v>
      </c>
      <c r="L955" s="3">
        <f t="shared" si="54"/>
        <v>0</v>
      </c>
      <c r="M955" s="3">
        <f t="shared" si="54"/>
        <v>0</v>
      </c>
      <c r="N955" s="3">
        <f t="shared" si="54"/>
        <v>0</v>
      </c>
      <c r="O955" s="3">
        <f t="shared" si="54"/>
        <v>0</v>
      </c>
      <c r="P955" s="3">
        <f t="shared" si="54"/>
        <v>0</v>
      </c>
      <c r="Q955" s="3">
        <f t="shared" si="54"/>
        <v>0</v>
      </c>
      <c r="R955" s="3">
        <f t="shared" si="54"/>
        <v>0</v>
      </c>
      <c r="S955" s="3">
        <f t="shared" si="54"/>
        <v>0</v>
      </c>
      <c r="T955" s="3">
        <f t="shared" si="54"/>
        <v>0</v>
      </c>
      <c r="U955" s="3">
        <f t="shared" si="54"/>
        <v>0</v>
      </c>
      <c r="V955" s="3">
        <f t="shared" si="54"/>
        <v>0</v>
      </c>
      <c r="W955" s="3">
        <f t="shared" si="54"/>
        <v>0</v>
      </c>
      <c r="X955" s="3">
        <f t="shared" si="54"/>
        <v>0</v>
      </c>
      <c r="Y955" s="3">
        <f t="shared" si="54"/>
        <v>0</v>
      </c>
      <c r="Z955" s="3">
        <f t="shared" si="54"/>
        <v>0</v>
      </c>
      <c r="AA955" s="3">
        <f t="shared" si="54"/>
        <v>0</v>
      </c>
      <c r="AB955" s="3">
        <f t="shared" si="54"/>
        <v>0</v>
      </c>
      <c r="AC955" s="3">
        <f t="shared" si="54"/>
        <v>0</v>
      </c>
      <c r="AD955" s="3">
        <f t="shared" si="54"/>
        <v>0</v>
      </c>
      <c r="AE955" s="3">
        <f t="shared" si="54"/>
        <v>0</v>
      </c>
      <c r="AF955" s="3">
        <f t="shared" si="54"/>
        <v>0</v>
      </c>
      <c r="AG955" s="3">
        <f t="shared" si="54"/>
        <v>0</v>
      </c>
      <c r="AH955" s="3">
        <f t="shared" si="54"/>
        <v>0</v>
      </c>
      <c r="AI955" s="3">
        <f t="shared" si="54"/>
        <v>0</v>
      </c>
      <c r="AJ955" s="3">
        <f t="shared" si="54"/>
        <v>0</v>
      </c>
      <c r="AK955" s="3">
        <f t="shared" si="54"/>
        <v>0</v>
      </c>
      <c r="AL955" s="3">
        <f t="shared" si="54"/>
        <v>0</v>
      </c>
      <c r="AM955" s="3">
        <f t="shared" si="54"/>
        <v>0</v>
      </c>
      <c r="AN955" s="3">
        <f t="shared" si="54"/>
        <v>0</v>
      </c>
      <c r="AO955" s="3">
        <f t="shared" si="54"/>
        <v>0</v>
      </c>
      <c r="AP955" s="3">
        <f t="shared" si="54"/>
        <v>0</v>
      </c>
      <c r="AQ955" s="3">
        <f t="shared" si="54"/>
        <v>0</v>
      </c>
      <c r="AR955" s="3">
        <f t="shared" si="54"/>
        <v>0</v>
      </c>
      <c r="AS955" s="3">
        <f t="shared" si="54"/>
        <v>0</v>
      </c>
      <c r="AT955" s="3">
        <f t="shared" si="54"/>
        <v>0</v>
      </c>
      <c r="AU955" s="3">
        <f t="shared" si="54"/>
        <v>0</v>
      </c>
      <c r="AV955" s="3">
        <f t="shared" si="54"/>
        <v>0</v>
      </c>
      <c r="AW955" s="3">
        <f t="shared" si="54"/>
        <v>0</v>
      </c>
      <c r="AX955" s="3">
        <f t="shared" si="54"/>
        <v>0</v>
      </c>
      <c r="AY955" s="3">
        <f t="shared" si="54"/>
        <v>0</v>
      </c>
      <c r="AZ955" s="3">
        <f t="shared" si="54"/>
        <v>0</v>
      </c>
      <c r="BA955" s="3">
        <f t="shared" ref="BA955:BA997" si="55">BA3+BA50+BA97+BA144+BA191+BA238+BA285+BA332+BA379+BA426+BA473+BA520+BA567+BA614+BA661+BA708</f>
        <v>0</v>
      </c>
    </row>
    <row r="956" spans="9:53">
      <c r="I956" s="288" t="str">
        <f t="shared" ref="I956:I998" si="56">I709</f>
        <v>WS-02</v>
      </c>
      <c r="J956" s="3">
        <f t="shared" si="54"/>
        <v>0</v>
      </c>
      <c r="K956" s="3">
        <f t="shared" si="54"/>
        <v>0</v>
      </c>
      <c r="L956" s="3">
        <f t="shared" si="54"/>
        <v>0</v>
      </c>
      <c r="M956" s="3">
        <f t="shared" si="54"/>
        <v>0</v>
      </c>
      <c r="N956" s="3">
        <f t="shared" si="54"/>
        <v>0</v>
      </c>
      <c r="O956" s="3">
        <f t="shared" si="54"/>
        <v>0</v>
      </c>
      <c r="P956" s="3">
        <f t="shared" si="54"/>
        <v>0</v>
      </c>
      <c r="Q956" s="3">
        <f t="shared" si="54"/>
        <v>0</v>
      </c>
      <c r="R956" s="3">
        <f t="shared" si="54"/>
        <v>0</v>
      </c>
      <c r="S956" s="3">
        <f t="shared" si="54"/>
        <v>0</v>
      </c>
      <c r="T956" s="3">
        <f t="shared" si="54"/>
        <v>0</v>
      </c>
      <c r="U956" s="3">
        <f t="shared" si="54"/>
        <v>0</v>
      </c>
      <c r="V956" s="3">
        <f t="shared" si="54"/>
        <v>0</v>
      </c>
      <c r="W956" s="3">
        <f t="shared" si="54"/>
        <v>0</v>
      </c>
      <c r="X956" s="3">
        <f t="shared" si="54"/>
        <v>0</v>
      </c>
      <c r="Y956" s="3">
        <f t="shared" si="54"/>
        <v>0</v>
      </c>
      <c r="Z956" s="3">
        <f t="shared" si="54"/>
        <v>0</v>
      </c>
      <c r="AA956" s="3">
        <f t="shared" si="54"/>
        <v>301684</v>
      </c>
      <c r="AB956" s="3">
        <f t="shared" si="54"/>
        <v>0</v>
      </c>
      <c r="AC956" s="3">
        <f t="shared" si="54"/>
        <v>0</v>
      </c>
      <c r="AD956" s="3">
        <f t="shared" si="54"/>
        <v>0</v>
      </c>
      <c r="AE956" s="3">
        <f t="shared" si="54"/>
        <v>0</v>
      </c>
      <c r="AF956" s="3">
        <f t="shared" si="54"/>
        <v>0</v>
      </c>
      <c r="AG956" s="3">
        <f t="shared" si="54"/>
        <v>0</v>
      </c>
      <c r="AH956" s="3">
        <f t="shared" si="54"/>
        <v>0</v>
      </c>
      <c r="AI956" s="3">
        <f t="shared" si="54"/>
        <v>0</v>
      </c>
      <c r="AJ956" s="3">
        <f t="shared" si="54"/>
        <v>0</v>
      </c>
      <c r="AK956" s="3">
        <f t="shared" si="54"/>
        <v>0</v>
      </c>
      <c r="AL956" s="3">
        <f t="shared" si="54"/>
        <v>0</v>
      </c>
      <c r="AM956" s="3">
        <f t="shared" si="54"/>
        <v>0</v>
      </c>
      <c r="AN956" s="3">
        <f t="shared" si="54"/>
        <v>0</v>
      </c>
      <c r="AO956" s="3">
        <f t="shared" si="54"/>
        <v>0</v>
      </c>
      <c r="AP956" s="3">
        <f t="shared" si="54"/>
        <v>0</v>
      </c>
      <c r="AQ956" s="3">
        <f t="shared" si="54"/>
        <v>0</v>
      </c>
      <c r="AR956" s="3">
        <f t="shared" si="54"/>
        <v>0</v>
      </c>
      <c r="AS956" s="3">
        <f t="shared" si="54"/>
        <v>0</v>
      </c>
      <c r="AT956" s="3">
        <f t="shared" si="54"/>
        <v>0</v>
      </c>
      <c r="AU956" s="3">
        <f t="shared" si="54"/>
        <v>0</v>
      </c>
      <c r="AV956" s="3">
        <f t="shared" si="54"/>
        <v>0</v>
      </c>
      <c r="AW956" s="3">
        <f t="shared" si="54"/>
        <v>0</v>
      </c>
      <c r="AX956" s="3">
        <f t="shared" si="54"/>
        <v>0</v>
      </c>
      <c r="AY956" s="3">
        <f t="shared" si="54"/>
        <v>0</v>
      </c>
      <c r="AZ956" s="3">
        <f t="shared" si="54"/>
        <v>0</v>
      </c>
      <c r="BA956" s="3">
        <f t="shared" si="55"/>
        <v>0</v>
      </c>
    </row>
    <row r="957" spans="9:53">
      <c r="I957" s="288" t="str">
        <f t="shared" si="56"/>
        <v>WS-03</v>
      </c>
      <c r="J957" s="3">
        <f t="shared" si="54"/>
        <v>0</v>
      </c>
      <c r="K957" s="3">
        <f t="shared" si="54"/>
        <v>0</v>
      </c>
      <c r="L957" s="3">
        <f t="shared" si="54"/>
        <v>0</v>
      </c>
      <c r="M957" s="3">
        <f t="shared" si="54"/>
        <v>0</v>
      </c>
      <c r="N957" s="3">
        <f t="shared" si="54"/>
        <v>0</v>
      </c>
      <c r="O957" s="3">
        <f t="shared" si="54"/>
        <v>0</v>
      </c>
      <c r="P957" s="3">
        <f t="shared" si="54"/>
        <v>0</v>
      </c>
      <c r="Q957" s="3">
        <f t="shared" si="54"/>
        <v>0</v>
      </c>
      <c r="R957" s="3">
        <f t="shared" si="54"/>
        <v>0</v>
      </c>
      <c r="S957" s="3">
        <f t="shared" si="54"/>
        <v>0</v>
      </c>
      <c r="T957" s="3">
        <f t="shared" si="54"/>
        <v>0</v>
      </c>
      <c r="U957" s="3">
        <f t="shared" si="54"/>
        <v>0</v>
      </c>
      <c r="V957" s="3">
        <f t="shared" si="54"/>
        <v>0</v>
      </c>
      <c r="W957" s="3">
        <f t="shared" si="54"/>
        <v>0</v>
      </c>
      <c r="X957" s="3">
        <f t="shared" si="54"/>
        <v>0</v>
      </c>
      <c r="Y957" s="3">
        <f t="shared" si="54"/>
        <v>0</v>
      </c>
      <c r="Z957" s="3">
        <f t="shared" si="54"/>
        <v>0</v>
      </c>
      <c r="AA957" s="3">
        <f t="shared" si="54"/>
        <v>0</v>
      </c>
      <c r="AB957" s="3">
        <f t="shared" si="54"/>
        <v>0</v>
      </c>
      <c r="AC957" s="3">
        <f t="shared" si="54"/>
        <v>0</v>
      </c>
      <c r="AD957" s="3">
        <f t="shared" si="54"/>
        <v>0</v>
      </c>
      <c r="AE957" s="3">
        <f t="shared" si="54"/>
        <v>0</v>
      </c>
      <c r="AF957" s="3">
        <f t="shared" si="54"/>
        <v>141224</v>
      </c>
      <c r="AG957" s="3">
        <f t="shared" si="54"/>
        <v>0</v>
      </c>
      <c r="AH957" s="3">
        <f t="shared" si="54"/>
        <v>0</v>
      </c>
      <c r="AI957" s="3">
        <f t="shared" si="54"/>
        <v>0</v>
      </c>
      <c r="AJ957" s="3">
        <f t="shared" si="54"/>
        <v>0</v>
      </c>
      <c r="AK957" s="3">
        <f t="shared" si="54"/>
        <v>0</v>
      </c>
      <c r="AL957" s="3">
        <f t="shared" si="54"/>
        <v>0</v>
      </c>
      <c r="AM957" s="3">
        <f t="shared" si="54"/>
        <v>0</v>
      </c>
      <c r="AN957" s="3">
        <f t="shared" si="54"/>
        <v>0</v>
      </c>
      <c r="AO957" s="3">
        <f t="shared" si="54"/>
        <v>0</v>
      </c>
      <c r="AP957" s="3">
        <f t="shared" si="54"/>
        <v>0</v>
      </c>
      <c r="AQ957" s="3">
        <f t="shared" si="54"/>
        <v>0</v>
      </c>
      <c r="AR957" s="3">
        <f t="shared" si="54"/>
        <v>0</v>
      </c>
      <c r="AS957" s="3">
        <f t="shared" si="54"/>
        <v>0</v>
      </c>
      <c r="AT957" s="3">
        <f t="shared" si="54"/>
        <v>0</v>
      </c>
      <c r="AU957" s="3">
        <f t="shared" si="54"/>
        <v>0</v>
      </c>
      <c r="AV957" s="3">
        <f t="shared" si="54"/>
        <v>0</v>
      </c>
      <c r="AW957" s="3">
        <f t="shared" si="54"/>
        <v>0</v>
      </c>
      <c r="AX957" s="3">
        <f t="shared" si="54"/>
        <v>0</v>
      </c>
      <c r="AY957" s="3">
        <f t="shared" si="54"/>
        <v>0</v>
      </c>
      <c r="AZ957" s="3">
        <f t="shared" si="54"/>
        <v>0</v>
      </c>
      <c r="BA957" s="3">
        <f t="shared" si="55"/>
        <v>0</v>
      </c>
    </row>
    <row r="958" spans="9:53">
      <c r="I958" s="288" t="str">
        <f t="shared" si="56"/>
        <v>WS-04</v>
      </c>
      <c r="J958" s="3">
        <f t="shared" si="54"/>
        <v>0</v>
      </c>
      <c r="K958" s="3">
        <f t="shared" si="54"/>
        <v>0</v>
      </c>
      <c r="L958" s="3">
        <f t="shared" si="54"/>
        <v>141224</v>
      </c>
      <c r="M958" s="3">
        <f t="shared" si="54"/>
        <v>0</v>
      </c>
      <c r="N958" s="3">
        <f t="shared" si="54"/>
        <v>0</v>
      </c>
      <c r="O958" s="3">
        <f t="shared" si="54"/>
        <v>0</v>
      </c>
      <c r="P958" s="3">
        <f t="shared" si="54"/>
        <v>0</v>
      </c>
      <c r="Q958" s="3">
        <f t="shared" si="54"/>
        <v>0</v>
      </c>
      <c r="R958" s="3">
        <f t="shared" si="54"/>
        <v>0</v>
      </c>
      <c r="S958" s="3">
        <f t="shared" si="54"/>
        <v>0</v>
      </c>
      <c r="T958" s="3">
        <f t="shared" si="54"/>
        <v>0</v>
      </c>
      <c r="U958" s="3">
        <f t="shared" si="54"/>
        <v>0</v>
      </c>
      <c r="V958" s="3">
        <f t="shared" si="54"/>
        <v>0</v>
      </c>
      <c r="W958" s="3">
        <f t="shared" si="54"/>
        <v>0</v>
      </c>
      <c r="X958" s="3">
        <f t="shared" si="54"/>
        <v>0</v>
      </c>
      <c r="Y958" s="3">
        <f t="shared" si="54"/>
        <v>0</v>
      </c>
      <c r="Z958" s="3">
        <f t="shared" si="54"/>
        <v>0</v>
      </c>
      <c r="AA958" s="3">
        <f t="shared" si="54"/>
        <v>0</v>
      </c>
      <c r="AB958" s="3">
        <f t="shared" si="54"/>
        <v>0</v>
      </c>
      <c r="AC958" s="3">
        <f t="shared" si="54"/>
        <v>0</v>
      </c>
      <c r="AD958" s="3">
        <f t="shared" si="54"/>
        <v>0</v>
      </c>
      <c r="AE958" s="3">
        <f t="shared" si="54"/>
        <v>0</v>
      </c>
      <c r="AF958" s="3">
        <f t="shared" si="54"/>
        <v>0</v>
      </c>
      <c r="AG958" s="3">
        <f t="shared" si="54"/>
        <v>0</v>
      </c>
      <c r="AH958" s="3">
        <f t="shared" si="54"/>
        <v>0</v>
      </c>
      <c r="AI958" s="3">
        <f t="shared" si="54"/>
        <v>0</v>
      </c>
      <c r="AJ958" s="3">
        <f t="shared" si="54"/>
        <v>0</v>
      </c>
      <c r="AK958" s="3">
        <f t="shared" si="54"/>
        <v>0</v>
      </c>
      <c r="AL958" s="3">
        <f t="shared" si="54"/>
        <v>0</v>
      </c>
      <c r="AM958" s="3">
        <f t="shared" si="54"/>
        <v>0</v>
      </c>
      <c r="AN958" s="3">
        <f t="shared" si="54"/>
        <v>0</v>
      </c>
      <c r="AO958" s="3">
        <f t="shared" si="54"/>
        <v>0</v>
      </c>
      <c r="AP958" s="3">
        <f t="shared" si="54"/>
        <v>0</v>
      </c>
      <c r="AQ958" s="3">
        <f t="shared" si="54"/>
        <v>0</v>
      </c>
      <c r="AR958" s="3">
        <f t="shared" si="54"/>
        <v>0</v>
      </c>
      <c r="AS958" s="3">
        <f t="shared" si="54"/>
        <v>0</v>
      </c>
      <c r="AT958" s="3">
        <f t="shared" si="54"/>
        <v>0</v>
      </c>
      <c r="AU958" s="3">
        <f t="shared" si="54"/>
        <v>0</v>
      </c>
      <c r="AV958" s="3">
        <f t="shared" si="54"/>
        <v>0</v>
      </c>
      <c r="AW958" s="3">
        <f t="shared" si="54"/>
        <v>0</v>
      </c>
      <c r="AX958" s="3">
        <f t="shared" si="54"/>
        <v>0</v>
      </c>
      <c r="AY958" s="3">
        <f t="shared" si="54"/>
        <v>0</v>
      </c>
      <c r="AZ958" s="3">
        <f t="shared" si="54"/>
        <v>0</v>
      </c>
      <c r="BA958" s="3">
        <f t="shared" si="55"/>
        <v>0</v>
      </c>
    </row>
    <row r="959" spans="9:53">
      <c r="I959" s="288" t="str">
        <f t="shared" si="56"/>
        <v>WS-05</v>
      </c>
      <c r="J959" s="3">
        <f t="shared" si="54"/>
        <v>0</v>
      </c>
      <c r="K959" s="3">
        <f t="shared" si="54"/>
        <v>0</v>
      </c>
      <c r="L959" s="3">
        <f t="shared" si="54"/>
        <v>0</v>
      </c>
      <c r="M959" s="3">
        <f t="shared" si="54"/>
        <v>0</v>
      </c>
      <c r="N959" s="3">
        <f t="shared" si="54"/>
        <v>0</v>
      </c>
      <c r="O959" s="3">
        <f t="shared" si="54"/>
        <v>0</v>
      </c>
      <c r="P959" s="3">
        <f t="shared" si="54"/>
        <v>0</v>
      </c>
      <c r="Q959" s="3">
        <f t="shared" si="54"/>
        <v>0</v>
      </c>
      <c r="R959" s="3">
        <f t="shared" si="54"/>
        <v>0</v>
      </c>
      <c r="S959" s="3">
        <f t="shared" si="54"/>
        <v>0</v>
      </c>
      <c r="T959" s="3">
        <f t="shared" si="54"/>
        <v>0</v>
      </c>
      <c r="U959" s="3">
        <f t="shared" si="54"/>
        <v>0</v>
      </c>
      <c r="V959" s="3">
        <f t="shared" si="54"/>
        <v>0</v>
      </c>
      <c r="W959" s="3">
        <f t="shared" si="54"/>
        <v>0</v>
      </c>
      <c r="X959" s="3">
        <f t="shared" si="54"/>
        <v>0</v>
      </c>
      <c r="Y959" s="3">
        <f t="shared" si="54"/>
        <v>0</v>
      </c>
      <c r="Z959" s="3">
        <f t="shared" si="54"/>
        <v>0</v>
      </c>
      <c r="AA959" s="3">
        <f t="shared" si="54"/>
        <v>0</v>
      </c>
      <c r="AB959" s="3">
        <f t="shared" si="54"/>
        <v>0</v>
      </c>
      <c r="AC959" s="3">
        <f t="shared" si="54"/>
        <v>0</v>
      </c>
      <c r="AD959" s="3">
        <f t="shared" si="54"/>
        <v>0</v>
      </c>
      <c r="AE959" s="3">
        <f t="shared" si="54"/>
        <v>0</v>
      </c>
      <c r="AF959" s="3">
        <f t="shared" si="54"/>
        <v>0</v>
      </c>
      <c r="AG959" s="3">
        <f t="shared" si="54"/>
        <v>0</v>
      </c>
      <c r="AH959" s="3">
        <f t="shared" si="54"/>
        <v>425244</v>
      </c>
      <c r="AI959" s="3">
        <f t="shared" si="54"/>
        <v>0</v>
      </c>
      <c r="AJ959" s="3">
        <f t="shared" si="54"/>
        <v>0</v>
      </c>
      <c r="AK959" s="3">
        <f t="shared" si="54"/>
        <v>0</v>
      </c>
      <c r="AL959" s="3">
        <f t="shared" si="54"/>
        <v>0</v>
      </c>
      <c r="AM959" s="3">
        <f t="shared" si="54"/>
        <v>0</v>
      </c>
      <c r="AN959" s="3">
        <f t="shared" si="54"/>
        <v>0</v>
      </c>
      <c r="AO959" s="3">
        <f t="shared" si="54"/>
        <v>0</v>
      </c>
      <c r="AP959" s="3">
        <f t="shared" si="54"/>
        <v>0</v>
      </c>
      <c r="AQ959" s="3">
        <f t="shared" si="54"/>
        <v>0</v>
      </c>
      <c r="AR959" s="3">
        <f t="shared" si="54"/>
        <v>0</v>
      </c>
      <c r="AS959" s="3">
        <f t="shared" si="54"/>
        <v>0</v>
      </c>
      <c r="AT959" s="3">
        <f t="shared" si="54"/>
        <v>0</v>
      </c>
      <c r="AU959" s="3">
        <f t="shared" si="54"/>
        <v>0</v>
      </c>
      <c r="AV959" s="3">
        <f t="shared" si="54"/>
        <v>0</v>
      </c>
      <c r="AW959" s="3">
        <f t="shared" si="54"/>
        <v>0</v>
      </c>
      <c r="AX959" s="3">
        <f t="shared" si="54"/>
        <v>0</v>
      </c>
      <c r="AY959" s="3">
        <f t="shared" si="54"/>
        <v>0</v>
      </c>
      <c r="AZ959" s="3">
        <f t="shared" si="54"/>
        <v>0</v>
      </c>
      <c r="BA959" s="3">
        <f t="shared" si="55"/>
        <v>0</v>
      </c>
    </row>
    <row r="960" spans="9:53">
      <c r="I960" s="288" t="str">
        <f t="shared" si="56"/>
        <v>WS-06</v>
      </c>
      <c r="J960" s="3">
        <f t="shared" si="54"/>
        <v>0</v>
      </c>
      <c r="K960" s="3">
        <f t="shared" si="54"/>
        <v>0</v>
      </c>
      <c r="L960" s="3">
        <f t="shared" si="54"/>
        <v>0</v>
      </c>
      <c r="M960" s="3">
        <f t="shared" si="54"/>
        <v>0</v>
      </c>
      <c r="N960" s="3">
        <f t="shared" si="54"/>
        <v>0</v>
      </c>
      <c r="O960" s="3">
        <f t="shared" si="54"/>
        <v>0</v>
      </c>
      <c r="P960" s="3">
        <f t="shared" si="54"/>
        <v>0</v>
      </c>
      <c r="Q960" s="3">
        <f t="shared" si="54"/>
        <v>0</v>
      </c>
      <c r="R960" s="3">
        <f t="shared" si="54"/>
        <v>0</v>
      </c>
      <c r="S960" s="3">
        <f t="shared" si="54"/>
        <v>0</v>
      </c>
      <c r="T960" s="3">
        <f t="shared" si="54"/>
        <v>0</v>
      </c>
      <c r="U960" s="3">
        <f t="shared" si="54"/>
        <v>0</v>
      </c>
      <c r="V960" s="3">
        <f t="shared" si="54"/>
        <v>0</v>
      </c>
      <c r="W960" s="3">
        <f t="shared" si="54"/>
        <v>0</v>
      </c>
      <c r="X960" s="3">
        <f t="shared" si="54"/>
        <v>0</v>
      </c>
      <c r="Y960" s="3">
        <f t="shared" si="54"/>
        <v>0</v>
      </c>
      <c r="Z960" s="3">
        <f t="shared" si="54"/>
        <v>0</v>
      </c>
      <c r="AA960" s="3">
        <f t="shared" si="54"/>
        <v>0</v>
      </c>
      <c r="AB960" s="3">
        <f t="shared" si="54"/>
        <v>0</v>
      </c>
      <c r="AC960" s="3">
        <f t="shared" si="54"/>
        <v>0</v>
      </c>
      <c r="AD960" s="3">
        <f t="shared" si="54"/>
        <v>0</v>
      </c>
      <c r="AE960" s="3">
        <f t="shared" si="54"/>
        <v>0</v>
      </c>
      <c r="AF960" s="3">
        <f t="shared" si="54"/>
        <v>0</v>
      </c>
      <c r="AG960" s="3">
        <f t="shared" si="54"/>
        <v>0</v>
      </c>
      <c r="AH960" s="3">
        <f t="shared" si="54"/>
        <v>0</v>
      </c>
      <c r="AI960" s="3">
        <f t="shared" si="54"/>
        <v>0</v>
      </c>
      <c r="AJ960" s="3">
        <f t="shared" si="54"/>
        <v>0</v>
      </c>
      <c r="AK960" s="3">
        <f t="shared" si="54"/>
        <v>0</v>
      </c>
      <c r="AL960" s="3">
        <f t="shared" si="54"/>
        <v>0</v>
      </c>
      <c r="AM960" s="3">
        <f t="shared" si="54"/>
        <v>0</v>
      </c>
      <c r="AN960" s="3">
        <f t="shared" si="54"/>
        <v>0</v>
      </c>
      <c r="AO960" s="3">
        <f t="shared" si="54"/>
        <v>0</v>
      </c>
      <c r="AP960" s="3">
        <f t="shared" si="54"/>
        <v>0</v>
      </c>
      <c r="AQ960" s="3">
        <f t="shared" si="54"/>
        <v>0</v>
      </c>
      <c r="AR960" s="3">
        <f t="shared" si="54"/>
        <v>0</v>
      </c>
      <c r="AS960" s="3">
        <f t="shared" si="54"/>
        <v>0</v>
      </c>
      <c r="AT960" s="3">
        <f t="shared" si="54"/>
        <v>0</v>
      </c>
      <c r="AU960" s="3">
        <f t="shared" si="54"/>
        <v>0</v>
      </c>
      <c r="AV960" s="3">
        <f t="shared" si="54"/>
        <v>0</v>
      </c>
      <c r="AW960" s="3">
        <f t="shared" si="54"/>
        <v>0</v>
      </c>
      <c r="AX960" s="3">
        <f t="shared" ref="J960:AZ966" si="57">AX8+AX55+AX102+AX149+AX196+AX243+AX290+AX337+AX384+AX431+AX478+AX525+AX572+AX619+AX666+AX713</f>
        <v>0</v>
      </c>
      <c r="AY960" s="3">
        <f t="shared" si="57"/>
        <v>0</v>
      </c>
      <c r="AZ960" s="3">
        <f t="shared" si="57"/>
        <v>0</v>
      </c>
      <c r="BA960" s="3">
        <f t="shared" si="55"/>
        <v>0</v>
      </c>
    </row>
    <row r="961" spans="9:53">
      <c r="I961" s="288" t="str">
        <f t="shared" si="56"/>
        <v>WS-07</v>
      </c>
      <c r="J961" s="3">
        <f t="shared" si="57"/>
        <v>0</v>
      </c>
      <c r="K961" s="3">
        <f t="shared" si="57"/>
        <v>0</v>
      </c>
      <c r="L961" s="3">
        <f t="shared" si="57"/>
        <v>0</v>
      </c>
      <c r="M961" s="3">
        <f t="shared" si="57"/>
        <v>0</v>
      </c>
      <c r="N961" s="3">
        <f t="shared" si="57"/>
        <v>0</v>
      </c>
      <c r="O961" s="3">
        <f t="shared" si="57"/>
        <v>0</v>
      </c>
      <c r="P961" s="3">
        <f t="shared" si="57"/>
        <v>0</v>
      </c>
      <c r="Q961" s="3">
        <f t="shared" si="57"/>
        <v>136301</v>
      </c>
      <c r="R961" s="3">
        <f t="shared" si="57"/>
        <v>0</v>
      </c>
      <c r="S961" s="3">
        <f t="shared" si="57"/>
        <v>0</v>
      </c>
      <c r="T961" s="3">
        <f t="shared" si="57"/>
        <v>0</v>
      </c>
      <c r="U961" s="3">
        <f t="shared" si="57"/>
        <v>0</v>
      </c>
      <c r="V961" s="3">
        <f t="shared" si="57"/>
        <v>0</v>
      </c>
      <c r="W961" s="3">
        <f t="shared" si="57"/>
        <v>0</v>
      </c>
      <c r="X961" s="3">
        <f t="shared" si="57"/>
        <v>0</v>
      </c>
      <c r="Y961" s="3">
        <f t="shared" si="57"/>
        <v>0</v>
      </c>
      <c r="Z961" s="3">
        <f t="shared" si="57"/>
        <v>0</v>
      </c>
      <c r="AA961" s="3">
        <f t="shared" si="57"/>
        <v>0</v>
      </c>
      <c r="AB961" s="3">
        <f t="shared" si="57"/>
        <v>0</v>
      </c>
      <c r="AC961" s="3">
        <f t="shared" si="57"/>
        <v>0</v>
      </c>
      <c r="AD961" s="3">
        <f t="shared" si="57"/>
        <v>176193</v>
      </c>
      <c r="AE961" s="3">
        <f t="shared" si="57"/>
        <v>0</v>
      </c>
      <c r="AF961" s="3">
        <f t="shared" si="57"/>
        <v>0</v>
      </c>
      <c r="AG961" s="3">
        <f t="shared" si="57"/>
        <v>0</v>
      </c>
      <c r="AH961" s="3">
        <f t="shared" si="57"/>
        <v>0</v>
      </c>
      <c r="AI961" s="3">
        <f t="shared" si="57"/>
        <v>0</v>
      </c>
      <c r="AJ961" s="3">
        <f t="shared" si="57"/>
        <v>0</v>
      </c>
      <c r="AK961" s="3">
        <f t="shared" si="57"/>
        <v>0</v>
      </c>
      <c r="AL961" s="3">
        <f t="shared" si="57"/>
        <v>0</v>
      </c>
      <c r="AM961" s="3">
        <f t="shared" si="57"/>
        <v>0</v>
      </c>
      <c r="AN961" s="3">
        <f t="shared" si="57"/>
        <v>0</v>
      </c>
      <c r="AO961" s="3">
        <f t="shared" si="57"/>
        <v>0</v>
      </c>
      <c r="AP961" s="3">
        <f t="shared" si="57"/>
        <v>0</v>
      </c>
      <c r="AQ961" s="3">
        <f t="shared" si="57"/>
        <v>0</v>
      </c>
      <c r="AR961" s="3">
        <f t="shared" si="57"/>
        <v>0</v>
      </c>
      <c r="AS961" s="3">
        <f t="shared" si="57"/>
        <v>0</v>
      </c>
      <c r="AT961" s="3">
        <f t="shared" si="57"/>
        <v>0</v>
      </c>
      <c r="AU961" s="3">
        <f t="shared" si="57"/>
        <v>0</v>
      </c>
      <c r="AV961" s="3">
        <f t="shared" si="57"/>
        <v>0</v>
      </c>
      <c r="AW961" s="3">
        <f t="shared" si="57"/>
        <v>0</v>
      </c>
      <c r="AX961" s="3">
        <f t="shared" si="57"/>
        <v>0</v>
      </c>
      <c r="AY961" s="3">
        <f t="shared" si="57"/>
        <v>0</v>
      </c>
      <c r="AZ961" s="3">
        <f t="shared" si="57"/>
        <v>0</v>
      </c>
      <c r="BA961" s="3">
        <f t="shared" si="55"/>
        <v>0</v>
      </c>
    </row>
    <row r="962" spans="9:53">
      <c r="I962" s="288" t="str">
        <f t="shared" si="56"/>
        <v>WS-08</v>
      </c>
      <c r="J962" s="3">
        <f t="shared" si="57"/>
        <v>0</v>
      </c>
      <c r="K962" s="3">
        <f t="shared" si="57"/>
        <v>0</v>
      </c>
      <c r="L962" s="3">
        <f t="shared" si="57"/>
        <v>0</v>
      </c>
      <c r="M962" s="3">
        <f t="shared" si="57"/>
        <v>0</v>
      </c>
      <c r="N962" s="3">
        <f t="shared" si="57"/>
        <v>0</v>
      </c>
      <c r="O962" s="3">
        <f t="shared" si="57"/>
        <v>0</v>
      </c>
      <c r="P962" s="3">
        <f t="shared" si="57"/>
        <v>0</v>
      </c>
      <c r="Q962" s="3">
        <f t="shared" si="57"/>
        <v>0</v>
      </c>
      <c r="R962" s="3">
        <f t="shared" si="57"/>
        <v>0</v>
      </c>
      <c r="S962" s="3">
        <f t="shared" si="57"/>
        <v>0</v>
      </c>
      <c r="T962" s="3">
        <f t="shared" si="57"/>
        <v>0</v>
      </c>
      <c r="U962" s="3">
        <f t="shared" si="57"/>
        <v>0</v>
      </c>
      <c r="V962" s="3">
        <f t="shared" si="57"/>
        <v>0</v>
      </c>
      <c r="W962" s="3">
        <f t="shared" si="57"/>
        <v>0</v>
      </c>
      <c r="X962" s="3">
        <f t="shared" si="57"/>
        <v>0</v>
      </c>
      <c r="Y962" s="3">
        <f t="shared" si="57"/>
        <v>0</v>
      </c>
      <c r="Z962" s="3">
        <f t="shared" si="57"/>
        <v>0</v>
      </c>
      <c r="AA962" s="3">
        <f t="shared" si="57"/>
        <v>0</v>
      </c>
      <c r="AB962" s="3">
        <f t="shared" si="57"/>
        <v>0</v>
      </c>
      <c r="AC962" s="3">
        <f t="shared" si="57"/>
        <v>136301</v>
      </c>
      <c r="AD962" s="3">
        <f t="shared" si="57"/>
        <v>0</v>
      </c>
      <c r="AE962" s="3">
        <f t="shared" si="57"/>
        <v>0</v>
      </c>
      <c r="AF962" s="3">
        <f t="shared" si="57"/>
        <v>0</v>
      </c>
      <c r="AG962" s="3">
        <f t="shared" si="57"/>
        <v>0</v>
      </c>
      <c r="AH962" s="3">
        <f t="shared" si="57"/>
        <v>0</v>
      </c>
      <c r="AI962" s="3">
        <f t="shared" si="57"/>
        <v>0</v>
      </c>
      <c r="AJ962" s="3">
        <f t="shared" si="57"/>
        <v>0</v>
      </c>
      <c r="AK962" s="3">
        <f t="shared" si="57"/>
        <v>0</v>
      </c>
      <c r="AL962" s="3">
        <f t="shared" si="57"/>
        <v>0</v>
      </c>
      <c r="AM962" s="3">
        <f t="shared" si="57"/>
        <v>0</v>
      </c>
      <c r="AN962" s="3">
        <f t="shared" si="57"/>
        <v>0</v>
      </c>
      <c r="AO962" s="3">
        <f t="shared" si="57"/>
        <v>0</v>
      </c>
      <c r="AP962" s="3">
        <f t="shared" si="57"/>
        <v>0</v>
      </c>
      <c r="AQ962" s="3">
        <f t="shared" si="57"/>
        <v>0</v>
      </c>
      <c r="AR962" s="3">
        <f t="shared" si="57"/>
        <v>0</v>
      </c>
      <c r="AS962" s="3">
        <f t="shared" si="57"/>
        <v>0</v>
      </c>
      <c r="AT962" s="3">
        <f t="shared" si="57"/>
        <v>0</v>
      </c>
      <c r="AU962" s="3">
        <f t="shared" si="57"/>
        <v>0</v>
      </c>
      <c r="AV962" s="3">
        <f t="shared" si="57"/>
        <v>0</v>
      </c>
      <c r="AW962" s="3">
        <f t="shared" si="57"/>
        <v>0</v>
      </c>
      <c r="AX962" s="3">
        <f t="shared" si="57"/>
        <v>0</v>
      </c>
      <c r="AY962" s="3">
        <f t="shared" si="57"/>
        <v>0</v>
      </c>
      <c r="AZ962" s="3">
        <f t="shared" si="57"/>
        <v>0</v>
      </c>
      <c r="BA962" s="3">
        <f t="shared" si="55"/>
        <v>0</v>
      </c>
    </row>
    <row r="963" spans="9:53">
      <c r="I963" s="288" t="str">
        <f t="shared" si="56"/>
        <v>WS-09</v>
      </c>
      <c r="J963" s="3">
        <f t="shared" si="57"/>
        <v>0</v>
      </c>
      <c r="K963" s="3">
        <f t="shared" si="57"/>
        <v>0</v>
      </c>
      <c r="L963" s="3">
        <f t="shared" si="57"/>
        <v>0</v>
      </c>
      <c r="M963" s="3">
        <f t="shared" si="57"/>
        <v>0</v>
      </c>
      <c r="N963" s="3">
        <f t="shared" si="57"/>
        <v>0</v>
      </c>
      <c r="O963" s="3">
        <f t="shared" si="57"/>
        <v>0</v>
      </c>
      <c r="P963" s="3">
        <f t="shared" si="57"/>
        <v>0</v>
      </c>
      <c r="Q963" s="3">
        <f t="shared" si="57"/>
        <v>0</v>
      </c>
      <c r="R963" s="3">
        <f t="shared" si="57"/>
        <v>0</v>
      </c>
      <c r="S963" s="3">
        <f t="shared" si="57"/>
        <v>0</v>
      </c>
      <c r="T963" s="3">
        <f t="shared" si="57"/>
        <v>0</v>
      </c>
      <c r="U963" s="3">
        <f t="shared" si="57"/>
        <v>0</v>
      </c>
      <c r="V963" s="3">
        <f t="shared" si="57"/>
        <v>0</v>
      </c>
      <c r="W963" s="3">
        <f t="shared" si="57"/>
        <v>0</v>
      </c>
      <c r="X963" s="3">
        <f t="shared" si="57"/>
        <v>0</v>
      </c>
      <c r="Y963" s="3">
        <f t="shared" si="57"/>
        <v>0</v>
      </c>
      <c r="Z963" s="3">
        <f t="shared" si="57"/>
        <v>0</v>
      </c>
      <c r="AA963" s="3">
        <f t="shared" si="57"/>
        <v>0</v>
      </c>
      <c r="AB963" s="3">
        <f t="shared" si="57"/>
        <v>0</v>
      </c>
      <c r="AC963" s="3">
        <f t="shared" si="57"/>
        <v>0</v>
      </c>
      <c r="AD963" s="3">
        <f t="shared" si="57"/>
        <v>0</v>
      </c>
      <c r="AE963" s="3">
        <f t="shared" si="57"/>
        <v>0</v>
      </c>
      <c r="AF963" s="3">
        <f t="shared" si="57"/>
        <v>0</v>
      </c>
      <c r="AG963" s="3">
        <f t="shared" si="57"/>
        <v>0</v>
      </c>
      <c r="AH963" s="3">
        <f t="shared" si="57"/>
        <v>0</v>
      </c>
      <c r="AI963" s="3">
        <f t="shared" si="57"/>
        <v>0</v>
      </c>
      <c r="AJ963" s="3">
        <f t="shared" si="57"/>
        <v>0</v>
      </c>
      <c r="AK963" s="3">
        <f t="shared" si="57"/>
        <v>0</v>
      </c>
      <c r="AL963" s="3">
        <f t="shared" si="57"/>
        <v>0</v>
      </c>
      <c r="AM963" s="3">
        <f t="shared" si="57"/>
        <v>0</v>
      </c>
      <c r="AN963" s="3">
        <f t="shared" si="57"/>
        <v>0</v>
      </c>
      <c r="AO963" s="3">
        <f t="shared" si="57"/>
        <v>0</v>
      </c>
      <c r="AP963" s="3">
        <f t="shared" si="57"/>
        <v>0</v>
      </c>
      <c r="AQ963" s="3">
        <f t="shared" si="57"/>
        <v>0</v>
      </c>
      <c r="AR963" s="3">
        <f t="shared" si="57"/>
        <v>0</v>
      </c>
      <c r="AS963" s="3">
        <f t="shared" si="57"/>
        <v>0</v>
      </c>
      <c r="AT963" s="3">
        <f t="shared" si="57"/>
        <v>0</v>
      </c>
      <c r="AU963" s="3">
        <f t="shared" si="57"/>
        <v>0</v>
      </c>
      <c r="AV963" s="3">
        <f t="shared" si="57"/>
        <v>0</v>
      </c>
      <c r="AW963" s="3">
        <f t="shared" si="57"/>
        <v>0</v>
      </c>
      <c r="AX963" s="3">
        <f t="shared" si="57"/>
        <v>0</v>
      </c>
      <c r="AY963" s="3">
        <f t="shared" si="57"/>
        <v>0</v>
      </c>
      <c r="AZ963" s="3">
        <f t="shared" si="57"/>
        <v>0</v>
      </c>
      <c r="BA963" s="3">
        <f t="shared" si="55"/>
        <v>0</v>
      </c>
    </row>
    <row r="964" spans="9:53">
      <c r="I964" s="288" t="str">
        <f t="shared" si="56"/>
        <v>WS-10</v>
      </c>
      <c r="J964" s="3">
        <f t="shared" si="57"/>
        <v>0</v>
      </c>
      <c r="K964" s="3">
        <f t="shared" si="57"/>
        <v>0</v>
      </c>
      <c r="L964" s="3">
        <f t="shared" si="57"/>
        <v>0</v>
      </c>
      <c r="M964" s="3">
        <f t="shared" si="57"/>
        <v>0</v>
      </c>
      <c r="N964" s="3">
        <f t="shared" si="57"/>
        <v>0</v>
      </c>
      <c r="O964" s="3">
        <f t="shared" si="57"/>
        <v>0</v>
      </c>
      <c r="P964" s="3">
        <f t="shared" si="57"/>
        <v>0</v>
      </c>
      <c r="Q964" s="3">
        <f t="shared" si="57"/>
        <v>0</v>
      </c>
      <c r="R964" s="3">
        <f t="shared" si="57"/>
        <v>0</v>
      </c>
      <c r="S964" s="3">
        <f t="shared" si="57"/>
        <v>0</v>
      </c>
      <c r="T964" s="3">
        <f t="shared" si="57"/>
        <v>0</v>
      </c>
      <c r="U964" s="3">
        <f t="shared" si="57"/>
        <v>0</v>
      </c>
      <c r="V964" s="3">
        <f t="shared" si="57"/>
        <v>0</v>
      </c>
      <c r="W964" s="3">
        <f t="shared" si="57"/>
        <v>0</v>
      </c>
      <c r="X964" s="3">
        <f t="shared" si="57"/>
        <v>0</v>
      </c>
      <c r="Y964" s="3">
        <f t="shared" si="57"/>
        <v>0</v>
      </c>
      <c r="Z964" s="3">
        <f t="shared" si="57"/>
        <v>0</v>
      </c>
      <c r="AA964" s="3">
        <f t="shared" si="57"/>
        <v>0</v>
      </c>
      <c r="AB964" s="3">
        <f t="shared" si="57"/>
        <v>0</v>
      </c>
      <c r="AC964" s="3">
        <f t="shared" si="57"/>
        <v>0</v>
      </c>
      <c r="AD964" s="3">
        <f t="shared" si="57"/>
        <v>0</v>
      </c>
      <c r="AE964" s="3">
        <f t="shared" si="57"/>
        <v>0</v>
      </c>
      <c r="AF964" s="3">
        <f t="shared" si="57"/>
        <v>0</v>
      </c>
      <c r="AG964" s="3">
        <f t="shared" si="57"/>
        <v>0</v>
      </c>
      <c r="AH964" s="3">
        <f t="shared" si="57"/>
        <v>0</v>
      </c>
      <c r="AI964" s="3">
        <f t="shared" si="57"/>
        <v>0</v>
      </c>
      <c r="AJ964" s="3">
        <f t="shared" si="57"/>
        <v>0</v>
      </c>
      <c r="AK964" s="3">
        <f t="shared" si="57"/>
        <v>0</v>
      </c>
      <c r="AL964" s="3">
        <f t="shared" si="57"/>
        <v>0</v>
      </c>
      <c r="AM964" s="3">
        <f t="shared" si="57"/>
        <v>0</v>
      </c>
      <c r="AN964" s="3">
        <f t="shared" si="57"/>
        <v>0</v>
      </c>
      <c r="AO964" s="3">
        <f t="shared" si="57"/>
        <v>0</v>
      </c>
      <c r="AP964" s="3">
        <f t="shared" si="57"/>
        <v>0</v>
      </c>
      <c r="AQ964" s="3">
        <f t="shared" si="57"/>
        <v>0</v>
      </c>
      <c r="AR964" s="3">
        <f t="shared" si="57"/>
        <v>0</v>
      </c>
      <c r="AS964" s="3">
        <f t="shared" si="57"/>
        <v>0</v>
      </c>
      <c r="AT964" s="3">
        <f t="shared" si="57"/>
        <v>0</v>
      </c>
      <c r="AU964" s="3">
        <f t="shared" si="57"/>
        <v>0</v>
      </c>
      <c r="AV964" s="3">
        <f t="shared" si="57"/>
        <v>0</v>
      </c>
      <c r="AW964" s="3">
        <f t="shared" si="57"/>
        <v>0</v>
      </c>
      <c r="AX964" s="3">
        <f t="shared" si="57"/>
        <v>0</v>
      </c>
      <c r="AY964" s="3">
        <f t="shared" si="57"/>
        <v>0</v>
      </c>
      <c r="AZ964" s="3">
        <f t="shared" si="57"/>
        <v>0</v>
      </c>
      <c r="BA964" s="3">
        <f t="shared" si="55"/>
        <v>0</v>
      </c>
    </row>
    <row r="965" spans="9:53">
      <c r="I965" s="288" t="str">
        <f t="shared" si="56"/>
        <v>WS-11</v>
      </c>
      <c r="J965" s="3">
        <f t="shared" si="57"/>
        <v>0</v>
      </c>
      <c r="K965" s="3">
        <f t="shared" si="57"/>
        <v>0</v>
      </c>
      <c r="L965" s="3">
        <f t="shared" si="57"/>
        <v>0</v>
      </c>
      <c r="M965" s="3">
        <f t="shared" si="57"/>
        <v>0</v>
      </c>
      <c r="N965" s="3">
        <f t="shared" si="57"/>
        <v>0</v>
      </c>
      <c r="O965" s="3">
        <f t="shared" si="57"/>
        <v>0</v>
      </c>
      <c r="P965" s="3">
        <f t="shared" si="57"/>
        <v>0</v>
      </c>
      <c r="Q965" s="3">
        <f t="shared" si="57"/>
        <v>0</v>
      </c>
      <c r="R965" s="3">
        <f t="shared" si="57"/>
        <v>0</v>
      </c>
      <c r="S965" s="3">
        <f t="shared" si="57"/>
        <v>0</v>
      </c>
      <c r="T965" s="3">
        <f t="shared" si="57"/>
        <v>0</v>
      </c>
      <c r="U965" s="3">
        <f t="shared" si="57"/>
        <v>0</v>
      </c>
      <c r="V965" s="3">
        <f t="shared" si="57"/>
        <v>0</v>
      </c>
      <c r="W965" s="3">
        <f t="shared" si="57"/>
        <v>0</v>
      </c>
      <c r="X965" s="3">
        <f t="shared" si="57"/>
        <v>0</v>
      </c>
      <c r="Y965" s="3">
        <f t="shared" si="57"/>
        <v>0</v>
      </c>
      <c r="Z965" s="3">
        <f t="shared" si="57"/>
        <v>0</v>
      </c>
      <c r="AA965" s="3">
        <f t="shared" si="57"/>
        <v>0</v>
      </c>
      <c r="AB965" s="3">
        <f t="shared" si="57"/>
        <v>0</v>
      </c>
      <c r="AC965" s="3">
        <f t="shared" si="57"/>
        <v>0</v>
      </c>
      <c r="AD965" s="3">
        <f t="shared" si="57"/>
        <v>0</v>
      </c>
      <c r="AE965" s="3">
        <f t="shared" si="57"/>
        <v>0</v>
      </c>
      <c r="AF965" s="3">
        <f t="shared" si="57"/>
        <v>0</v>
      </c>
      <c r="AG965" s="3">
        <f t="shared" si="57"/>
        <v>0</v>
      </c>
      <c r="AH965" s="3">
        <f t="shared" si="57"/>
        <v>0</v>
      </c>
      <c r="AI965" s="3">
        <f t="shared" si="57"/>
        <v>0</v>
      </c>
      <c r="AJ965" s="3">
        <f t="shared" si="57"/>
        <v>0</v>
      </c>
      <c r="AK965" s="3">
        <f t="shared" si="57"/>
        <v>0</v>
      </c>
      <c r="AL965" s="3">
        <f t="shared" si="57"/>
        <v>0</v>
      </c>
      <c r="AM965" s="3">
        <f t="shared" si="57"/>
        <v>0</v>
      </c>
      <c r="AN965" s="3">
        <f t="shared" si="57"/>
        <v>0</v>
      </c>
      <c r="AO965" s="3">
        <f t="shared" si="57"/>
        <v>0</v>
      </c>
      <c r="AP965" s="3">
        <f t="shared" si="57"/>
        <v>0</v>
      </c>
      <c r="AQ965" s="3">
        <f t="shared" si="57"/>
        <v>0</v>
      </c>
      <c r="AR965" s="3">
        <f t="shared" si="57"/>
        <v>0</v>
      </c>
      <c r="AS965" s="3">
        <f t="shared" si="57"/>
        <v>0</v>
      </c>
      <c r="AT965" s="3">
        <f t="shared" si="57"/>
        <v>0</v>
      </c>
      <c r="AU965" s="3">
        <f t="shared" si="57"/>
        <v>0</v>
      </c>
      <c r="AV965" s="3">
        <f t="shared" si="57"/>
        <v>0</v>
      </c>
      <c r="AW965" s="3">
        <f t="shared" si="57"/>
        <v>0</v>
      </c>
      <c r="AX965" s="3">
        <f t="shared" si="57"/>
        <v>0</v>
      </c>
      <c r="AY965" s="3">
        <f t="shared" si="57"/>
        <v>0</v>
      </c>
      <c r="AZ965" s="3">
        <f t="shared" si="57"/>
        <v>0</v>
      </c>
      <c r="BA965" s="3">
        <f t="shared" si="55"/>
        <v>0</v>
      </c>
    </row>
    <row r="966" spans="9:53">
      <c r="I966" s="288" t="str">
        <f t="shared" si="56"/>
        <v>WS-12</v>
      </c>
      <c r="J966" s="3">
        <f t="shared" si="57"/>
        <v>0</v>
      </c>
      <c r="K966" s="3">
        <f t="shared" si="57"/>
        <v>0</v>
      </c>
      <c r="L966" s="3">
        <f t="shared" si="57"/>
        <v>0</v>
      </c>
      <c r="M966" s="3">
        <f t="shared" si="57"/>
        <v>0</v>
      </c>
      <c r="N966" s="3">
        <f t="shared" si="57"/>
        <v>0</v>
      </c>
      <c r="O966" s="3">
        <f t="shared" si="57"/>
        <v>0</v>
      </c>
      <c r="P966" s="3">
        <f t="shared" si="57"/>
        <v>0</v>
      </c>
      <c r="Q966" s="3">
        <f t="shared" si="57"/>
        <v>0</v>
      </c>
      <c r="R966" s="3">
        <f t="shared" si="57"/>
        <v>0</v>
      </c>
      <c r="S966" s="3">
        <f t="shared" si="57"/>
        <v>0</v>
      </c>
      <c r="T966" s="3">
        <f t="shared" si="57"/>
        <v>0</v>
      </c>
      <c r="U966" s="3">
        <f t="shared" si="57"/>
        <v>0</v>
      </c>
      <c r="V966" s="3">
        <f t="shared" si="57"/>
        <v>0</v>
      </c>
      <c r="W966" s="3">
        <f t="shared" si="57"/>
        <v>0</v>
      </c>
      <c r="X966" s="3">
        <f t="shared" si="57"/>
        <v>0</v>
      </c>
      <c r="Y966" s="3">
        <f t="shared" si="57"/>
        <v>0</v>
      </c>
      <c r="Z966" s="3">
        <f t="shared" si="57"/>
        <v>0</v>
      </c>
      <c r="AA966" s="3">
        <f t="shared" si="57"/>
        <v>0</v>
      </c>
      <c r="AB966" s="3">
        <f t="shared" si="57"/>
        <v>0</v>
      </c>
      <c r="AC966" s="3">
        <f t="shared" si="57"/>
        <v>0</v>
      </c>
      <c r="AD966" s="3">
        <f t="shared" si="57"/>
        <v>0</v>
      </c>
      <c r="AE966" s="3">
        <f t="shared" si="57"/>
        <v>0</v>
      </c>
      <c r="AF966" s="3">
        <f t="shared" si="57"/>
        <v>0</v>
      </c>
      <c r="AG966" s="3">
        <f t="shared" si="57"/>
        <v>0</v>
      </c>
      <c r="AH966" s="3">
        <f t="shared" si="57"/>
        <v>0</v>
      </c>
      <c r="AI966" s="3">
        <f t="shared" si="57"/>
        <v>0</v>
      </c>
      <c r="AJ966" s="3">
        <f t="shared" si="57"/>
        <v>0</v>
      </c>
      <c r="AK966" s="3">
        <f t="shared" si="57"/>
        <v>0</v>
      </c>
      <c r="AL966" s="3">
        <f t="shared" si="57"/>
        <v>0</v>
      </c>
      <c r="AM966" s="3">
        <f t="shared" si="57"/>
        <v>0</v>
      </c>
      <c r="AN966" s="3">
        <f t="shared" si="57"/>
        <v>0</v>
      </c>
      <c r="AO966" s="3">
        <f t="shared" si="57"/>
        <v>0</v>
      </c>
      <c r="AP966" s="3">
        <f t="shared" si="57"/>
        <v>0</v>
      </c>
      <c r="AQ966" s="3">
        <f t="shared" si="57"/>
        <v>0</v>
      </c>
      <c r="AR966" s="3">
        <f t="shared" si="57"/>
        <v>0</v>
      </c>
      <c r="AS966" s="3">
        <f t="shared" si="57"/>
        <v>0</v>
      </c>
      <c r="AT966" s="3">
        <f t="shared" si="57"/>
        <v>0</v>
      </c>
      <c r="AU966" s="3">
        <f t="shared" ref="J966:AZ972" si="58">AU14+AU61+AU108+AU155+AU202+AU249+AU296+AU343+AU390+AU437+AU484+AU531+AU578+AU625+AU672+AU719</f>
        <v>0</v>
      </c>
      <c r="AV966" s="3">
        <f t="shared" si="58"/>
        <v>0</v>
      </c>
      <c r="AW966" s="3">
        <f t="shared" si="58"/>
        <v>0</v>
      </c>
      <c r="AX966" s="3">
        <f t="shared" si="58"/>
        <v>0</v>
      </c>
      <c r="AY966" s="3">
        <f t="shared" si="58"/>
        <v>0</v>
      </c>
      <c r="AZ966" s="3">
        <f t="shared" si="58"/>
        <v>0</v>
      </c>
      <c r="BA966" s="3">
        <f t="shared" si="55"/>
        <v>0</v>
      </c>
    </row>
    <row r="967" spans="9:53">
      <c r="I967" s="288" t="str">
        <f t="shared" si="56"/>
        <v>WS-13</v>
      </c>
      <c r="J967" s="3">
        <f t="shared" si="58"/>
        <v>0</v>
      </c>
      <c r="K967" s="3">
        <f t="shared" si="58"/>
        <v>0</v>
      </c>
      <c r="L967" s="3">
        <f t="shared" si="58"/>
        <v>0</v>
      </c>
      <c r="M967" s="3">
        <f t="shared" si="58"/>
        <v>0</v>
      </c>
      <c r="N967" s="3">
        <f t="shared" si="58"/>
        <v>0</v>
      </c>
      <c r="O967" s="3">
        <f t="shared" si="58"/>
        <v>0</v>
      </c>
      <c r="P967" s="3">
        <f t="shared" si="58"/>
        <v>0</v>
      </c>
      <c r="Q967" s="3">
        <f t="shared" si="58"/>
        <v>0</v>
      </c>
      <c r="R967" s="3">
        <f t="shared" si="58"/>
        <v>0</v>
      </c>
      <c r="S967" s="3">
        <f t="shared" si="58"/>
        <v>0</v>
      </c>
      <c r="T967" s="3">
        <f t="shared" si="58"/>
        <v>0</v>
      </c>
      <c r="U967" s="3">
        <f t="shared" si="58"/>
        <v>0</v>
      </c>
      <c r="V967" s="3">
        <f t="shared" si="58"/>
        <v>0</v>
      </c>
      <c r="W967" s="3">
        <f t="shared" si="58"/>
        <v>0</v>
      </c>
      <c r="X967" s="3">
        <f t="shared" si="58"/>
        <v>0</v>
      </c>
      <c r="Y967" s="3">
        <f t="shared" si="58"/>
        <v>0</v>
      </c>
      <c r="Z967" s="3">
        <f t="shared" si="58"/>
        <v>0</v>
      </c>
      <c r="AA967" s="3">
        <f t="shared" si="58"/>
        <v>0</v>
      </c>
      <c r="AB967" s="3">
        <f t="shared" si="58"/>
        <v>0</v>
      </c>
      <c r="AC967" s="3">
        <f t="shared" si="58"/>
        <v>0</v>
      </c>
      <c r="AD967" s="3">
        <f t="shared" si="58"/>
        <v>0</v>
      </c>
      <c r="AE967" s="3">
        <f t="shared" si="58"/>
        <v>0</v>
      </c>
      <c r="AF967" s="3">
        <f t="shared" si="58"/>
        <v>0</v>
      </c>
      <c r="AG967" s="3">
        <f t="shared" si="58"/>
        <v>0</v>
      </c>
      <c r="AH967" s="3">
        <f t="shared" si="58"/>
        <v>0</v>
      </c>
      <c r="AI967" s="3">
        <f t="shared" si="58"/>
        <v>0</v>
      </c>
      <c r="AJ967" s="3">
        <f t="shared" si="58"/>
        <v>0</v>
      </c>
      <c r="AK967" s="3">
        <f t="shared" si="58"/>
        <v>0</v>
      </c>
      <c r="AL967" s="3">
        <f t="shared" si="58"/>
        <v>0</v>
      </c>
      <c r="AM967" s="3">
        <f t="shared" si="58"/>
        <v>0</v>
      </c>
      <c r="AN967" s="3">
        <f t="shared" si="58"/>
        <v>0</v>
      </c>
      <c r="AO967" s="3">
        <f t="shared" si="58"/>
        <v>0</v>
      </c>
      <c r="AP967" s="3">
        <f t="shared" si="58"/>
        <v>0</v>
      </c>
      <c r="AQ967" s="3">
        <f t="shared" si="58"/>
        <v>0</v>
      </c>
      <c r="AR967" s="3">
        <f t="shared" si="58"/>
        <v>0</v>
      </c>
      <c r="AS967" s="3">
        <f t="shared" si="58"/>
        <v>0</v>
      </c>
      <c r="AT967" s="3">
        <f t="shared" si="58"/>
        <v>0</v>
      </c>
      <c r="AU967" s="3">
        <f t="shared" si="58"/>
        <v>0</v>
      </c>
      <c r="AV967" s="3">
        <f t="shared" si="58"/>
        <v>0</v>
      </c>
      <c r="AW967" s="3">
        <f t="shared" si="58"/>
        <v>0</v>
      </c>
      <c r="AX967" s="3">
        <f t="shared" si="58"/>
        <v>0</v>
      </c>
      <c r="AY967" s="3">
        <f t="shared" si="58"/>
        <v>0</v>
      </c>
      <c r="AZ967" s="3">
        <f t="shared" si="58"/>
        <v>0</v>
      </c>
      <c r="BA967" s="3">
        <f t="shared" si="55"/>
        <v>0</v>
      </c>
    </row>
    <row r="968" spans="9:53">
      <c r="I968" s="288" t="str">
        <f t="shared" si="56"/>
        <v>WS-14</v>
      </c>
      <c r="J968" s="3">
        <f t="shared" si="58"/>
        <v>0</v>
      </c>
      <c r="K968" s="3">
        <f t="shared" si="58"/>
        <v>0</v>
      </c>
      <c r="L968" s="3">
        <f t="shared" si="58"/>
        <v>0</v>
      </c>
      <c r="M968" s="3">
        <f t="shared" si="58"/>
        <v>0</v>
      </c>
      <c r="N968" s="3">
        <f t="shared" si="58"/>
        <v>0</v>
      </c>
      <c r="O968" s="3">
        <f t="shared" si="58"/>
        <v>0</v>
      </c>
      <c r="P968" s="3">
        <f t="shared" si="58"/>
        <v>0</v>
      </c>
      <c r="Q968" s="3">
        <f t="shared" si="58"/>
        <v>0</v>
      </c>
      <c r="R968" s="3">
        <f t="shared" si="58"/>
        <v>0</v>
      </c>
      <c r="S968" s="3">
        <f t="shared" si="58"/>
        <v>0</v>
      </c>
      <c r="T968" s="3">
        <f t="shared" si="58"/>
        <v>0</v>
      </c>
      <c r="U968" s="3">
        <f t="shared" si="58"/>
        <v>0</v>
      </c>
      <c r="V968" s="3">
        <f t="shared" si="58"/>
        <v>0</v>
      </c>
      <c r="W968" s="3">
        <f t="shared" si="58"/>
        <v>0</v>
      </c>
      <c r="X968" s="3">
        <f t="shared" si="58"/>
        <v>0</v>
      </c>
      <c r="Y968" s="3">
        <f t="shared" si="58"/>
        <v>0</v>
      </c>
      <c r="Z968" s="3">
        <f t="shared" si="58"/>
        <v>0</v>
      </c>
      <c r="AA968" s="3">
        <f t="shared" si="58"/>
        <v>0</v>
      </c>
      <c r="AB968" s="3">
        <f t="shared" si="58"/>
        <v>0</v>
      </c>
      <c r="AC968" s="3">
        <f t="shared" si="58"/>
        <v>0</v>
      </c>
      <c r="AD968" s="3">
        <f t="shared" si="58"/>
        <v>0</v>
      </c>
      <c r="AE968" s="3">
        <f t="shared" si="58"/>
        <v>0</v>
      </c>
      <c r="AF968" s="3">
        <f t="shared" si="58"/>
        <v>0</v>
      </c>
      <c r="AG968" s="3">
        <f t="shared" si="58"/>
        <v>0</v>
      </c>
      <c r="AH968" s="3">
        <f t="shared" si="58"/>
        <v>0</v>
      </c>
      <c r="AI968" s="3">
        <f t="shared" si="58"/>
        <v>0</v>
      </c>
      <c r="AJ968" s="3">
        <f t="shared" si="58"/>
        <v>0</v>
      </c>
      <c r="AK968" s="3">
        <f t="shared" si="58"/>
        <v>0</v>
      </c>
      <c r="AL968" s="3">
        <f t="shared" si="58"/>
        <v>0</v>
      </c>
      <c r="AM968" s="3">
        <f t="shared" si="58"/>
        <v>0</v>
      </c>
      <c r="AN968" s="3">
        <f t="shared" si="58"/>
        <v>0</v>
      </c>
      <c r="AO968" s="3">
        <f t="shared" si="58"/>
        <v>0</v>
      </c>
      <c r="AP968" s="3">
        <f t="shared" si="58"/>
        <v>0</v>
      </c>
      <c r="AQ968" s="3">
        <f t="shared" si="58"/>
        <v>0</v>
      </c>
      <c r="AR968" s="3">
        <f t="shared" si="58"/>
        <v>0</v>
      </c>
      <c r="AS968" s="3">
        <f t="shared" si="58"/>
        <v>0</v>
      </c>
      <c r="AT968" s="3">
        <f t="shared" si="58"/>
        <v>0</v>
      </c>
      <c r="AU968" s="3">
        <f t="shared" si="58"/>
        <v>0</v>
      </c>
      <c r="AV968" s="3">
        <f t="shared" si="58"/>
        <v>0</v>
      </c>
      <c r="AW968" s="3">
        <f t="shared" si="58"/>
        <v>0</v>
      </c>
      <c r="AX968" s="3">
        <f t="shared" si="58"/>
        <v>0</v>
      </c>
      <c r="AY968" s="3">
        <f t="shared" si="58"/>
        <v>0</v>
      </c>
      <c r="AZ968" s="3">
        <f t="shared" si="58"/>
        <v>0</v>
      </c>
      <c r="BA968" s="3">
        <f t="shared" si="55"/>
        <v>0</v>
      </c>
    </row>
    <row r="969" spans="9:53">
      <c r="I969" s="288" t="str">
        <f t="shared" si="56"/>
        <v>WS-15</v>
      </c>
      <c r="J969" s="3">
        <f t="shared" si="58"/>
        <v>0</v>
      </c>
      <c r="K969" s="3">
        <f t="shared" si="58"/>
        <v>0</v>
      </c>
      <c r="L969" s="3">
        <f t="shared" si="58"/>
        <v>0</v>
      </c>
      <c r="M969" s="3">
        <f t="shared" si="58"/>
        <v>0</v>
      </c>
      <c r="N969" s="3">
        <f t="shared" si="58"/>
        <v>0</v>
      </c>
      <c r="O969" s="3">
        <f t="shared" si="58"/>
        <v>0</v>
      </c>
      <c r="P969" s="3">
        <f t="shared" si="58"/>
        <v>0</v>
      </c>
      <c r="Q969" s="3">
        <f t="shared" si="58"/>
        <v>0</v>
      </c>
      <c r="R969" s="3">
        <f t="shared" si="58"/>
        <v>0</v>
      </c>
      <c r="S969" s="3">
        <f t="shared" si="58"/>
        <v>0</v>
      </c>
      <c r="T969" s="3">
        <f t="shared" si="58"/>
        <v>0</v>
      </c>
      <c r="U969" s="3">
        <f t="shared" si="58"/>
        <v>0</v>
      </c>
      <c r="V969" s="3">
        <f t="shared" si="58"/>
        <v>0</v>
      </c>
      <c r="W969" s="3">
        <f t="shared" si="58"/>
        <v>0</v>
      </c>
      <c r="X969" s="3">
        <f t="shared" si="58"/>
        <v>0</v>
      </c>
      <c r="Y969" s="3">
        <f t="shared" si="58"/>
        <v>0</v>
      </c>
      <c r="Z969" s="3">
        <f t="shared" si="58"/>
        <v>0</v>
      </c>
      <c r="AA969" s="3">
        <f t="shared" si="58"/>
        <v>0</v>
      </c>
      <c r="AB969" s="3">
        <f t="shared" si="58"/>
        <v>0</v>
      </c>
      <c r="AC969" s="3">
        <f t="shared" si="58"/>
        <v>0</v>
      </c>
      <c r="AD969" s="3">
        <f t="shared" si="58"/>
        <v>0</v>
      </c>
      <c r="AE969" s="3">
        <f t="shared" si="58"/>
        <v>0</v>
      </c>
      <c r="AF969" s="3">
        <f t="shared" si="58"/>
        <v>0</v>
      </c>
      <c r="AG969" s="3">
        <f t="shared" si="58"/>
        <v>0</v>
      </c>
      <c r="AH969" s="3">
        <f t="shared" si="58"/>
        <v>0</v>
      </c>
      <c r="AI969" s="3">
        <f t="shared" si="58"/>
        <v>0</v>
      </c>
      <c r="AJ969" s="3">
        <f t="shared" si="58"/>
        <v>0</v>
      </c>
      <c r="AK969" s="3">
        <f t="shared" si="58"/>
        <v>0</v>
      </c>
      <c r="AL969" s="3">
        <f t="shared" si="58"/>
        <v>0</v>
      </c>
      <c r="AM969" s="3">
        <f t="shared" si="58"/>
        <v>0</v>
      </c>
      <c r="AN969" s="3">
        <f t="shared" si="58"/>
        <v>0</v>
      </c>
      <c r="AO969" s="3">
        <f t="shared" si="58"/>
        <v>0</v>
      </c>
      <c r="AP969" s="3">
        <f t="shared" si="58"/>
        <v>0</v>
      </c>
      <c r="AQ969" s="3">
        <f t="shared" si="58"/>
        <v>0</v>
      </c>
      <c r="AR969" s="3">
        <f t="shared" si="58"/>
        <v>0</v>
      </c>
      <c r="AS969" s="3">
        <f t="shared" si="58"/>
        <v>0</v>
      </c>
      <c r="AT969" s="3">
        <f t="shared" si="58"/>
        <v>0</v>
      </c>
      <c r="AU969" s="3">
        <f t="shared" si="58"/>
        <v>0</v>
      </c>
      <c r="AV969" s="3">
        <f t="shared" si="58"/>
        <v>0</v>
      </c>
      <c r="AW969" s="3">
        <f t="shared" si="58"/>
        <v>0</v>
      </c>
      <c r="AX969" s="3">
        <f t="shared" si="58"/>
        <v>0</v>
      </c>
      <c r="AY969" s="3">
        <f t="shared" si="58"/>
        <v>0</v>
      </c>
      <c r="AZ969" s="3">
        <f t="shared" si="58"/>
        <v>0</v>
      </c>
      <c r="BA969" s="3">
        <f t="shared" si="55"/>
        <v>0</v>
      </c>
    </row>
    <row r="970" spans="9:53">
      <c r="I970" s="288" t="str">
        <f t="shared" si="56"/>
        <v>WS-16</v>
      </c>
      <c r="J970" s="3">
        <f t="shared" si="58"/>
        <v>0</v>
      </c>
      <c r="K970" s="3">
        <f t="shared" si="58"/>
        <v>0</v>
      </c>
      <c r="L970" s="3">
        <f t="shared" si="58"/>
        <v>0</v>
      </c>
      <c r="M970" s="3">
        <f t="shared" si="58"/>
        <v>0</v>
      </c>
      <c r="N970" s="3">
        <f t="shared" si="58"/>
        <v>0</v>
      </c>
      <c r="O970" s="3">
        <f t="shared" si="58"/>
        <v>0</v>
      </c>
      <c r="P970" s="3">
        <f t="shared" si="58"/>
        <v>0</v>
      </c>
      <c r="Q970" s="3">
        <f t="shared" si="58"/>
        <v>0</v>
      </c>
      <c r="R970" s="3">
        <f t="shared" si="58"/>
        <v>0</v>
      </c>
      <c r="S970" s="3">
        <f t="shared" si="58"/>
        <v>0</v>
      </c>
      <c r="T970" s="3">
        <f t="shared" si="58"/>
        <v>0</v>
      </c>
      <c r="U970" s="3">
        <f t="shared" si="58"/>
        <v>0</v>
      </c>
      <c r="V970" s="3">
        <f t="shared" si="58"/>
        <v>0</v>
      </c>
      <c r="W970" s="3">
        <f t="shared" si="58"/>
        <v>0</v>
      </c>
      <c r="X970" s="3">
        <f t="shared" si="58"/>
        <v>0</v>
      </c>
      <c r="Y970" s="3">
        <f t="shared" si="58"/>
        <v>0</v>
      </c>
      <c r="Z970" s="3">
        <f t="shared" si="58"/>
        <v>0</v>
      </c>
      <c r="AA970" s="3">
        <f t="shared" si="58"/>
        <v>0</v>
      </c>
      <c r="AB970" s="3">
        <f t="shared" si="58"/>
        <v>0</v>
      </c>
      <c r="AC970" s="3">
        <f t="shared" si="58"/>
        <v>0</v>
      </c>
      <c r="AD970" s="3">
        <f t="shared" si="58"/>
        <v>0</v>
      </c>
      <c r="AE970" s="3">
        <f t="shared" si="58"/>
        <v>0</v>
      </c>
      <c r="AF970" s="3">
        <f t="shared" si="58"/>
        <v>0</v>
      </c>
      <c r="AG970" s="3">
        <f t="shared" si="58"/>
        <v>0</v>
      </c>
      <c r="AH970" s="3">
        <f t="shared" si="58"/>
        <v>0</v>
      </c>
      <c r="AI970" s="3">
        <f t="shared" si="58"/>
        <v>0</v>
      </c>
      <c r="AJ970" s="3">
        <f t="shared" si="58"/>
        <v>0</v>
      </c>
      <c r="AK970" s="3">
        <f t="shared" si="58"/>
        <v>0</v>
      </c>
      <c r="AL970" s="3">
        <f t="shared" si="58"/>
        <v>0</v>
      </c>
      <c r="AM970" s="3">
        <f t="shared" si="58"/>
        <v>0</v>
      </c>
      <c r="AN970" s="3">
        <f t="shared" si="58"/>
        <v>0</v>
      </c>
      <c r="AO970" s="3">
        <f t="shared" si="58"/>
        <v>0</v>
      </c>
      <c r="AP970" s="3">
        <f t="shared" si="58"/>
        <v>0</v>
      </c>
      <c r="AQ970" s="3">
        <f t="shared" si="58"/>
        <v>0</v>
      </c>
      <c r="AR970" s="3">
        <f t="shared" si="58"/>
        <v>0</v>
      </c>
      <c r="AS970" s="3">
        <f t="shared" si="58"/>
        <v>0</v>
      </c>
      <c r="AT970" s="3">
        <f t="shared" si="58"/>
        <v>0</v>
      </c>
      <c r="AU970" s="3">
        <f t="shared" si="58"/>
        <v>0</v>
      </c>
      <c r="AV970" s="3">
        <f t="shared" si="58"/>
        <v>0</v>
      </c>
      <c r="AW970" s="3">
        <f t="shared" si="58"/>
        <v>0</v>
      </c>
      <c r="AX970" s="3">
        <f t="shared" si="58"/>
        <v>0</v>
      </c>
      <c r="AY970" s="3">
        <f t="shared" si="58"/>
        <v>0</v>
      </c>
      <c r="AZ970" s="3">
        <f t="shared" si="58"/>
        <v>0</v>
      </c>
      <c r="BA970" s="3">
        <f t="shared" si="55"/>
        <v>0</v>
      </c>
    </row>
    <row r="971" spans="9:53">
      <c r="I971" s="288" t="str">
        <f t="shared" si="56"/>
        <v>WS-17</v>
      </c>
      <c r="J971" s="3">
        <f t="shared" si="58"/>
        <v>0</v>
      </c>
      <c r="K971" s="3">
        <f t="shared" si="58"/>
        <v>0</v>
      </c>
      <c r="L971" s="3">
        <f t="shared" si="58"/>
        <v>0</v>
      </c>
      <c r="M971" s="3">
        <f t="shared" si="58"/>
        <v>0</v>
      </c>
      <c r="N971" s="3">
        <f t="shared" si="58"/>
        <v>0</v>
      </c>
      <c r="O971" s="3">
        <f t="shared" si="58"/>
        <v>0</v>
      </c>
      <c r="P971" s="3">
        <f t="shared" si="58"/>
        <v>0</v>
      </c>
      <c r="Q971" s="3">
        <f t="shared" si="58"/>
        <v>0</v>
      </c>
      <c r="R971" s="3">
        <f t="shared" si="58"/>
        <v>0</v>
      </c>
      <c r="S971" s="3">
        <f t="shared" si="58"/>
        <v>0</v>
      </c>
      <c r="T971" s="3">
        <f t="shared" si="58"/>
        <v>0</v>
      </c>
      <c r="U971" s="3">
        <f t="shared" si="58"/>
        <v>0</v>
      </c>
      <c r="V971" s="3">
        <f t="shared" si="58"/>
        <v>0</v>
      </c>
      <c r="W971" s="3">
        <f t="shared" si="58"/>
        <v>0</v>
      </c>
      <c r="X971" s="3">
        <f t="shared" si="58"/>
        <v>0</v>
      </c>
      <c r="Y971" s="3">
        <f t="shared" si="58"/>
        <v>0</v>
      </c>
      <c r="Z971" s="3">
        <f t="shared" si="58"/>
        <v>0</v>
      </c>
      <c r="AA971" s="3">
        <f t="shared" si="58"/>
        <v>0</v>
      </c>
      <c r="AB971" s="3">
        <f t="shared" si="58"/>
        <v>0</v>
      </c>
      <c r="AC971" s="3">
        <f t="shared" si="58"/>
        <v>0</v>
      </c>
      <c r="AD971" s="3">
        <f t="shared" si="58"/>
        <v>0</v>
      </c>
      <c r="AE971" s="3">
        <f t="shared" si="58"/>
        <v>0</v>
      </c>
      <c r="AF971" s="3">
        <f t="shared" si="58"/>
        <v>0</v>
      </c>
      <c r="AG971" s="3">
        <f t="shared" si="58"/>
        <v>0</v>
      </c>
      <c r="AH971" s="3">
        <f t="shared" si="58"/>
        <v>0</v>
      </c>
      <c r="AI971" s="3">
        <f t="shared" si="58"/>
        <v>0</v>
      </c>
      <c r="AJ971" s="3">
        <f t="shared" si="58"/>
        <v>0</v>
      </c>
      <c r="AK971" s="3">
        <f t="shared" si="58"/>
        <v>0</v>
      </c>
      <c r="AL971" s="3">
        <f t="shared" si="58"/>
        <v>0</v>
      </c>
      <c r="AM971" s="3">
        <f t="shared" si="58"/>
        <v>0</v>
      </c>
      <c r="AN971" s="3">
        <f t="shared" si="58"/>
        <v>0</v>
      </c>
      <c r="AO971" s="3">
        <f t="shared" si="58"/>
        <v>0</v>
      </c>
      <c r="AP971" s="3">
        <f t="shared" si="58"/>
        <v>0</v>
      </c>
      <c r="AQ971" s="3">
        <f t="shared" si="58"/>
        <v>0</v>
      </c>
      <c r="AR971" s="3">
        <f t="shared" si="58"/>
        <v>0</v>
      </c>
      <c r="AS971" s="3">
        <f t="shared" si="58"/>
        <v>0</v>
      </c>
      <c r="AT971" s="3">
        <f t="shared" si="58"/>
        <v>0</v>
      </c>
      <c r="AU971" s="3">
        <f t="shared" si="58"/>
        <v>0</v>
      </c>
      <c r="AV971" s="3">
        <f t="shared" si="58"/>
        <v>0</v>
      </c>
      <c r="AW971" s="3">
        <f t="shared" si="58"/>
        <v>0</v>
      </c>
      <c r="AX971" s="3">
        <f t="shared" si="58"/>
        <v>0</v>
      </c>
      <c r="AY971" s="3">
        <f t="shared" si="58"/>
        <v>0</v>
      </c>
      <c r="AZ971" s="3">
        <f t="shared" si="58"/>
        <v>0</v>
      </c>
      <c r="BA971" s="3">
        <f t="shared" si="55"/>
        <v>0</v>
      </c>
    </row>
    <row r="972" spans="9:53">
      <c r="I972" s="288" t="str">
        <f t="shared" si="56"/>
        <v>WS-18</v>
      </c>
      <c r="J972" s="3">
        <f t="shared" si="58"/>
        <v>0</v>
      </c>
      <c r="K972" s="3">
        <f t="shared" si="58"/>
        <v>0</v>
      </c>
      <c r="L972" s="3">
        <f t="shared" si="58"/>
        <v>0</v>
      </c>
      <c r="M972" s="3">
        <f t="shared" si="58"/>
        <v>0</v>
      </c>
      <c r="N972" s="3">
        <f t="shared" si="58"/>
        <v>0</v>
      </c>
      <c r="O972" s="3">
        <f t="shared" si="58"/>
        <v>0</v>
      </c>
      <c r="P972" s="3">
        <f t="shared" si="58"/>
        <v>0</v>
      </c>
      <c r="Q972" s="3">
        <f t="shared" si="58"/>
        <v>0</v>
      </c>
      <c r="R972" s="3">
        <f t="shared" si="58"/>
        <v>0</v>
      </c>
      <c r="S972" s="3">
        <f t="shared" si="58"/>
        <v>0</v>
      </c>
      <c r="T972" s="3">
        <f t="shared" si="58"/>
        <v>0</v>
      </c>
      <c r="U972" s="3">
        <f t="shared" si="58"/>
        <v>0</v>
      </c>
      <c r="V972" s="3">
        <f t="shared" si="58"/>
        <v>0</v>
      </c>
      <c r="W972" s="3">
        <f t="shared" si="58"/>
        <v>0</v>
      </c>
      <c r="X972" s="3">
        <f t="shared" si="58"/>
        <v>0</v>
      </c>
      <c r="Y972" s="3">
        <f t="shared" si="58"/>
        <v>0</v>
      </c>
      <c r="Z972" s="3">
        <f t="shared" si="58"/>
        <v>0</v>
      </c>
      <c r="AA972" s="3">
        <f t="shared" si="58"/>
        <v>0</v>
      </c>
      <c r="AB972" s="3">
        <f t="shared" si="58"/>
        <v>0</v>
      </c>
      <c r="AC972" s="3">
        <f t="shared" si="58"/>
        <v>0</v>
      </c>
      <c r="AD972" s="3">
        <f t="shared" si="58"/>
        <v>0</v>
      </c>
      <c r="AE972" s="3">
        <f t="shared" si="58"/>
        <v>0</v>
      </c>
      <c r="AF972" s="3">
        <f t="shared" si="58"/>
        <v>0</v>
      </c>
      <c r="AG972" s="3">
        <f t="shared" si="58"/>
        <v>301684</v>
      </c>
      <c r="AH972" s="3">
        <f t="shared" si="58"/>
        <v>0</v>
      </c>
      <c r="AI972" s="3">
        <f t="shared" si="58"/>
        <v>0</v>
      </c>
      <c r="AJ972" s="3">
        <f t="shared" si="58"/>
        <v>0</v>
      </c>
      <c r="AK972" s="3">
        <f t="shared" si="58"/>
        <v>0</v>
      </c>
      <c r="AL972" s="3">
        <f t="shared" si="58"/>
        <v>0</v>
      </c>
      <c r="AM972" s="3">
        <f t="shared" si="58"/>
        <v>0</v>
      </c>
      <c r="AN972" s="3">
        <f t="shared" si="58"/>
        <v>0</v>
      </c>
      <c r="AO972" s="3">
        <f t="shared" si="58"/>
        <v>0</v>
      </c>
      <c r="AP972" s="3">
        <f t="shared" si="58"/>
        <v>0</v>
      </c>
      <c r="AQ972" s="3">
        <f t="shared" si="58"/>
        <v>0</v>
      </c>
      <c r="AR972" s="3">
        <f t="shared" ref="J972:AZ978" si="59">AR20+AR67+AR114+AR161+AR208+AR255+AR302+AR349+AR396+AR443+AR490+AR537+AR584+AR631+AR678+AR725</f>
        <v>0</v>
      </c>
      <c r="AS972" s="3">
        <f t="shared" si="59"/>
        <v>0</v>
      </c>
      <c r="AT972" s="3">
        <f t="shared" si="59"/>
        <v>0</v>
      </c>
      <c r="AU972" s="3">
        <f t="shared" si="59"/>
        <v>0</v>
      </c>
      <c r="AV972" s="3">
        <f t="shared" si="59"/>
        <v>0</v>
      </c>
      <c r="AW972" s="3">
        <f t="shared" si="59"/>
        <v>0</v>
      </c>
      <c r="AX972" s="3">
        <f t="shared" si="59"/>
        <v>0</v>
      </c>
      <c r="AY972" s="3">
        <f t="shared" si="59"/>
        <v>0</v>
      </c>
      <c r="AZ972" s="3">
        <f t="shared" si="59"/>
        <v>0</v>
      </c>
      <c r="BA972" s="3">
        <f t="shared" si="55"/>
        <v>0</v>
      </c>
    </row>
    <row r="973" spans="9:53">
      <c r="I973" s="288" t="str">
        <f t="shared" si="56"/>
        <v>WS-19</v>
      </c>
      <c r="J973" s="3">
        <f t="shared" si="59"/>
        <v>0</v>
      </c>
      <c r="K973" s="3">
        <f t="shared" si="59"/>
        <v>0</v>
      </c>
      <c r="L973" s="3">
        <f t="shared" si="59"/>
        <v>0</v>
      </c>
      <c r="M973" s="3">
        <f t="shared" si="59"/>
        <v>0</v>
      </c>
      <c r="N973" s="3">
        <f t="shared" si="59"/>
        <v>0</v>
      </c>
      <c r="O973" s="3">
        <f t="shared" si="59"/>
        <v>0</v>
      </c>
      <c r="P973" s="3">
        <f t="shared" si="59"/>
        <v>0</v>
      </c>
      <c r="Q973" s="3">
        <f t="shared" si="59"/>
        <v>0</v>
      </c>
      <c r="R973" s="3">
        <f t="shared" si="59"/>
        <v>0</v>
      </c>
      <c r="S973" s="3">
        <f t="shared" si="59"/>
        <v>0</v>
      </c>
      <c r="T973" s="3">
        <f t="shared" si="59"/>
        <v>0</v>
      </c>
      <c r="U973" s="3">
        <f t="shared" si="59"/>
        <v>0</v>
      </c>
      <c r="V973" s="3">
        <f t="shared" si="59"/>
        <v>0</v>
      </c>
      <c r="W973" s="3">
        <f t="shared" si="59"/>
        <v>0</v>
      </c>
      <c r="X973" s="3">
        <f t="shared" si="59"/>
        <v>0</v>
      </c>
      <c r="Y973" s="3">
        <f t="shared" si="59"/>
        <v>0</v>
      </c>
      <c r="Z973" s="3">
        <f t="shared" si="59"/>
        <v>0</v>
      </c>
      <c r="AA973" s="3">
        <f t="shared" si="59"/>
        <v>0</v>
      </c>
      <c r="AB973" s="3">
        <f t="shared" si="59"/>
        <v>0</v>
      </c>
      <c r="AC973" s="3">
        <f t="shared" si="59"/>
        <v>0</v>
      </c>
      <c r="AD973" s="3">
        <f t="shared" si="59"/>
        <v>0</v>
      </c>
      <c r="AE973" s="3">
        <f t="shared" si="59"/>
        <v>0</v>
      </c>
      <c r="AF973" s="3">
        <f t="shared" si="59"/>
        <v>0</v>
      </c>
      <c r="AG973" s="3">
        <f t="shared" si="59"/>
        <v>0</v>
      </c>
      <c r="AH973" s="3">
        <f t="shared" si="59"/>
        <v>0</v>
      </c>
      <c r="AI973" s="3">
        <f t="shared" si="59"/>
        <v>0</v>
      </c>
      <c r="AJ973" s="3">
        <f t="shared" si="59"/>
        <v>0</v>
      </c>
      <c r="AK973" s="3">
        <f t="shared" si="59"/>
        <v>0</v>
      </c>
      <c r="AL973" s="3">
        <f t="shared" si="59"/>
        <v>0</v>
      </c>
      <c r="AM973" s="3">
        <f t="shared" si="59"/>
        <v>0</v>
      </c>
      <c r="AN973" s="3">
        <f t="shared" si="59"/>
        <v>0</v>
      </c>
      <c r="AO973" s="3">
        <f t="shared" si="59"/>
        <v>0</v>
      </c>
      <c r="AP973" s="3">
        <f t="shared" si="59"/>
        <v>0</v>
      </c>
      <c r="AQ973" s="3">
        <f t="shared" si="59"/>
        <v>0</v>
      </c>
      <c r="AR973" s="3">
        <f t="shared" si="59"/>
        <v>0</v>
      </c>
      <c r="AS973" s="3">
        <f t="shared" si="59"/>
        <v>0</v>
      </c>
      <c r="AT973" s="3">
        <f t="shared" si="59"/>
        <v>0</v>
      </c>
      <c r="AU973" s="3">
        <f t="shared" si="59"/>
        <v>0</v>
      </c>
      <c r="AV973" s="3">
        <f t="shared" si="59"/>
        <v>0</v>
      </c>
      <c r="AW973" s="3">
        <f t="shared" si="59"/>
        <v>0</v>
      </c>
      <c r="AX973" s="3">
        <f t="shared" si="59"/>
        <v>0</v>
      </c>
      <c r="AY973" s="3">
        <f t="shared" si="59"/>
        <v>0</v>
      </c>
      <c r="AZ973" s="3">
        <f t="shared" si="59"/>
        <v>0</v>
      </c>
      <c r="BA973" s="3">
        <f t="shared" si="55"/>
        <v>0</v>
      </c>
    </row>
    <row r="974" spans="9:53">
      <c r="I974" s="288" t="str">
        <f t="shared" si="56"/>
        <v>WS-20</v>
      </c>
      <c r="J974" s="3">
        <f t="shared" si="59"/>
        <v>0</v>
      </c>
      <c r="K974" s="3">
        <f t="shared" si="59"/>
        <v>0</v>
      </c>
      <c r="L974" s="3">
        <f t="shared" si="59"/>
        <v>0</v>
      </c>
      <c r="M974" s="3">
        <f t="shared" si="59"/>
        <v>0</v>
      </c>
      <c r="N974" s="3">
        <f t="shared" si="59"/>
        <v>0</v>
      </c>
      <c r="O974" s="3">
        <f t="shared" si="59"/>
        <v>0</v>
      </c>
      <c r="P974" s="3">
        <f t="shared" si="59"/>
        <v>0</v>
      </c>
      <c r="Q974" s="3">
        <f t="shared" si="59"/>
        <v>0</v>
      </c>
      <c r="R974" s="3">
        <f t="shared" si="59"/>
        <v>0</v>
      </c>
      <c r="S974" s="3">
        <f t="shared" si="59"/>
        <v>0</v>
      </c>
      <c r="T974" s="3">
        <f t="shared" si="59"/>
        <v>0</v>
      </c>
      <c r="U974" s="3">
        <f t="shared" si="59"/>
        <v>0</v>
      </c>
      <c r="V974" s="3">
        <f t="shared" si="59"/>
        <v>0</v>
      </c>
      <c r="W974" s="3">
        <f t="shared" si="59"/>
        <v>0</v>
      </c>
      <c r="X974" s="3">
        <f t="shared" si="59"/>
        <v>0</v>
      </c>
      <c r="Y974" s="3">
        <f t="shared" si="59"/>
        <v>0</v>
      </c>
      <c r="Z974" s="3">
        <f t="shared" si="59"/>
        <v>0</v>
      </c>
      <c r="AA974" s="3">
        <f t="shared" si="59"/>
        <v>0</v>
      </c>
      <c r="AB974" s="3">
        <f t="shared" si="59"/>
        <v>0</v>
      </c>
      <c r="AC974" s="3">
        <f t="shared" si="59"/>
        <v>0</v>
      </c>
      <c r="AD974" s="3">
        <f t="shared" si="59"/>
        <v>0</v>
      </c>
      <c r="AE974" s="3">
        <f t="shared" si="59"/>
        <v>0</v>
      </c>
      <c r="AF974" s="3">
        <f t="shared" si="59"/>
        <v>0</v>
      </c>
      <c r="AG974" s="3">
        <f t="shared" si="59"/>
        <v>0</v>
      </c>
      <c r="AH974" s="3">
        <f t="shared" si="59"/>
        <v>0</v>
      </c>
      <c r="AI974" s="3">
        <f t="shared" si="59"/>
        <v>136301</v>
      </c>
      <c r="AJ974" s="3">
        <f t="shared" si="59"/>
        <v>0</v>
      </c>
      <c r="AK974" s="3">
        <f t="shared" si="59"/>
        <v>0</v>
      </c>
      <c r="AL974" s="3">
        <f t="shared" si="59"/>
        <v>0</v>
      </c>
      <c r="AM974" s="3">
        <f t="shared" si="59"/>
        <v>0</v>
      </c>
      <c r="AN974" s="3">
        <f t="shared" si="59"/>
        <v>0</v>
      </c>
      <c r="AO974" s="3">
        <f t="shared" si="59"/>
        <v>0</v>
      </c>
      <c r="AP974" s="3">
        <f t="shared" si="59"/>
        <v>0</v>
      </c>
      <c r="AQ974" s="3">
        <f t="shared" si="59"/>
        <v>0</v>
      </c>
      <c r="AR974" s="3">
        <f t="shared" si="59"/>
        <v>0</v>
      </c>
      <c r="AS974" s="3">
        <f t="shared" si="59"/>
        <v>0</v>
      </c>
      <c r="AT974" s="3">
        <f t="shared" si="59"/>
        <v>0</v>
      </c>
      <c r="AU974" s="3">
        <f t="shared" si="59"/>
        <v>0</v>
      </c>
      <c r="AV974" s="3">
        <f t="shared" si="59"/>
        <v>0</v>
      </c>
      <c r="AW974" s="3">
        <f t="shared" si="59"/>
        <v>0</v>
      </c>
      <c r="AX974" s="3">
        <f t="shared" si="59"/>
        <v>0</v>
      </c>
      <c r="AY974" s="3">
        <f t="shared" si="59"/>
        <v>0</v>
      </c>
      <c r="AZ974" s="3">
        <f t="shared" si="59"/>
        <v>0</v>
      </c>
      <c r="BA974" s="3">
        <f t="shared" si="55"/>
        <v>0</v>
      </c>
    </row>
    <row r="975" spans="9:53">
      <c r="I975" s="288" t="str">
        <f t="shared" si="56"/>
        <v>WS-21</v>
      </c>
      <c r="J975" s="3">
        <f t="shared" si="59"/>
        <v>0</v>
      </c>
      <c r="K975" s="3">
        <f t="shared" si="59"/>
        <v>0</v>
      </c>
      <c r="L975" s="3">
        <f t="shared" si="59"/>
        <v>0</v>
      </c>
      <c r="M975" s="3">
        <f t="shared" si="59"/>
        <v>0</v>
      </c>
      <c r="N975" s="3">
        <f t="shared" si="59"/>
        <v>0</v>
      </c>
      <c r="O975" s="3">
        <f t="shared" si="59"/>
        <v>0</v>
      </c>
      <c r="P975" s="3">
        <f t="shared" si="59"/>
        <v>0</v>
      </c>
      <c r="Q975" s="3">
        <f t="shared" si="59"/>
        <v>0</v>
      </c>
      <c r="R975" s="3">
        <f t="shared" si="59"/>
        <v>0</v>
      </c>
      <c r="S975" s="3">
        <f t="shared" si="59"/>
        <v>0</v>
      </c>
      <c r="T975" s="3">
        <f t="shared" si="59"/>
        <v>0</v>
      </c>
      <c r="U975" s="3">
        <f t="shared" si="59"/>
        <v>0</v>
      </c>
      <c r="V975" s="3">
        <f t="shared" si="59"/>
        <v>0</v>
      </c>
      <c r="W975" s="3">
        <f t="shared" si="59"/>
        <v>0</v>
      </c>
      <c r="X975" s="3">
        <f t="shared" si="59"/>
        <v>0</v>
      </c>
      <c r="Y975" s="3">
        <f t="shared" si="59"/>
        <v>0</v>
      </c>
      <c r="Z975" s="3">
        <f t="shared" si="59"/>
        <v>0</v>
      </c>
      <c r="AA975" s="3">
        <f t="shared" si="59"/>
        <v>0</v>
      </c>
      <c r="AB975" s="3">
        <f t="shared" si="59"/>
        <v>0</v>
      </c>
      <c r="AC975" s="3">
        <f t="shared" si="59"/>
        <v>0</v>
      </c>
      <c r="AD975" s="3">
        <f t="shared" si="59"/>
        <v>0</v>
      </c>
      <c r="AE975" s="3">
        <f t="shared" si="59"/>
        <v>0</v>
      </c>
      <c r="AF975" s="3">
        <f t="shared" si="59"/>
        <v>0</v>
      </c>
      <c r="AG975" s="3">
        <f t="shared" si="59"/>
        <v>0</v>
      </c>
      <c r="AH975" s="3">
        <f t="shared" si="59"/>
        <v>0</v>
      </c>
      <c r="AI975" s="3">
        <f t="shared" si="59"/>
        <v>0</v>
      </c>
      <c r="AJ975" s="3">
        <f t="shared" si="59"/>
        <v>0</v>
      </c>
      <c r="AK975" s="3">
        <f t="shared" si="59"/>
        <v>176193</v>
      </c>
      <c r="AL975" s="3">
        <f t="shared" si="59"/>
        <v>0</v>
      </c>
      <c r="AM975" s="3">
        <f t="shared" si="59"/>
        <v>0</v>
      </c>
      <c r="AN975" s="3">
        <f t="shared" si="59"/>
        <v>0</v>
      </c>
      <c r="AO975" s="3">
        <f t="shared" si="59"/>
        <v>0</v>
      </c>
      <c r="AP975" s="3">
        <f t="shared" si="59"/>
        <v>0</v>
      </c>
      <c r="AQ975" s="3">
        <f t="shared" si="59"/>
        <v>0</v>
      </c>
      <c r="AR975" s="3">
        <f t="shared" si="59"/>
        <v>0</v>
      </c>
      <c r="AS975" s="3">
        <f t="shared" si="59"/>
        <v>0</v>
      </c>
      <c r="AT975" s="3">
        <f t="shared" si="59"/>
        <v>0</v>
      </c>
      <c r="AU975" s="3">
        <f t="shared" si="59"/>
        <v>0</v>
      </c>
      <c r="AV975" s="3">
        <f t="shared" si="59"/>
        <v>0</v>
      </c>
      <c r="AW975" s="3">
        <f t="shared" si="59"/>
        <v>0</v>
      </c>
      <c r="AX975" s="3">
        <f t="shared" si="59"/>
        <v>0</v>
      </c>
      <c r="AY975" s="3">
        <f t="shared" si="59"/>
        <v>0</v>
      </c>
      <c r="AZ975" s="3">
        <f t="shared" si="59"/>
        <v>0</v>
      </c>
      <c r="BA975" s="3">
        <f t="shared" si="55"/>
        <v>0</v>
      </c>
    </row>
    <row r="976" spans="9:53">
      <c r="I976" s="288" t="str">
        <f t="shared" si="56"/>
        <v>WS-22</v>
      </c>
      <c r="J976" s="3">
        <f t="shared" si="59"/>
        <v>0</v>
      </c>
      <c r="K976" s="3">
        <f t="shared" si="59"/>
        <v>0</v>
      </c>
      <c r="L976" s="3">
        <f t="shared" si="59"/>
        <v>0</v>
      </c>
      <c r="M976" s="3">
        <f t="shared" si="59"/>
        <v>0</v>
      </c>
      <c r="N976" s="3">
        <f t="shared" si="59"/>
        <v>0</v>
      </c>
      <c r="O976" s="3">
        <f t="shared" si="59"/>
        <v>0</v>
      </c>
      <c r="P976" s="3">
        <f t="shared" si="59"/>
        <v>0</v>
      </c>
      <c r="Q976" s="3">
        <f t="shared" si="59"/>
        <v>0</v>
      </c>
      <c r="R976" s="3">
        <f t="shared" si="59"/>
        <v>0</v>
      </c>
      <c r="S976" s="3">
        <f t="shared" si="59"/>
        <v>0</v>
      </c>
      <c r="T976" s="3">
        <f t="shared" si="59"/>
        <v>0</v>
      </c>
      <c r="U976" s="3">
        <f t="shared" si="59"/>
        <v>0</v>
      </c>
      <c r="V976" s="3">
        <f t="shared" si="59"/>
        <v>0</v>
      </c>
      <c r="W976" s="3">
        <f t="shared" si="59"/>
        <v>0</v>
      </c>
      <c r="X976" s="3">
        <f t="shared" si="59"/>
        <v>0</v>
      </c>
      <c r="Y976" s="3">
        <f t="shared" si="59"/>
        <v>0</v>
      </c>
      <c r="Z976" s="3">
        <f t="shared" si="59"/>
        <v>0</v>
      </c>
      <c r="AA976" s="3">
        <f t="shared" si="59"/>
        <v>0</v>
      </c>
      <c r="AB976" s="3">
        <f t="shared" si="59"/>
        <v>0</v>
      </c>
      <c r="AC976" s="3">
        <f t="shared" si="59"/>
        <v>0</v>
      </c>
      <c r="AD976" s="3">
        <f t="shared" si="59"/>
        <v>0</v>
      </c>
      <c r="AE976" s="3">
        <f t="shared" si="59"/>
        <v>0</v>
      </c>
      <c r="AF976" s="3">
        <f t="shared" si="59"/>
        <v>0</v>
      </c>
      <c r="AG976" s="3">
        <f t="shared" si="59"/>
        <v>0</v>
      </c>
      <c r="AH976" s="3">
        <f t="shared" si="59"/>
        <v>0</v>
      </c>
      <c r="AI976" s="3">
        <f t="shared" si="59"/>
        <v>0</v>
      </c>
      <c r="AJ976" s="3">
        <f t="shared" si="59"/>
        <v>0</v>
      </c>
      <c r="AK976" s="3">
        <f t="shared" si="59"/>
        <v>0</v>
      </c>
      <c r="AL976" s="3">
        <f t="shared" si="59"/>
        <v>0</v>
      </c>
      <c r="AM976" s="3">
        <f t="shared" si="59"/>
        <v>0</v>
      </c>
      <c r="AN976" s="3">
        <f t="shared" si="59"/>
        <v>0</v>
      </c>
      <c r="AO976" s="3">
        <f t="shared" si="59"/>
        <v>0</v>
      </c>
      <c r="AP976" s="3">
        <f t="shared" si="59"/>
        <v>0</v>
      </c>
      <c r="AQ976" s="3">
        <f t="shared" si="59"/>
        <v>0</v>
      </c>
      <c r="AR976" s="3">
        <f t="shared" si="59"/>
        <v>0</v>
      </c>
      <c r="AS976" s="3">
        <f t="shared" si="59"/>
        <v>0</v>
      </c>
      <c r="AT976" s="3">
        <f t="shared" si="59"/>
        <v>0</v>
      </c>
      <c r="AU976" s="3">
        <f t="shared" si="59"/>
        <v>0</v>
      </c>
      <c r="AV976" s="3">
        <f t="shared" si="59"/>
        <v>0</v>
      </c>
      <c r="AW976" s="3">
        <f t="shared" si="59"/>
        <v>0</v>
      </c>
      <c r="AX976" s="3">
        <f t="shared" si="59"/>
        <v>0</v>
      </c>
      <c r="AY976" s="3">
        <f t="shared" si="59"/>
        <v>0</v>
      </c>
      <c r="AZ976" s="3">
        <f t="shared" si="59"/>
        <v>0</v>
      </c>
      <c r="BA976" s="3">
        <f t="shared" si="55"/>
        <v>0</v>
      </c>
    </row>
    <row r="977" spans="9:53">
      <c r="I977" s="288" t="str">
        <f t="shared" si="56"/>
        <v>WS-23</v>
      </c>
      <c r="J977" s="3">
        <f t="shared" si="59"/>
        <v>0</v>
      </c>
      <c r="K977" s="3">
        <f t="shared" si="59"/>
        <v>0</v>
      </c>
      <c r="L977" s="3">
        <f t="shared" si="59"/>
        <v>0</v>
      </c>
      <c r="M977" s="3">
        <f t="shared" si="59"/>
        <v>0</v>
      </c>
      <c r="N977" s="3">
        <f t="shared" si="59"/>
        <v>0</v>
      </c>
      <c r="O977" s="3">
        <f t="shared" si="59"/>
        <v>0</v>
      </c>
      <c r="P977" s="3">
        <f t="shared" si="59"/>
        <v>0</v>
      </c>
      <c r="Q977" s="3">
        <f t="shared" si="59"/>
        <v>0</v>
      </c>
      <c r="R977" s="3">
        <f t="shared" si="59"/>
        <v>0</v>
      </c>
      <c r="S977" s="3">
        <f t="shared" si="59"/>
        <v>0</v>
      </c>
      <c r="T977" s="3">
        <f t="shared" si="59"/>
        <v>0</v>
      </c>
      <c r="U977" s="3">
        <f t="shared" si="59"/>
        <v>0</v>
      </c>
      <c r="V977" s="3">
        <f t="shared" si="59"/>
        <v>0</v>
      </c>
      <c r="W977" s="3">
        <f t="shared" si="59"/>
        <v>0</v>
      </c>
      <c r="X977" s="3">
        <f t="shared" si="59"/>
        <v>0</v>
      </c>
      <c r="Y977" s="3">
        <f t="shared" si="59"/>
        <v>0</v>
      </c>
      <c r="Z977" s="3">
        <f t="shared" si="59"/>
        <v>0</v>
      </c>
      <c r="AA977" s="3">
        <f t="shared" si="59"/>
        <v>0</v>
      </c>
      <c r="AB977" s="3">
        <f t="shared" si="59"/>
        <v>0</v>
      </c>
      <c r="AC977" s="3">
        <f t="shared" si="59"/>
        <v>0</v>
      </c>
      <c r="AD977" s="3">
        <f t="shared" si="59"/>
        <v>0</v>
      </c>
      <c r="AE977" s="3">
        <f t="shared" si="59"/>
        <v>0</v>
      </c>
      <c r="AF977" s="3">
        <f t="shared" si="59"/>
        <v>0</v>
      </c>
      <c r="AG977" s="3">
        <f t="shared" si="59"/>
        <v>0</v>
      </c>
      <c r="AH977" s="3">
        <f t="shared" si="59"/>
        <v>0</v>
      </c>
      <c r="AI977" s="3">
        <f t="shared" si="59"/>
        <v>0</v>
      </c>
      <c r="AJ977" s="3">
        <f t="shared" si="59"/>
        <v>0</v>
      </c>
      <c r="AK977" s="3">
        <f t="shared" si="59"/>
        <v>0</v>
      </c>
      <c r="AL977" s="3">
        <f t="shared" si="59"/>
        <v>0</v>
      </c>
      <c r="AM977" s="3">
        <f t="shared" si="59"/>
        <v>0</v>
      </c>
      <c r="AN977" s="3">
        <f t="shared" si="59"/>
        <v>141224</v>
      </c>
      <c r="AO977" s="3">
        <f t="shared" si="59"/>
        <v>0</v>
      </c>
      <c r="AP977" s="3">
        <f t="shared" si="59"/>
        <v>0</v>
      </c>
      <c r="AQ977" s="3">
        <f t="shared" si="59"/>
        <v>0</v>
      </c>
      <c r="AR977" s="3">
        <f t="shared" si="59"/>
        <v>0</v>
      </c>
      <c r="AS977" s="3">
        <f t="shared" si="59"/>
        <v>0</v>
      </c>
      <c r="AT977" s="3">
        <f t="shared" si="59"/>
        <v>0</v>
      </c>
      <c r="AU977" s="3">
        <f t="shared" si="59"/>
        <v>0</v>
      </c>
      <c r="AV977" s="3">
        <f t="shared" si="59"/>
        <v>0</v>
      </c>
      <c r="AW977" s="3">
        <f t="shared" si="59"/>
        <v>0</v>
      </c>
      <c r="AX977" s="3">
        <f t="shared" si="59"/>
        <v>0</v>
      </c>
      <c r="AY977" s="3">
        <f t="shared" si="59"/>
        <v>0</v>
      </c>
      <c r="AZ977" s="3">
        <f t="shared" si="59"/>
        <v>0</v>
      </c>
      <c r="BA977" s="3">
        <f t="shared" si="55"/>
        <v>0</v>
      </c>
    </row>
    <row r="978" spans="9:53">
      <c r="I978" s="288" t="str">
        <f t="shared" si="56"/>
        <v>WS-24</v>
      </c>
      <c r="J978" s="3">
        <f t="shared" si="59"/>
        <v>0</v>
      </c>
      <c r="K978" s="3">
        <f t="shared" si="59"/>
        <v>0</v>
      </c>
      <c r="L978" s="3">
        <f t="shared" si="59"/>
        <v>0</v>
      </c>
      <c r="M978" s="3">
        <f t="shared" si="59"/>
        <v>0</v>
      </c>
      <c r="N978" s="3">
        <f t="shared" si="59"/>
        <v>0</v>
      </c>
      <c r="O978" s="3">
        <f t="shared" si="59"/>
        <v>0</v>
      </c>
      <c r="P978" s="3">
        <f t="shared" si="59"/>
        <v>0</v>
      </c>
      <c r="Q978" s="3">
        <f t="shared" si="59"/>
        <v>0</v>
      </c>
      <c r="R978" s="3">
        <f t="shared" si="59"/>
        <v>0</v>
      </c>
      <c r="S978" s="3">
        <f t="shared" si="59"/>
        <v>0</v>
      </c>
      <c r="T978" s="3">
        <f t="shared" si="59"/>
        <v>0</v>
      </c>
      <c r="U978" s="3">
        <f t="shared" si="59"/>
        <v>0</v>
      </c>
      <c r="V978" s="3">
        <f t="shared" si="59"/>
        <v>0</v>
      </c>
      <c r="W978" s="3">
        <f t="shared" si="59"/>
        <v>0</v>
      </c>
      <c r="X978" s="3">
        <f t="shared" si="59"/>
        <v>0</v>
      </c>
      <c r="Y978" s="3">
        <f t="shared" si="59"/>
        <v>0</v>
      </c>
      <c r="Z978" s="3">
        <f t="shared" si="59"/>
        <v>0</v>
      </c>
      <c r="AA978" s="3">
        <f t="shared" si="59"/>
        <v>0</v>
      </c>
      <c r="AB978" s="3">
        <f t="shared" si="59"/>
        <v>0</v>
      </c>
      <c r="AC978" s="3">
        <f t="shared" si="59"/>
        <v>0</v>
      </c>
      <c r="AD978" s="3">
        <f t="shared" si="59"/>
        <v>0</v>
      </c>
      <c r="AE978" s="3">
        <f t="shared" si="59"/>
        <v>0</v>
      </c>
      <c r="AF978" s="3">
        <f t="shared" si="59"/>
        <v>0</v>
      </c>
      <c r="AG978" s="3">
        <f t="shared" si="59"/>
        <v>0</v>
      </c>
      <c r="AH978" s="3">
        <f t="shared" si="59"/>
        <v>0</v>
      </c>
      <c r="AI978" s="3">
        <f t="shared" si="59"/>
        <v>0</v>
      </c>
      <c r="AJ978" s="3">
        <f t="shared" si="59"/>
        <v>0</v>
      </c>
      <c r="AK978" s="3">
        <f t="shared" si="59"/>
        <v>0</v>
      </c>
      <c r="AL978" s="3">
        <f t="shared" si="59"/>
        <v>301684</v>
      </c>
      <c r="AM978" s="3">
        <f t="shared" si="59"/>
        <v>0</v>
      </c>
      <c r="AN978" s="3">
        <f t="shared" si="59"/>
        <v>0</v>
      </c>
      <c r="AO978" s="3">
        <f t="shared" ref="J978:AZ984" si="60">AO26+AO73+AO120+AO167+AO214+AO261+AO308+AO355+AO402+AO449+AO496+AO543+AO590+AO637+AO684+AO731</f>
        <v>0</v>
      </c>
      <c r="AP978" s="3">
        <f t="shared" si="60"/>
        <v>0</v>
      </c>
      <c r="AQ978" s="3">
        <f t="shared" si="60"/>
        <v>0</v>
      </c>
      <c r="AR978" s="3">
        <f t="shared" si="60"/>
        <v>0</v>
      </c>
      <c r="AS978" s="3">
        <f t="shared" si="60"/>
        <v>0</v>
      </c>
      <c r="AT978" s="3">
        <f t="shared" si="60"/>
        <v>0</v>
      </c>
      <c r="AU978" s="3">
        <f t="shared" si="60"/>
        <v>0</v>
      </c>
      <c r="AV978" s="3">
        <f t="shared" si="60"/>
        <v>0</v>
      </c>
      <c r="AW978" s="3">
        <f t="shared" si="60"/>
        <v>0</v>
      </c>
      <c r="AX978" s="3">
        <f t="shared" si="60"/>
        <v>0</v>
      </c>
      <c r="AY978" s="3">
        <f t="shared" si="60"/>
        <v>0</v>
      </c>
      <c r="AZ978" s="3">
        <f t="shared" si="60"/>
        <v>0</v>
      </c>
      <c r="BA978" s="3">
        <f t="shared" si="55"/>
        <v>0</v>
      </c>
    </row>
    <row r="979" spans="9:53">
      <c r="I979" s="288" t="str">
        <f t="shared" si="56"/>
        <v>WS-25</v>
      </c>
      <c r="J979" s="3">
        <f t="shared" si="60"/>
        <v>0</v>
      </c>
      <c r="K979" s="3">
        <f t="shared" si="60"/>
        <v>0</v>
      </c>
      <c r="L979" s="3">
        <f t="shared" si="60"/>
        <v>0</v>
      </c>
      <c r="M979" s="3">
        <f t="shared" si="60"/>
        <v>0</v>
      </c>
      <c r="N979" s="3">
        <f t="shared" si="60"/>
        <v>0</v>
      </c>
      <c r="O979" s="3">
        <f t="shared" si="60"/>
        <v>0</v>
      </c>
      <c r="P979" s="3">
        <f t="shared" si="60"/>
        <v>0</v>
      </c>
      <c r="Q979" s="3">
        <f t="shared" si="60"/>
        <v>0</v>
      </c>
      <c r="R979" s="3">
        <f t="shared" si="60"/>
        <v>0</v>
      </c>
      <c r="S979" s="3">
        <f t="shared" si="60"/>
        <v>0</v>
      </c>
      <c r="T979" s="3">
        <f t="shared" si="60"/>
        <v>0</v>
      </c>
      <c r="U979" s="3">
        <f t="shared" si="60"/>
        <v>0</v>
      </c>
      <c r="V979" s="3">
        <f t="shared" si="60"/>
        <v>0</v>
      </c>
      <c r="W979" s="3">
        <f t="shared" si="60"/>
        <v>0</v>
      </c>
      <c r="X979" s="3">
        <f t="shared" si="60"/>
        <v>0</v>
      </c>
      <c r="Y979" s="3">
        <f t="shared" si="60"/>
        <v>0</v>
      </c>
      <c r="Z979" s="3">
        <f t="shared" si="60"/>
        <v>0</v>
      </c>
      <c r="AA979" s="3">
        <f t="shared" si="60"/>
        <v>0</v>
      </c>
      <c r="AB979" s="3">
        <f t="shared" si="60"/>
        <v>0</v>
      </c>
      <c r="AC979" s="3">
        <f t="shared" si="60"/>
        <v>0</v>
      </c>
      <c r="AD979" s="3">
        <f t="shared" si="60"/>
        <v>0</v>
      </c>
      <c r="AE979" s="3">
        <f t="shared" si="60"/>
        <v>0</v>
      </c>
      <c r="AF979" s="3">
        <f t="shared" si="60"/>
        <v>0</v>
      </c>
      <c r="AG979" s="3">
        <f t="shared" si="60"/>
        <v>0</v>
      </c>
      <c r="AH979" s="3">
        <f t="shared" si="60"/>
        <v>0</v>
      </c>
      <c r="AI979" s="3">
        <f t="shared" si="60"/>
        <v>0</v>
      </c>
      <c r="AJ979" s="3">
        <f t="shared" si="60"/>
        <v>0</v>
      </c>
      <c r="AK979" s="3">
        <f t="shared" si="60"/>
        <v>0</v>
      </c>
      <c r="AL979" s="3">
        <f t="shared" si="60"/>
        <v>0</v>
      </c>
      <c r="AM979" s="3">
        <f t="shared" si="60"/>
        <v>0</v>
      </c>
      <c r="AN979" s="3">
        <f t="shared" si="60"/>
        <v>0</v>
      </c>
      <c r="AO979" s="3">
        <f t="shared" si="60"/>
        <v>0</v>
      </c>
      <c r="AP979" s="3">
        <f t="shared" si="60"/>
        <v>0</v>
      </c>
      <c r="AQ979" s="3">
        <f t="shared" si="60"/>
        <v>425244</v>
      </c>
      <c r="AR979" s="3">
        <f t="shared" si="60"/>
        <v>0</v>
      </c>
      <c r="AS979" s="3">
        <f t="shared" si="60"/>
        <v>0</v>
      </c>
      <c r="AT979" s="3">
        <f t="shared" si="60"/>
        <v>0</v>
      </c>
      <c r="AU979" s="3">
        <f t="shared" si="60"/>
        <v>0</v>
      </c>
      <c r="AV979" s="3">
        <f t="shared" si="60"/>
        <v>0</v>
      </c>
      <c r="AW979" s="3">
        <f t="shared" si="60"/>
        <v>0</v>
      </c>
      <c r="AX979" s="3">
        <f t="shared" si="60"/>
        <v>0</v>
      </c>
      <c r="AY979" s="3">
        <f t="shared" si="60"/>
        <v>0</v>
      </c>
      <c r="AZ979" s="3">
        <f t="shared" si="60"/>
        <v>0</v>
      </c>
      <c r="BA979" s="3">
        <f t="shared" si="55"/>
        <v>0</v>
      </c>
    </row>
    <row r="980" spans="9:53">
      <c r="I980" s="288" t="str">
        <f t="shared" si="56"/>
        <v>WS-26</v>
      </c>
      <c r="J980" s="3">
        <f t="shared" si="60"/>
        <v>0</v>
      </c>
      <c r="K980" s="3">
        <f t="shared" si="60"/>
        <v>0</v>
      </c>
      <c r="L980" s="3">
        <f t="shared" si="60"/>
        <v>0</v>
      </c>
      <c r="M980" s="3">
        <f t="shared" si="60"/>
        <v>0</v>
      </c>
      <c r="N980" s="3">
        <f t="shared" si="60"/>
        <v>0</v>
      </c>
      <c r="O980" s="3">
        <f t="shared" si="60"/>
        <v>0</v>
      </c>
      <c r="P980" s="3">
        <f t="shared" si="60"/>
        <v>0</v>
      </c>
      <c r="Q980" s="3">
        <f t="shared" si="60"/>
        <v>0</v>
      </c>
      <c r="R980" s="3">
        <f t="shared" si="60"/>
        <v>0</v>
      </c>
      <c r="S980" s="3">
        <f t="shared" si="60"/>
        <v>0</v>
      </c>
      <c r="T980" s="3">
        <f t="shared" si="60"/>
        <v>0</v>
      </c>
      <c r="U980" s="3">
        <f t="shared" si="60"/>
        <v>0</v>
      </c>
      <c r="V980" s="3">
        <f t="shared" si="60"/>
        <v>0</v>
      </c>
      <c r="W980" s="3">
        <f t="shared" si="60"/>
        <v>0</v>
      </c>
      <c r="X980" s="3">
        <f t="shared" si="60"/>
        <v>0</v>
      </c>
      <c r="Y980" s="3">
        <f t="shared" si="60"/>
        <v>0</v>
      </c>
      <c r="Z980" s="3">
        <f t="shared" si="60"/>
        <v>0</v>
      </c>
      <c r="AA980" s="3">
        <f t="shared" si="60"/>
        <v>0</v>
      </c>
      <c r="AB980" s="3">
        <f t="shared" si="60"/>
        <v>0</v>
      </c>
      <c r="AC980" s="3">
        <f t="shared" si="60"/>
        <v>0</v>
      </c>
      <c r="AD980" s="3">
        <f t="shared" si="60"/>
        <v>0</v>
      </c>
      <c r="AE980" s="3">
        <f t="shared" si="60"/>
        <v>0</v>
      </c>
      <c r="AF980" s="3">
        <f t="shared" si="60"/>
        <v>0</v>
      </c>
      <c r="AG980" s="3">
        <f t="shared" si="60"/>
        <v>0</v>
      </c>
      <c r="AH980" s="3">
        <f t="shared" si="60"/>
        <v>0</v>
      </c>
      <c r="AI980" s="3">
        <f t="shared" si="60"/>
        <v>0</v>
      </c>
      <c r="AJ980" s="3">
        <f t="shared" si="60"/>
        <v>0</v>
      </c>
      <c r="AK980" s="3">
        <f t="shared" si="60"/>
        <v>0</v>
      </c>
      <c r="AL980" s="3">
        <f t="shared" si="60"/>
        <v>0</v>
      </c>
      <c r="AM980" s="3">
        <f t="shared" si="60"/>
        <v>0</v>
      </c>
      <c r="AN980" s="3">
        <f t="shared" si="60"/>
        <v>0</v>
      </c>
      <c r="AO980" s="3">
        <f t="shared" si="60"/>
        <v>136301</v>
      </c>
      <c r="AP980" s="3">
        <f t="shared" si="60"/>
        <v>0</v>
      </c>
      <c r="AQ980" s="3">
        <f t="shared" si="60"/>
        <v>0</v>
      </c>
      <c r="AR980" s="3">
        <f t="shared" si="60"/>
        <v>0</v>
      </c>
      <c r="AS980" s="3">
        <f t="shared" si="60"/>
        <v>0</v>
      </c>
      <c r="AT980" s="3">
        <f t="shared" si="60"/>
        <v>0</v>
      </c>
      <c r="AU980" s="3">
        <f t="shared" si="60"/>
        <v>0</v>
      </c>
      <c r="AV980" s="3">
        <f t="shared" si="60"/>
        <v>0</v>
      </c>
      <c r="AW980" s="3">
        <f t="shared" si="60"/>
        <v>0</v>
      </c>
      <c r="AX980" s="3">
        <f t="shared" si="60"/>
        <v>0</v>
      </c>
      <c r="AY980" s="3">
        <f t="shared" si="60"/>
        <v>0</v>
      </c>
      <c r="AZ980" s="3">
        <f t="shared" si="60"/>
        <v>0</v>
      </c>
      <c r="BA980" s="3">
        <f t="shared" si="55"/>
        <v>0</v>
      </c>
    </row>
    <row r="981" spans="9:53">
      <c r="I981" s="288" t="str">
        <f t="shared" si="56"/>
        <v>WS-27</v>
      </c>
      <c r="J981" s="3">
        <f t="shared" si="60"/>
        <v>0</v>
      </c>
      <c r="K981" s="3">
        <f t="shared" si="60"/>
        <v>0</v>
      </c>
      <c r="L981" s="3">
        <f t="shared" si="60"/>
        <v>0</v>
      </c>
      <c r="M981" s="3">
        <f t="shared" si="60"/>
        <v>0</v>
      </c>
      <c r="N981" s="3">
        <f t="shared" si="60"/>
        <v>0</v>
      </c>
      <c r="O981" s="3">
        <f t="shared" si="60"/>
        <v>0</v>
      </c>
      <c r="P981" s="3">
        <f t="shared" si="60"/>
        <v>0</v>
      </c>
      <c r="Q981" s="3">
        <f t="shared" si="60"/>
        <v>0</v>
      </c>
      <c r="R981" s="3">
        <f t="shared" si="60"/>
        <v>0</v>
      </c>
      <c r="S981" s="3">
        <f t="shared" si="60"/>
        <v>0</v>
      </c>
      <c r="T981" s="3">
        <f t="shared" si="60"/>
        <v>0</v>
      </c>
      <c r="U981" s="3">
        <f t="shared" si="60"/>
        <v>0</v>
      </c>
      <c r="V981" s="3">
        <f t="shared" si="60"/>
        <v>0</v>
      </c>
      <c r="W981" s="3">
        <f t="shared" si="60"/>
        <v>0</v>
      </c>
      <c r="X981" s="3">
        <f t="shared" si="60"/>
        <v>0</v>
      </c>
      <c r="Y981" s="3">
        <f t="shared" si="60"/>
        <v>0</v>
      </c>
      <c r="Z981" s="3">
        <f t="shared" si="60"/>
        <v>0</v>
      </c>
      <c r="AA981" s="3">
        <f t="shared" si="60"/>
        <v>0</v>
      </c>
      <c r="AB981" s="3">
        <f t="shared" si="60"/>
        <v>0</v>
      </c>
      <c r="AC981" s="3">
        <f t="shared" si="60"/>
        <v>0</v>
      </c>
      <c r="AD981" s="3">
        <f t="shared" si="60"/>
        <v>0</v>
      </c>
      <c r="AE981" s="3">
        <f t="shared" si="60"/>
        <v>0</v>
      </c>
      <c r="AF981" s="3">
        <f t="shared" si="60"/>
        <v>0</v>
      </c>
      <c r="AG981" s="3">
        <f t="shared" si="60"/>
        <v>0</v>
      </c>
      <c r="AH981" s="3">
        <f t="shared" si="60"/>
        <v>0</v>
      </c>
      <c r="AI981" s="3">
        <f t="shared" si="60"/>
        <v>0</v>
      </c>
      <c r="AJ981" s="3">
        <f t="shared" si="60"/>
        <v>0</v>
      </c>
      <c r="AK981" s="3">
        <f t="shared" si="60"/>
        <v>0</v>
      </c>
      <c r="AL981" s="3">
        <f t="shared" si="60"/>
        <v>0</v>
      </c>
      <c r="AM981" s="3">
        <f t="shared" si="60"/>
        <v>0</v>
      </c>
      <c r="AN981" s="3">
        <f t="shared" si="60"/>
        <v>0</v>
      </c>
      <c r="AO981" s="3">
        <f t="shared" si="60"/>
        <v>176193</v>
      </c>
      <c r="AP981" s="3">
        <f t="shared" si="60"/>
        <v>0</v>
      </c>
      <c r="AQ981" s="3">
        <f t="shared" si="60"/>
        <v>0</v>
      </c>
      <c r="AR981" s="3">
        <f t="shared" si="60"/>
        <v>0</v>
      </c>
      <c r="AS981" s="3">
        <f t="shared" si="60"/>
        <v>0</v>
      </c>
      <c r="AT981" s="3">
        <f t="shared" si="60"/>
        <v>0</v>
      </c>
      <c r="AU981" s="3">
        <f t="shared" si="60"/>
        <v>0</v>
      </c>
      <c r="AV981" s="3">
        <f t="shared" si="60"/>
        <v>0</v>
      </c>
      <c r="AW981" s="3">
        <f t="shared" si="60"/>
        <v>0</v>
      </c>
      <c r="AX981" s="3">
        <f t="shared" si="60"/>
        <v>0</v>
      </c>
      <c r="AY981" s="3">
        <f t="shared" si="60"/>
        <v>0</v>
      </c>
      <c r="AZ981" s="3">
        <f t="shared" si="60"/>
        <v>0</v>
      </c>
      <c r="BA981" s="3">
        <f t="shared" si="55"/>
        <v>0</v>
      </c>
    </row>
    <row r="982" spans="9:53">
      <c r="I982" s="288" t="str">
        <f t="shared" si="56"/>
        <v>WS-28</v>
      </c>
      <c r="J982" s="3">
        <f t="shared" si="60"/>
        <v>0</v>
      </c>
      <c r="K982" s="3">
        <f t="shared" si="60"/>
        <v>0</v>
      </c>
      <c r="L982" s="3">
        <f t="shared" si="60"/>
        <v>0</v>
      </c>
      <c r="M982" s="3">
        <f t="shared" si="60"/>
        <v>0</v>
      </c>
      <c r="N982" s="3">
        <f t="shared" si="60"/>
        <v>0</v>
      </c>
      <c r="O982" s="3">
        <f t="shared" si="60"/>
        <v>0</v>
      </c>
      <c r="P982" s="3">
        <f t="shared" si="60"/>
        <v>0</v>
      </c>
      <c r="Q982" s="3">
        <f t="shared" si="60"/>
        <v>0</v>
      </c>
      <c r="R982" s="3">
        <f t="shared" si="60"/>
        <v>0</v>
      </c>
      <c r="S982" s="3">
        <f t="shared" si="60"/>
        <v>0</v>
      </c>
      <c r="T982" s="3">
        <f t="shared" si="60"/>
        <v>0</v>
      </c>
      <c r="U982" s="3">
        <f t="shared" si="60"/>
        <v>0</v>
      </c>
      <c r="V982" s="3">
        <f t="shared" si="60"/>
        <v>0</v>
      </c>
      <c r="W982" s="3">
        <f t="shared" si="60"/>
        <v>0</v>
      </c>
      <c r="X982" s="3">
        <f t="shared" si="60"/>
        <v>0</v>
      </c>
      <c r="Y982" s="3">
        <f t="shared" si="60"/>
        <v>0</v>
      </c>
      <c r="Z982" s="3">
        <f t="shared" si="60"/>
        <v>0</v>
      </c>
      <c r="AA982" s="3">
        <f t="shared" si="60"/>
        <v>0</v>
      </c>
      <c r="AB982" s="3">
        <f t="shared" si="60"/>
        <v>0</v>
      </c>
      <c r="AC982" s="3">
        <f t="shared" si="60"/>
        <v>0</v>
      </c>
      <c r="AD982" s="3">
        <f t="shared" si="60"/>
        <v>0</v>
      </c>
      <c r="AE982" s="3">
        <f t="shared" si="60"/>
        <v>0</v>
      </c>
      <c r="AF982" s="3">
        <f t="shared" si="60"/>
        <v>0</v>
      </c>
      <c r="AG982" s="3">
        <f t="shared" si="60"/>
        <v>0</v>
      </c>
      <c r="AH982" s="3">
        <f t="shared" si="60"/>
        <v>0</v>
      </c>
      <c r="AI982" s="3">
        <f t="shared" si="60"/>
        <v>0</v>
      </c>
      <c r="AJ982" s="3">
        <f t="shared" si="60"/>
        <v>176193</v>
      </c>
      <c r="AK982" s="3">
        <f t="shared" si="60"/>
        <v>0</v>
      </c>
      <c r="AL982" s="3">
        <f t="shared" si="60"/>
        <v>0</v>
      </c>
      <c r="AM982" s="3">
        <f t="shared" si="60"/>
        <v>0</v>
      </c>
      <c r="AN982" s="3">
        <f t="shared" si="60"/>
        <v>0</v>
      </c>
      <c r="AO982" s="3">
        <f t="shared" si="60"/>
        <v>0</v>
      </c>
      <c r="AP982" s="3">
        <f t="shared" si="60"/>
        <v>0</v>
      </c>
      <c r="AQ982" s="3">
        <f t="shared" si="60"/>
        <v>0</v>
      </c>
      <c r="AR982" s="3">
        <f t="shared" si="60"/>
        <v>0</v>
      </c>
      <c r="AS982" s="3">
        <f t="shared" si="60"/>
        <v>0</v>
      </c>
      <c r="AT982" s="3">
        <f t="shared" si="60"/>
        <v>0</v>
      </c>
      <c r="AU982" s="3">
        <f t="shared" si="60"/>
        <v>0</v>
      </c>
      <c r="AV982" s="3">
        <f t="shared" si="60"/>
        <v>0</v>
      </c>
      <c r="AW982" s="3">
        <f t="shared" si="60"/>
        <v>0</v>
      </c>
      <c r="AX982" s="3">
        <f t="shared" si="60"/>
        <v>0</v>
      </c>
      <c r="AY982" s="3">
        <f t="shared" si="60"/>
        <v>0</v>
      </c>
      <c r="AZ982" s="3">
        <f t="shared" si="60"/>
        <v>0</v>
      </c>
      <c r="BA982" s="3">
        <f t="shared" si="55"/>
        <v>0</v>
      </c>
    </row>
    <row r="983" spans="9:53">
      <c r="I983" s="288" t="str">
        <f t="shared" si="56"/>
        <v>WS-29</v>
      </c>
      <c r="J983" s="3">
        <f t="shared" si="60"/>
        <v>0</v>
      </c>
      <c r="K983" s="3">
        <f t="shared" si="60"/>
        <v>0</v>
      </c>
      <c r="L983" s="3">
        <f t="shared" si="60"/>
        <v>0</v>
      </c>
      <c r="M983" s="3">
        <f t="shared" si="60"/>
        <v>0</v>
      </c>
      <c r="N983" s="3">
        <f t="shared" si="60"/>
        <v>0</v>
      </c>
      <c r="O983" s="3">
        <f t="shared" si="60"/>
        <v>0</v>
      </c>
      <c r="P983" s="3">
        <f t="shared" si="60"/>
        <v>0</v>
      </c>
      <c r="Q983" s="3">
        <f t="shared" si="60"/>
        <v>0</v>
      </c>
      <c r="R983" s="3">
        <f t="shared" si="60"/>
        <v>0</v>
      </c>
      <c r="S983" s="3">
        <f t="shared" si="60"/>
        <v>0</v>
      </c>
      <c r="T983" s="3">
        <f t="shared" si="60"/>
        <v>0</v>
      </c>
      <c r="U983" s="3">
        <f t="shared" si="60"/>
        <v>0</v>
      </c>
      <c r="V983" s="3">
        <f t="shared" si="60"/>
        <v>0</v>
      </c>
      <c r="W983" s="3">
        <f t="shared" si="60"/>
        <v>0</v>
      </c>
      <c r="X983" s="3">
        <f t="shared" si="60"/>
        <v>0</v>
      </c>
      <c r="Y983" s="3">
        <f t="shared" si="60"/>
        <v>0</v>
      </c>
      <c r="Z983" s="3">
        <f t="shared" si="60"/>
        <v>0</v>
      </c>
      <c r="AA983" s="3">
        <f t="shared" si="60"/>
        <v>0</v>
      </c>
      <c r="AB983" s="3">
        <f t="shared" si="60"/>
        <v>0</v>
      </c>
      <c r="AC983" s="3">
        <f t="shared" si="60"/>
        <v>0</v>
      </c>
      <c r="AD983" s="3">
        <f t="shared" si="60"/>
        <v>0</v>
      </c>
      <c r="AE983" s="3">
        <f t="shared" si="60"/>
        <v>0</v>
      </c>
      <c r="AF983" s="3">
        <f t="shared" si="60"/>
        <v>0</v>
      </c>
      <c r="AG983" s="3">
        <f t="shared" si="60"/>
        <v>0</v>
      </c>
      <c r="AH983" s="3">
        <f t="shared" si="60"/>
        <v>0</v>
      </c>
      <c r="AI983" s="3">
        <f t="shared" si="60"/>
        <v>0</v>
      </c>
      <c r="AJ983" s="3">
        <f t="shared" si="60"/>
        <v>0</v>
      </c>
      <c r="AK983" s="3">
        <f t="shared" si="60"/>
        <v>0</v>
      </c>
      <c r="AL983" s="3">
        <f t="shared" si="60"/>
        <v>0</v>
      </c>
      <c r="AM983" s="3">
        <f t="shared" si="60"/>
        <v>0</v>
      </c>
      <c r="AN983" s="3">
        <f t="shared" si="60"/>
        <v>0</v>
      </c>
      <c r="AO983" s="3">
        <f t="shared" si="60"/>
        <v>0</v>
      </c>
      <c r="AP983" s="3">
        <f t="shared" si="60"/>
        <v>301684</v>
      </c>
      <c r="AQ983" s="3">
        <f t="shared" si="60"/>
        <v>0</v>
      </c>
      <c r="AR983" s="3">
        <f t="shared" si="60"/>
        <v>0</v>
      </c>
      <c r="AS983" s="3">
        <f t="shared" si="60"/>
        <v>0</v>
      </c>
      <c r="AT983" s="3">
        <f t="shared" si="60"/>
        <v>0</v>
      </c>
      <c r="AU983" s="3">
        <f t="shared" si="60"/>
        <v>0</v>
      </c>
      <c r="AV983" s="3">
        <f t="shared" si="60"/>
        <v>0</v>
      </c>
      <c r="AW983" s="3">
        <f t="shared" si="60"/>
        <v>0</v>
      </c>
      <c r="AX983" s="3">
        <f t="shared" si="60"/>
        <v>0</v>
      </c>
      <c r="AY983" s="3">
        <f t="shared" si="60"/>
        <v>0</v>
      </c>
      <c r="AZ983" s="3">
        <f t="shared" si="60"/>
        <v>0</v>
      </c>
      <c r="BA983" s="3">
        <f t="shared" si="55"/>
        <v>0</v>
      </c>
    </row>
    <row r="984" spans="9:53">
      <c r="I984" s="288" t="str">
        <f t="shared" si="56"/>
        <v>WS-30</v>
      </c>
      <c r="J984" s="3">
        <f t="shared" si="60"/>
        <v>0</v>
      </c>
      <c r="K984" s="3">
        <f t="shared" si="60"/>
        <v>0</v>
      </c>
      <c r="L984" s="3">
        <f t="shared" si="60"/>
        <v>0</v>
      </c>
      <c r="M984" s="3">
        <f t="shared" si="60"/>
        <v>0</v>
      </c>
      <c r="N984" s="3">
        <f t="shared" si="60"/>
        <v>0</v>
      </c>
      <c r="O984" s="3">
        <f t="shared" si="60"/>
        <v>0</v>
      </c>
      <c r="P984" s="3">
        <f t="shared" si="60"/>
        <v>0</v>
      </c>
      <c r="Q984" s="3">
        <f t="shared" si="60"/>
        <v>0</v>
      </c>
      <c r="R984" s="3">
        <f t="shared" si="60"/>
        <v>0</v>
      </c>
      <c r="S984" s="3">
        <f t="shared" si="60"/>
        <v>0</v>
      </c>
      <c r="T984" s="3">
        <f t="shared" si="60"/>
        <v>0</v>
      </c>
      <c r="U984" s="3">
        <f t="shared" si="60"/>
        <v>0</v>
      </c>
      <c r="V984" s="3">
        <f t="shared" si="60"/>
        <v>0</v>
      </c>
      <c r="W984" s="3">
        <f t="shared" si="60"/>
        <v>0</v>
      </c>
      <c r="X984" s="3">
        <f t="shared" si="60"/>
        <v>0</v>
      </c>
      <c r="Y984" s="3">
        <f t="shared" si="60"/>
        <v>0</v>
      </c>
      <c r="Z984" s="3">
        <f t="shared" si="60"/>
        <v>0</v>
      </c>
      <c r="AA984" s="3">
        <f t="shared" si="60"/>
        <v>0</v>
      </c>
      <c r="AB984" s="3">
        <f t="shared" si="60"/>
        <v>0</v>
      </c>
      <c r="AC984" s="3">
        <f t="shared" si="60"/>
        <v>0</v>
      </c>
      <c r="AD984" s="3">
        <f t="shared" si="60"/>
        <v>0</v>
      </c>
      <c r="AE984" s="3">
        <f t="shared" si="60"/>
        <v>0</v>
      </c>
      <c r="AF984" s="3">
        <f t="shared" si="60"/>
        <v>0</v>
      </c>
      <c r="AG984" s="3">
        <f t="shared" si="60"/>
        <v>0</v>
      </c>
      <c r="AH984" s="3">
        <f t="shared" si="60"/>
        <v>0</v>
      </c>
      <c r="AI984" s="3">
        <f t="shared" si="60"/>
        <v>0</v>
      </c>
      <c r="AJ984" s="3">
        <f t="shared" si="60"/>
        <v>0</v>
      </c>
      <c r="AK984" s="3">
        <f t="shared" si="60"/>
        <v>0</v>
      </c>
      <c r="AL984" s="3">
        <f t="shared" ref="J984:AZ990" si="61">AL32+AL79+AL126+AL173+AL220+AL267+AL314+AL361+AL408+AL455+AL502+AL549+AL596+AL643+AL690+AL737</f>
        <v>0</v>
      </c>
      <c r="AM984" s="3">
        <f t="shared" si="61"/>
        <v>0</v>
      </c>
      <c r="AN984" s="3">
        <f t="shared" si="61"/>
        <v>0</v>
      </c>
      <c r="AO984" s="3">
        <f t="shared" si="61"/>
        <v>0</v>
      </c>
      <c r="AP984" s="3">
        <f t="shared" si="61"/>
        <v>0</v>
      </c>
      <c r="AQ984" s="3">
        <f t="shared" si="61"/>
        <v>0</v>
      </c>
      <c r="AR984" s="3">
        <f t="shared" si="61"/>
        <v>0</v>
      </c>
      <c r="AS984" s="3">
        <f t="shared" si="61"/>
        <v>0</v>
      </c>
      <c r="AT984" s="3">
        <f t="shared" si="61"/>
        <v>0</v>
      </c>
      <c r="AU984" s="3">
        <f t="shared" si="61"/>
        <v>0</v>
      </c>
      <c r="AV984" s="3">
        <f t="shared" si="61"/>
        <v>0</v>
      </c>
      <c r="AW984" s="3">
        <f t="shared" si="61"/>
        <v>0</v>
      </c>
      <c r="AX984" s="3">
        <f t="shared" si="61"/>
        <v>0</v>
      </c>
      <c r="AY984" s="3">
        <f t="shared" si="61"/>
        <v>0</v>
      </c>
      <c r="AZ984" s="3">
        <f t="shared" si="61"/>
        <v>0</v>
      </c>
      <c r="BA984" s="3">
        <f t="shared" si="55"/>
        <v>0</v>
      </c>
    </row>
    <row r="985" spans="9:53">
      <c r="I985" s="288" t="str">
        <f t="shared" si="56"/>
        <v>WS-31</v>
      </c>
      <c r="J985" s="3">
        <f t="shared" si="61"/>
        <v>0</v>
      </c>
      <c r="K985" s="3">
        <f t="shared" si="61"/>
        <v>0</v>
      </c>
      <c r="L985" s="3">
        <f t="shared" si="61"/>
        <v>0</v>
      </c>
      <c r="M985" s="3">
        <f t="shared" si="61"/>
        <v>0</v>
      </c>
      <c r="N985" s="3">
        <f t="shared" si="61"/>
        <v>0</v>
      </c>
      <c r="O985" s="3">
        <f t="shared" si="61"/>
        <v>0</v>
      </c>
      <c r="P985" s="3">
        <f t="shared" si="61"/>
        <v>0</v>
      </c>
      <c r="Q985" s="3">
        <f t="shared" si="61"/>
        <v>0</v>
      </c>
      <c r="R985" s="3">
        <f t="shared" si="61"/>
        <v>0</v>
      </c>
      <c r="S985" s="3">
        <f t="shared" si="61"/>
        <v>0</v>
      </c>
      <c r="T985" s="3">
        <f t="shared" si="61"/>
        <v>0</v>
      </c>
      <c r="U985" s="3">
        <f t="shared" si="61"/>
        <v>0</v>
      </c>
      <c r="V985" s="3">
        <f t="shared" si="61"/>
        <v>0</v>
      </c>
      <c r="W985" s="3">
        <f t="shared" si="61"/>
        <v>0</v>
      </c>
      <c r="X985" s="3">
        <f t="shared" si="61"/>
        <v>0</v>
      </c>
      <c r="Y985" s="3">
        <f t="shared" si="61"/>
        <v>0</v>
      </c>
      <c r="Z985" s="3">
        <f t="shared" si="61"/>
        <v>0</v>
      </c>
      <c r="AA985" s="3">
        <f t="shared" si="61"/>
        <v>0</v>
      </c>
      <c r="AB985" s="3">
        <f t="shared" si="61"/>
        <v>0</v>
      </c>
      <c r="AC985" s="3">
        <f t="shared" si="61"/>
        <v>0</v>
      </c>
      <c r="AD985" s="3">
        <f t="shared" si="61"/>
        <v>0</v>
      </c>
      <c r="AE985" s="3">
        <f t="shared" si="61"/>
        <v>0</v>
      </c>
      <c r="AF985" s="3">
        <f t="shared" si="61"/>
        <v>0</v>
      </c>
      <c r="AG985" s="3">
        <f t="shared" si="61"/>
        <v>0</v>
      </c>
      <c r="AH985" s="3">
        <f t="shared" si="61"/>
        <v>0</v>
      </c>
      <c r="AI985" s="3">
        <f t="shared" si="61"/>
        <v>0</v>
      </c>
      <c r="AJ985" s="3">
        <f t="shared" si="61"/>
        <v>0</v>
      </c>
      <c r="AK985" s="3">
        <f t="shared" si="61"/>
        <v>0</v>
      </c>
      <c r="AL985" s="3">
        <f t="shared" si="61"/>
        <v>0</v>
      </c>
      <c r="AM985" s="3">
        <f t="shared" si="61"/>
        <v>0</v>
      </c>
      <c r="AN985" s="3">
        <f t="shared" si="61"/>
        <v>0</v>
      </c>
      <c r="AO985" s="3">
        <f t="shared" si="61"/>
        <v>141224</v>
      </c>
      <c r="AP985" s="3">
        <f t="shared" si="61"/>
        <v>0</v>
      </c>
      <c r="AQ985" s="3">
        <f t="shared" si="61"/>
        <v>0</v>
      </c>
      <c r="AR985" s="3">
        <f t="shared" si="61"/>
        <v>0</v>
      </c>
      <c r="AS985" s="3">
        <f t="shared" si="61"/>
        <v>0</v>
      </c>
      <c r="AT985" s="3">
        <f t="shared" si="61"/>
        <v>0</v>
      </c>
      <c r="AU985" s="3">
        <f t="shared" si="61"/>
        <v>0</v>
      </c>
      <c r="AV985" s="3">
        <f t="shared" si="61"/>
        <v>0</v>
      </c>
      <c r="AW985" s="3">
        <f t="shared" si="61"/>
        <v>0</v>
      </c>
      <c r="AX985" s="3">
        <f t="shared" si="61"/>
        <v>0</v>
      </c>
      <c r="AY985" s="3">
        <f t="shared" si="61"/>
        <v>0</v>
      </c>
      <c r="AZ985" s="3">
        <f t="shared" si="61"/>
        <v>0</v>
      </c>
      <c r="BA985" s="3">
        <f t="shared" si="55"/>
        <v>0</v>
      </c>
    </row>
    <row r="986" spans="9:53">
      <c r="I986" s="288" t="str">
        <f t="shared" si="56"/>
        <v>WS-32</v>
      </c>
      <c r="J986" s="3">
        <f t="shared" si="61"/>
        <v>0</v>
      </c>
      <c r="K986" s="3">
        <f t="shared" si="61"/>
        <v>0</v>
      </c>
      <c r="L986" s="3">
        <f t="shared" si="61"/>
        <v>0</v>
      </c>
      <c r="M986" s="3">
        <f t="shared" si="61"/>
        <v>0</v>
      </c>
      <c r="N986" s="3">
        <f t="shared" si="61"/>
        <v>0</v>
      </c>
      <c r="O986" s="3">
        <f t="shared" si="61"/>
        <v>0</v>
      </c>
      <c r="P986" s="3">
        <f t="shared" si="61"/>
        <v>0</v>
      </c>
      <c r="Q986" s="3">
        <f t="shared" si="61"/>
        <v>0</v>
      </c>
      <c r="R986" s="3">
        <f t="shared" si="61"/>
        <v>0</v>
      </c>
      <c r="S986" s="3">
        <f t="shared" si="61"/>
        <v>0</v>
      </c>
      <c r="T986" s="3">
        <f t="shared" si="61"/>
        <v>0</v>
      </c>
      <c r="U986" s="3">
        <f t="shared" si="61"/>
        <v>0</v>
      </c>
      <c r="V986" s="3">
        <f t="shared" si="61"/>
        <v>0</v>
      </c>
      <c r="W986" s="3">
        <f t="shared" si="61"/>
        <v>0</v>
      </c>
      <c r="X986" s="3">
        <f t="shared" si="61"/>
        <v>0</v>
      </c>
      <c r="Y986" s="3">
        <f t="shared" si="61"/>
        <v>0</v>
      </c>
      <c r="Z986" s="3">
        <f t="shared" si="61"/>
        <v>0</v>
      </c>
      <c r="AA986" s="3">
        <f t="shared" si="61"/>
        <v>0</v>
      </c>
      <c r="AB986" s="3">
        <f t="shared" si="61"/>
        <v>0</v>
      </c>
      <c r="AC986" s="3">
        <f t="shared" si="61"/>
        <v>0</v>
      </c>
      <c r="AD986" s="3">
        <f t="shared" si="61"/>
        <v>0</v>
      </c>
      <c r="AE986" s="3">
        <f t="shared" si="61"/>
        <v>0</v>
      </c>
      <c r="AF986" s="3">
        <f t="shared" si="61"/>
        <v>0</v>
      </c>
      <c r="AG986" s="3">
        <f t="shared" si="61"/>
        <v>0</v>
      </c>
      <c r="AH986" s="3">
        <f t="shared" si="61"/>
        <v>0</v>
      </c>
      <c r="AI986" s="3">
        <f t="shared" si="61"/>
        <v>0</v>
      </c>
      <c r="AJ986" s="3">
        <f t="shared" si="61"/>
        <v>0</v>
      </c>
      <c r="AK986" s="3">
        <f t="shared" si="61"/>
        <v>0</v>
      </c>
      <c r="AL986" s="3">
        <f t="shared" si="61"/>
        <v>0</v>
      </c>
      <c r="AM986" s="3">
        <f t="shared" si="61"/>
        <v>0</v>
      </c>
      <c r="AN986" s="3">
        <f t="shared" si="61"/>
        <v>0</v>
      </c>
      <c r="AO986" s="3">
        <f t="shared" si="61"/>
        <v>0</v>
      </c>
      <c r="AP986" s="3">
        <f t="shared" si="61"/>
        <v>0</v>
      </c>
      <c r="AQ986" s="3">
        <f t="shared" si="61"/>
        <v>0</v>
      </c>
      <c r="AR986" s="3">
        <f t="shared" si="61"/>
        <v>0</v>
      </c>
      <c r="AS986" s="3">
        <f t="shared" si="61"/>
        <v>0</v>
      </c>
      <c r="AT986" s="3">
        <f t="shared" si="61"/>
        <v>0</v>
      </c>
      <c r="AU986" s="3">
        <f t="shared" si="61"/>
        <v>0</v>
      </c>
      <c r="AV986" s="3">
        <f t="shared" si="61"/>
        <v>0</v>
      </c>
      <c r="AW986" s="3">
        <f t="shared" si="61"/>
        <v>0</v>
      </c>
      <c r="AX986" s="3">
        <f t="shared" si="61"/>
        <v>0</v>
      </c>
      <c r="AY986" s="3">
        <f t="shared" si="61"/>
        <v>86542</v>
      </c>
      <c r="AZ986" s="3">
        <f t="shared" si="61"/>
        <v>0</v>
      </c>
      <c r="BA986" s="3">
        <f t="shared" si="55"/>
        <v>367176</v>
      </c>
    </row>
    <row r="987" spans="9:53">
      <c r="I987" s="288" t="str">
        <f t="shared" si="56"/>
        <v>WS-33</v>
      </c>
      <c r="J987" s="3">
        <f t="shared" si="61"/>
        <v>0</v>
      </c>
      <c r="K987" s="3">
        <f t="shared" si="61"/>
        <v>0</v>
      </c>
      <c r="L987" s="3">
        <f t="shared" si="61"/>
        <v>0</v>
      </c>
      <c r="M987" s="3">
        <f t="shared" si="61"/>
        <v>0</v>
      </c>
      <c r="N987" s="3">
        <f t="shared" si="61"/>
        <v>0</v>
      </c>
      <c r="O987" s="3">
        <f t="shared" si="61"/>
        <v>0</v>
      </c>
      <c r="P987" s="3">
        <f t="shared" si="61"/>
        <v>0</v>
      </c>
      <c r="Q987" s="3">
        <f t="shared" si="61"/>
        <v>0</v>
      </c>
      <c r="R987" s="3">
        <f t="shared" si="61"/>
        <v>0</v>
      </c>
      <c r="S987" s="3">
        <f t="shared" si="61"/>
        <v>0</v>
      </c>
      <c r="T987" s="3">
        <f t="shared" si="61"/>
        <v>0</v>
      </c>
      <c r="U987" s="3">
        <f t="shared" si="61"/>
        <v>0</v>
      </c>
      <c r="V987" s="3">
        <f t="shared" si="61"/>
        <v>0</v>
      </c>
      <c r="W987" s="3">
        <f t="shared" si="61"/>
        <v>0</v>
      </c>
      <c r="X987" s="3">
        <f t="shared" si="61"/>
        <v>0</v>
      </c>
      <c r="Y987" s="3">
        <f t="shared" si="61"/>
        <v>0</v>
      </c>
      <c r="Z987" s="3">
        <f t="shared" si="61"/>
        <v>0</v>
      </c>
      <c r="AA987" s="3">
        <f t="shared" si="61"/>
        <v>0</v>
      </c>
      <c r="AB987" s="3">
        <f t="shared" si="61"/>
        <v>0</v>
      </c>
      <c r="AC987" s="3">
        <f t="shared" si="61"/>
        <v>0</v>
      </c>
      <c r="AD987" s="3">
        <f t="shared" si="61"/>
        <v>0</v>
      </c>
      <c r="AE987" s="3">
        <f t="shared" si="61"/>
        <v>0</v>
      </c>
      <c r="AF987" s="3">
        <f t="shared" si="61"/>
        <v>0</v>
      </c>
      <c r="AG987" s="3">
        <f t="shared" si="61"/>
        <v>0</v>
      </c>
      <c r="AH987" s="3">
        <f t="shared" si="61"/>
        <v>0</v>
      </c>
      <c r="AI987" s="3">
        <f t="shared" si="61"/>
        <v>0</v>
      </c>
      <c r="AJ987" s="3">
        <f t="shared" si="61"/>
        <v>0</v>
      </c>
      <c r="AK987" s="3">
        <f t="shared" si="61"/>
        <v>0</v>
      </c>
      <c r="AL987" s="3">
        <f t="shared" si="61"/>
        <v>0</v>
      </c>
      <c r="AM987" s="3">
        <f t="shared" si="61"/>
        <v>0</v>
      </c>
      <c r="AN987" s="3">
        <f t="shared" si="61"/>
        <v>0</v>
      </c>
      <c r="AO987" s="3">
        <f t="shared" si="61"/>
        <v>0</v>
      </c>
      <c r="AP987" s="3">
        <f t="shared" si="61"/>
        <v>0</v>
      </c>
      <c r="AQ987" s="3">
        <f t="shared" si="61"/>
        <v>0</v>
      </c>
      <c r="AR987" s="3">
        <f t="shared" si="61"/>
        <v>0</v>
      </c>
      <c r="AS987" s="3">
        <f t="shared" si="61"/>
        <v>0</v>
      </c>
      <c r="AT987" s="3">
        <f t="shared" si="61"/>
        <v>0</v>
      </c>
      <c r="AU987" s="3">
        <f t="shared" si="61"/>
        <v>0</v>
      </c>
      <c r="AV987" s="3">
        <f t="shared" si="61"/>
        <v>0</v>
      </c>
      <c r="AW987" s="3">
        <f t="shared" si="61"/>
        <v>0</v>
      </c>
      <c r="AX987" s="3">
        <f t="shared" si="61"/>
        <v>0</v>
      </c>
      <c r="AY987" s="3">
        <f t="shared" si="61"/>
        <v>0</v>
      </c>
      <c r="AZ987" s="3">
        <f t="shared" si="61"/>
        <v>0</v>
      </c>
      <c r="BA987" s="3">
        <f t="shared" si="55"/>
        <v>301684</v>
      </c>
    </row>
    <row r="988" spans="9:53">
      <c r="I988" s="288" t="str">
        <f t="shared" si="56"/>
        <v>WS-34</v>
      </c>
      <c r="J988" s="3">
        <f t="shared" si="61"/>
        <v>0</v>
      </c>
      <c r="K988" s="3">
        <f t="shared" si="61"/>
        <v>0</v>
      </c>
      <c r="L988" s="3">
        <f t="shared" si="61"/>
        <v>0</v>
      </c>
      <c r="M988" s="3">
        <f t="shared" si="61"/>
        <v>0</v>
      </c>
      <c r="N988" s="3">
        <f t="shared" si="61"/>
        <v>0</v>
      </c>
      <c r="O988" s="3">
        <f t="shared" si="61"/>
        <v>0</v>
      </c>
      <c r="P988" s="3">
        <f t="shared" si="61"/>
        <v>0</v>
      </c>
      <c r="Q988" s="3">
        <f t="shared" si="61"/>
        <v>0</v>
      </c>
      <c r="R988" s="3">
        <f t="shared" si="61"/>
        <v>0</v>
      </c>
      <c r="S988" s="3">
        <f t="shared" si="61"/>
        <v>0</v>
      </c>
      <c r="T988" s="3">
        <f t="shared" si="61"/>
        <v>0</v>
      </c>
      <c r="U988" s="3">
        <f t="shared" si="61"/>
        <v>0</v>
      </c>
      <c r="V988" s="3">
        <f t="shared" si="61"/>
        <v>0</v>
      </c>
      <c r="W988" s="3">
        <f t="shared" si="61"/>
        <v>0</v>
      </c>
      <c r="X988" s="3">
        <f t="shared" si="61"/>
        <v>0</v>
      </c>
      <c r="Y988" s="3">
        <f t="shared" si="61"/>
        <v>0</v>
      </c>
      <c r="Z988" s="3">
        <f t="shared" si="61"/>
        <v>0</v>
      </c>
      <c r="AA988" s="3">
        <f t="shared" si="61"/>
        <v>0</v>
      </c>
      <c r="AB988" s="3">
        <f t="shared" si="61"/>
        <v>0</v>
      </c>
      <c r="AC988" s="3">
        <f t="shared" si="61"/>
        <v>0</v>
      </c>
      <c r="AD988" s="3">
        <f t="shared" si="61"/>
        <v>0</v>
      </c>
      <c r="AE988" s="3">
        <f t="shared" si="61"/>
        <v>0</v>
      </c>
      <c r="AF988" s="3">
        <f t="shared" si="61"/>
        <v>0</v>
      </c>
      <c r="AG988" s="3">
        <f t="shared" si="61"/>
        <v>0</v>
      </c>
      <c r="AH988" s="3">
        <f t="shared" si="61"/>
        <v>0</v>
      </c>
      <c r="AI988" s="3">
        <f t="shared" si="61"/>
        <v>0</v>
      </c>
      <c r="AJ988" s="3">
        <f t="shared" si="61"/>
        <v>0</v>
      </c>
      <c r="AK988" s="3">
        <f t="shared" si="61"/>
        <v>0</v>
      </c>
      <c r="AL988" s="3">
        <f t="shared" si="61"/>
        <v>0</v>
      </c>
      <c r="AM988" s="3">
        <f t="shared" si="61"/>
        <v>0</v>
      </c>
      <c r="AN988" s="3">
        <f t="shared" si="61"/>
        <v>0</v>
      </c>
      <c r="AO988" s="3">
        <f t="shared" si="61"/>
        <v>0</v>
      </c>
      <c r="AP988" s="3">
        <f t="shared" si="61"/>
        <v>0</v>
      </c>
      <c r="AQ988" s="3">
        <f t="shared" si="61"/>
        <v>0</v>
      </c>
      <c r="AR988" s="3">
        <f t="shared" si="61"/>
        <v>0</v>
      </c>
      <c r="AS988" s="3">
        <f t="shared" si="61"/>
        <v>0</v>
      </c>
      <c r="AT988" s="3">
        <f t="shared" si="61"/>
        <v>0</v>
      </c>
      <c r="AU988" s="3">
        <f t="shared" si="61"/>
        <v>0</v>
      </c>
      <c r="AV988" s="3">
        <f t="shared" si="61"/>
        <v>0</v>
      </c>
      <c r="AW988" s="3">
        <f t="shared" si="61"/>
        <v>0</v>
      </c>
      <c r="AX988" s="3">
        <f t="shared" si="61"/>
        <v>0</v>
      </c>
      <c r="AY988" s="3">
        <f t="shared" si="61"/>
        <v>0</v>
      </c>
      <c r="AZ988" s="3">
        <f t="shared" si="61"/>
        <v>0</v>
      </c>
      <c r="BA988" s="3">
        <f t="shared" si="55"/>
        <v>425244</v>
      </c>
    </row>
    <row r="989" spans="9:53">
      <c r="I989" s="288" t="str">
        <f t="shared" si="56"/>
        <v>WS-35</v>
      </c>
      <c r="J989" s="3">
        <f t="shared" si="61"/>
        <v>0</v>
      </c>
      <c r="K989" s="3">
        <f t="shared" si="61"/>
        <v>0</v>
      </c>
      <c r="L989" s="3">
        <f t="shared" si="61"/>
        <v>0</v>
      </c>
      <c r="M989" s="3">
        <f t="shared" si="61"/>
        <v>0</v>
      </c>
      <c r="N989" s="3">
        <f t="shared" si="61"/>
        <v>0</v>
      </c>
      <c r="O989" s="3">
        <f t="shared" si="61"/>
        <v>0</v>
      </c>
      <c r="P989" s="3">
        <f t="shared" si="61"/>
        <v>0</v>
      </c>
      <c r="Q989" s="3">
        <f t="shared" si="61"/>
        <v>0</v>
      </c>
      <c r="R989" s="3">
        <f t="shared" si="61"/>
        <v>0</v>
      </c>
      <c r="S989" s="3">
        <f t="shared" si="61"/>
        <v>0</v>
      </c>
      <c r="T989" s="3">
        <f t="shared" si="61"/>
        <v>0</v>
      </c>
      <c r="U989" s="3">
        <f t="shared" si="61"/>
        <v>0</v>
      </c>
      <c r="V989" s="3">
        <f t="shared" si="61"/>
        <v>0</v>
      </c>
      <c r="W989" s="3">
        <f t="shared" si="61"/>
        <v>0</v>
      </c>
      <c r="X989" s="3">
        <f t="shared" si="61"/>
        <v>0</v>
      </c>
      <c r="Y989" s="3">
        <f t="shared" si="61"/>
        <v>0</v>
      </c>
      <c r="Z989" s="3">
        <f t="shared" si="61"/>
        <v>0</v>
      </c>
      <c r="AA989" s="3">
        <f t="shared" si="61"/>
        <v>0</v>
      </c>
      <c r="AB989" s="3">
        <f t="shared" si="61"/>
        <v>0</v>
      </c>
      <c r="AC989" s="3">
        <f t="shared" si="61"/>
        <v>0</v>
      </c>
      <c r="AD989" s="3">
        <f t="shared" si="61"/>
        <v>0</v>
      </c>
      <c r="AE989" s="3">
        <f t="shared" si="61"/>
        <v>0</v>
      </c>
      <c r="AF989" s="3">
        <f t="shared" si="61"/>
        <v>0</v>
      </c>
      <c r="AG989" s="3">
        <f t="shared" si="61"/>
        <v>0</v>
      </c>
      <c r="AH989" s="3">
        <f t="shared" si="61"/>
        <v>0</v>
      </c>
      <c r="AI989" s="3">
        <f t="shared" si="61"/>
        <v>0</v>
      </c>
      <c r="AJ989" s="3">
        <f t="shared" si="61"/>
        <v>0</v>
      </c>
      <c r="AK989" s="3">
        <f t="shared" si="61"/>
        <v>0</v>
      </c>
      <c r="AL989" s="3">
        <f t="shared" si="61"/>
        <v>0</v>
      </c>
      <c r="AM989" s="3">
        <f t="shared" si="61"/>
        <v>0</v>
      </c>
      <c r="AN989" s="3">
        <f t="shared" si="61"/>
        <v>0</v>
      </c>
      <c r="AO989" s="3">
        <f t="shared" si="61"/>
        <v>0</v>
      </c>
      <c r="AP989" s="3">
        <f t="shared" si="61"/>
        <v>0</v>
      </c>
      <c r="AQ989" s="3">
        <f t="shared" si="61"/>
        <v>0</v>
      </c>
      <c r="AR989" s="3">
        <f t="shared" si="61"/>
        <v>0</v>
      </c>
      <c r="AS989" s="3">
        <f t="shared" si="61"/>
        <v>0</v>
      </c>
      <c r="AT989" s="3">
        <f t="shared" si="61"/>
        <v>0</v>
      </c>
      <c r="AU989" s="3">
        <f t="shared" si="61"/>
        <v>0</v>
      </c>
      <c r="AV989" s="3">
        <f t="shared" si="61"/>
        <v>0</v>
      </c>
      <c r="AW989" s="3">
        <f t="shared" si="61"/>
        <v>0</v>
      </c>
      <c r="AX989" s="3">
        <f t="shared" si="61"/>
        <v>0</v>
      </c>
      <c r="AY989" s="3">
        <f t="shared" si="61"/>
        <v>0</v>
      </c>
      <c r="AZ989" s="3">
        <f t="shared" si="61"/>
        <v>0</v>
      </c>
      <c r="BA989" s="3">
        <f t="shared" si="55"/>
        <v>0</v>
      </c>
    </row>
    <row r="990" spans="9:53">
      <c r="I990" s="288" t="str">
        <f t="shared" si="56"/>
        <v>WS-36</v>
      </c>
      <c r="J990" s="3">
        <f t="shared" si="61"/>
        <v>0</v>
      </c>
      <c r="K990" s="3">
        <f t="shared" si="61"/>
        <v>0</v>
      </c>
      <c r="L990" s="3">
        <f t="shared" si="61"/>
        <v>0</v>
      </c>
      <c r="M990" s="3">
        <f t="shared" si="61"/>
        <v>0</v>
      </c>
      <c r="N990" s="3">
        <f t="shared" si="61"/>
        <v>425244</v>
      </c>
      <c r="O990" s="3">
        <f t="shared" si="61"/>
        <v>0</v>
      </c>
      <c r="P990" s="3">
        <f t="shared" si="61"/>
        <v>0</v>
      </c>
      <c r="Q990" s="3">
        <f t="shared" si="61"/>
        <v>0</v>
      </c>
      <c r="R990" s="3">
        <f t="shared" si="61"/>
        <v>0</v>
      </c>
      <c r="S990" s="3">
        <f t="shared" si="61"/>
        <v>0</v>
      </c>
      <c r="T990" s="3">
        <f t="shared" si="61"/>
        <v>0</v>
      </c>
      <c r="U990" s="3">
        <f t="shared" si="61"/>
        <v>0</v>
      </c>
      <c r="V990" s="3">
        <f t="shared" si="61"/>
        <v>0</v>
      </c>
      <c r="W990" s="3">
        <f t="shared" si="61"/>
        <v>0</v>
      </c>
      <c r="X990" s="3">
        <f t="shared" si="61"/>
        <v>0</v>
      </c>
      <c r="Y990" s="3">
        <f t="shared" si="61"/>
        <v>0</v>
      </c>
      <c r="Z990" s="3">
        <f t="shared" si="61"/>
        <v>0</v>
      </c>
      <c r="AA990" s="3">
        <f t="shared" si="61"/>
        <v>0</v>
      </c>
      <c r="AB990" s="3">
        <f t="shared" si="61"/>
        <v>0</v>
      </c>
      <c r="AC990" s="3">
        <f t="shared" si="61"/>
        <v>0</v>
      </c>
      <c r="AD990" s="3">
        <f t="shared" si="61"/>
        <v>0</v>
      </c>
      <c r="AE990" s="3">
        <f t="shared" si="61"/>
        <v>0</v>
      </c>
      <c r="AF990" s="3">
        <f t="shared" si="61"/>
        <v>0</v>
      </c>
      <c r="AG990" s="3">
        <f t="shared" si="61"/>
        <v>0</v>
      </c>
      <c r="AH990" s="3">
        <f t="shared" si="61"/>
        <v>0</v>
      </c>
      <c r="AI990" s="3">
        <f t="shared" ref="J990:AZ996" si="62">AI38+AI85+AI132+AI179+AI226+AI273+AI320+AI367+AI414+AI461+AI508+AI555+AI602+AI649+AI696+AI743</f>
        <v>0</v>
      </c>
      <c r="AJ990" s="3">
        <f t="shared" si="62"/>
        <v>0</v>
      </c>
      <c r="AK990" s="3">
        <f t="shared" si="62"/>
        <v>0</v>
      </c>
      <c r="AL990" s="3">
        <f t="shared" si="62"/>
        <v>0</v>
      </c>
      <c r="AM990" s="3">
        <f t="shared" si="62"/>
        <v>0</v>
      </c>
      <c r="AN990" s="3">
        <f t="shared" si="62"/>
        <v>0</v>
      </c>
      <c r="AO990" s="3">
        <f t="shared" si="62"/>
        <v>0</v>
      </c>
      <c r="AP990" s="3">
        <f t="shared" si="62"/>
        <v>0</v>
      </c>
      <c r="AQ990" s="3">
        <f t="shared" si="62"/>
        <v>0</v>
      </c>
      <c r="AR990" s="3">
        <f t="shared" si="62"/>
        <v>0</v>
      </c>
      <c r="AS990" s="3">
        <f t="shared" si="62"/>
        <v>0</v>
      </c>
      <c r="AT990" s="3">
        <f t="shared" si="62"/>
        <v>0</v>
      </c>
      <c r="AU990" s="3">
        <f t="shared" si="62"/>
        <v>0</v>
      </c>
      <c r="AV990" s="3">
        <f t="shared" si="62"/>
        <v>0</v>
      </c>
      <c r="AW990" s="3">
        <f t="shared" si="62"/>
        <v>0</v>
      </c>
      <c r="AX990" s="3">
        <f t="shared" si="62"/>
        <v>0</v>
      </c>
      <c r="AY990" s="3">
        <f t="shared" si="62"/>
        <v>0</v>
      </c>
      <c r="AZ990" s="3">
        <f t="shared" si="62"/>
        <v>0</v>
      </c>
      <c r="BA990" s="3">
        <f t="shared" si="55"/>
        <v>0</v>
      </c>
    </row>
    <row r="991" spans="9:53">
      <c r="I991" s="288" t="str">
        <f t="shared" si="56"/>
        <v>WS-37</v>
      </c>
      <c r="J991" s="3">
        <f t="shared" si="62"/>
        <v>0</v>
      </c>
      <c r="K991" s="3">
        <f t="shared" si="62"/>
        <v>0</v>
      </c>
      <c r="L991" s="3">
        <f t="shared" si="62"/>
        <v>0</v>
      </c>
      <c r="M991" s="3">
        <f t="shared" si="62"/>
        <v>0</v>
      </c>
      <c r="N991" s="3">
        <f t="shared" si="62"/>
        <v>0</v>
      </c>
      <c r="O991" s="3">
        <f t="shared" si="62"/>
        <v>0</v>
      </c>
      <c r="P991" s="3">
        <f t="shared" si="62"/>
        <v>0</v>
      </c>
      <c r="Q991" s="3">
        <f t="shared" si="62"/>
        <v>0</v>
      </c>
      <c r="R991" s="3">
        <f t="shared" si="62"/>
        <v>0</v>
      </c>
      <c r="S991" s="3">
        <f t="shared" si="62"/>
        <v>0</v>
      </c>
      <c r="T991" s="3">
        <f t="shared" si="62"/>
        <v>0</v>
      </c>
      <c r="U991" s="3">
        <f t="shared" si="62"/>
        <v>0</v>
      </c>
      <c r="V991" s="3">
        <f t="shared" si="62"/>
        <v>0</v>
      </c>
      <c r="W991" s="3">
        <f t="shared" si="62"/>
        <v>0</v>
      </c>
      <c r="X991" s="3">
        <f t="shared" si="62"/>
        <v>0</v>
      </c>
      <c r="Y991" s="3">
        <f t="shared" si="62"/>
        <v>0</v>
      </c>
      <c r="Z991" s="3">
        <f t="shared" si="62"/>
        <v>0</v>
      </c>
      <c r="AA991" s="3">
        <f t="shared" si="62"/>
        <v>0</v>
      </c>
      <c r="AB991" s="3">
        <f t="shared" si="62"/>
        <v>0</v>
      </c>
      <c r="AC991" s="3">
        <f t="shared" si="62"/>
        <v>0</v>
      </c>
      <c r="AD991" s="3">
        <f t="shared" si="62"/>
        <v>0</v>
      </c>
      <c r="AE991" s="3">
        <f t="shared" si="62"/>
        <v>0</v>
      </c>
      <c r="AF991" s="3">
        <f t="shared" si="62"/>
        <v>0</v>
      </c>
      <c r="AG991" s="3">
        <f t="shared" si="62"/>
        <v>0</v>
      </c>
      <c r="AH991" s="3">
        <f t="shared" si="62"/>
        <v>0</v>
      </c>
      <c r="AI991" s="3">
        <f t="shared" si="62"/>
        <v>0</v>
      </c>
      <c r="AJ991" s="3">
        <f t="shared" si="62"/>
        <v>0</v>
      </c>
      <c r="AK991" s="3">
        <f t="shared" si="62"/>
        <v>0</v>
      </c>
      <c r="AL991" s="3">
        <f t="shared" si="62"/>
        <v>0</v>
      </c>
      <c r="AM991" s="3">
        <f t="shared" si="62"/>
        <v>0</v>
      </c>
      <c r="AN991" s="3">
        <f t="shared" si="62"/>
        <v>0</v>
      </c>
      <c r="AO991" s="3">
        <f t="shared" si="62"/>
        <v>0</v>
      </c>
      <c r="AP991" s="3">
        <f t="shared" si="62"/>
        <v>0</v>
      </c>
      <c r="AQ991" s="3">
        <f t="shared" si="62"/>
        <v>0</v>
      </c>
      <c r="AR991" s="3">
        <f t="shared" si="62"/>
        <v>0</v>
      </c>
      <c r="AS991" s="3">
        <f t="shared" si="62"/>
        <v>0</v>
      </c>
      <c r="AT991" s="3">
        <f t="shared" si="62"/>
        <v>0</v>
      </c>
      <c r="AU991" s="3">
        <f t="shared" si="62"/>
        <v>0</v>
      </c>
      <c r="AV991" s="3">
        <f t="shared" si="62"/>
        <v>0</v>
      </c>
      <c r="AW991" s="3">
        <f t="shared" si="62"/>
        <v>0</v>
      </c>
      <c r="AX991" s="3">
        <f t="shared" si="62"/>
        <v>0</v>
      </c>
      <c r="AY991" s="3">
        <f t="shared" si="62"/>
        <v>0</v>
      </c>
      <c r="AZ991" s="3">
        <f t="shared" si="62"/>
        <v>0</v>
      </c>
      <c r="BA991" s="3">
        <f t="shared" si="55"/>
        <v>0</v>
      </c>
    </row>
    <row r="992" spans="9:53">
      <c r="I992" s="288" t="str">
        <f t="shared" si="56"/>
        <v>WS-38</v>
      </c>
      <c r="J992" s="3">
        <f t="shared" si="62"/>
        <v>0</v>
      </c>
      <c r="K992" s="3">
        <f t="shared" si="62"/>
        <v>0</v>
      </c>
      <c r="L992" s="3">
        <f t="shared" si="62"/>
        <v>0</v>
      </c>
      <c r="M992" s="3">
        <f t="shared" si="62"/>
        <v>0</v>
      </c>
      <c r="N992" s="3">
        <f t="shared" si="62"/>
        <v>0</v>
      </c>
      <c r="O992" s="3">
        <f t="shared" si="62"/>
        <v>0</v>
      </c>
      <c r="P992" s="3">
        <f t="shared" si="62"/>
        <v>176193</v>
      </c>
      <c r="Q992" s="3">
        <f t="shared" si="62"/>
        <v>0</v>
      </c>
      <c r="R992" s="3">
        <f t="shared" si="62"/>
        <v>0</v>
      </c>
      <c r="S992" s="3">
        <f t="shared" si="62"/>
        <v>0</v>
      </c>
      <c r="T992" s="3">
        <f t="shared" si="62"/>
        <v>0</v>
      </c>
      <c r="U992" s="3">
        <f t="shared" si="62"/>
        <v>0</v>
      </c>
      <c r="V992" s="3">
        <f t="shared" si="62"/>
        <v>0</v>
      </c>
      <c r="W992" s="3">
        <f t="shared" si="62"/>
        <v>0</v>
      </c>
      <c r="X992" s="3">
        <f t="shared" si="62"/>
        <v>0</v>
      </c>
      <c r="Y992" s="3">
        <f t="shared" si="62"/>
        <v>0</v>
      </c>
      <c r="Z992" s="3">
        <f t="shared" si="62"/>
        <v>0</v>
      </c>
      <c r="AA992" s="3">
        <f t="shared" si="62"/>
        <v>0</v>
      </c>
      <c r="AB992" s="3">
        <f t="shared" si="62"/>
        <v>0</v>
      </c>
      <c r="AC992" s="3">
        <f t="shared" si="62"/>
        <v>0</v>
      </c>
      <c r="AD992" s="3">
        <f t="shared" si="62"/>
        <v>0</v>
      </c>
      <c r="AE992" s="3">
        <f t="shared" si="62"/>
        <v>0</v>
      </c>
      <c r="AF992" s="3">
        <f t="shared" si="62"/>
        <v>0</v>
      </c>
      <c r="AG992" s="3">
        <f t="shared" si="62"/>
        <v>0</v>
      </c>
      <c r="AH992" s="3">
        <f t="shared" si="62"/>
        <v>0</v>
      </c>
      <c r="AI992" s="3">
        <f t="shared" si="62"/>
        <v>0</v>
      </c>
      <c r="AJ992" s="3">
        <f t="shared" si="62"/>
        <v>0</v>
      </c>
      <c r="AK992" s="3">
        <f t="shared" si="62"/>
        <v>0</v>
      </c>
      <c r="AL992" s="3">
        <f t="shared" si="62"/>
        <v>0</v>
      </c>
      <c r="AM992" s="3">
        <f t="shared" si="62"/>
        <v>0</v>
      </c>
      <c r="AN992" s="3">
        <f t="shared" si="62"/>
        <v>0</v>
      </c>
      <c r="AO992" s="3">
        <f t="shared" si="62"/>
        <v>0</v>
      </c>
      <c r="AP992" s="3">
        <f t="shared" si="62"/>
        <v>0</v>
      </c>
      <c r="AQ992" s="3">
        <f t="shared" si="62"/>
        <v>0</v>
      </c>
      <c r="AR992" s="3">
        <f t="shared" si="62"/>
        <v>0</v>
      </c>
      <c r="AS992" s="3">
        <f t="shared" si="62"/>
        <v>0</v>
      </c>
      <c r="AT992" s="3">
        <f t="shared" si="62"/>
        <v>0</v>
      </c>
      <c r="AU992" s="3">
        <f t="shared" si="62"/>
        <v>0</v>
      </c>
      <c r="AV992" s="3">
        <f t="shared" si="62"/>
        <v>0</v>
      </c>
      <c r="AW992" s="3">
        <f t="shared" si="62"/>
        <v>0</v>
      </c>
      <c r="AX992" s="3">
        <f t="shared" si="62"/>
        <v>0</v>
      </c>
      <c r="AY992" s="3">
        <f t="shared" si="62"/>
        <v>0</v>
      </c>
      <c r="AZ992" s="3">
        <f t="shared" si="62"/>
        <v>0</v>
      </c>
      <c r="BA992" s="3">
        <f t="shared" si="55"/>
        <v>0</v>
      </c>
    </row>
    <row r="993" spans="9:53">
      <c r="I993" s="288" t="str">
        <f t="shared" si="56"/>
        <v>WS-39</v>
      </c>
      <c r="J993" s="3">
        <f t="shared" si="62"/>
        <v>0</v>
      </c>
      <c r="K993" s="3">
        <f t="shared" si="62"/>
        <v>0</v>
      </c>
      <c r="L993" s="3">
        <f t="shared" si="62"/>
        <v>0</v>
      </c>
      <c r="M993" s="3">
        <f t="shared" si="62"/>
        <v>0</v>
      </c>
      <c r="N993" s="3">
        <f t="shared" si="62"/>
        <v>0</v>
      </c>
      <c r="O993" s="3">
        <f t="shared" si="62"/>
        <v>0</v>
      </c>
      <c r="P993" s="3">
        <f t="shared" si="62"/>
        <v>0</v>
      </c>
      <c r="Q993" s="3">
        <f t="shared" si="62"/>
        <v>0</v>
      </c>
      <c r="R993" s="3">
        <f t="shared" si="62"/>
        <v>0</v>
      </c>
      <c r="S993" s="3">
        <f t="shared" si="62"/>
        <v>0</v>
      </c>
      <c r="T993" s="3">
        <f t="shared" si="62"/>
        <v>0</v>
      </c>
      <c r="U993" s="3">
        <f t="shared" si="62"/>
        <v>0</v>
      </c>
      <c r="V993" s="3">
        <f t="shared" si="62"/>
        <v>0</v>
      </c>
      <c r="W993" s="3">
        <f t="shared" si="62"/>
        <v>0</v>
      </c>
      <c r="X993" s="3">
        <f t="shared" si="62"/>
        <v>0</v>
      </c>
      <c r="Y993" s="3">
        <f t="shared" si="62"/>
        <v>0</v>
      </c>
      <c r="Z993" s="3">
        <f t="shared" si="62"/>
        <v>0</v>
      </c>
      <c r="AA993" s="3">
        <f t="shared" si="62"/>
        <v>0</v>
      </c>
      <c r="AB993" s="3">
        <f t="shared" si="62"/>
        <v>0</v>
      </c>
      <c r="AC993" s="3">
        <f t="shared" si="62"/>
        <v>0</v>
      </c>
      <c r="AD993" s="3">
        <f t="shared" si="62"/>
        <v>0</v>
      </c>
      <c r="AE993" s="3">
        <f t="shared" si="62"/>
        <v>0</v>
      </c>
      <c r="AF993" s="3">
        <f t="shared" si="62"/>
        <v>0</v>
      </c>
      <c r="AG993" s="3">
        <f t="shared" si="62"/>
        <v>0</v>
      </c>
      <c r="AH993" s="3">
        <f t="shared" si="62"/>
        <v>0</v>
      </c>
      <c r="AI993" s="3">
        <f t="shared" si="62"/>
        <v>0</v>
      </c>
      <c r="AJ993" s="3">
        <f t="shared" si="62"/>
        <v>0</v>
      </c>
      <c r="AK993" s="3">
        <f t="shared" si="62"/>
        <v>0</v>
      </c>
      <c r="AL993" s="3">
        <f t="shared" si="62"/>
        <v>0</v>
      </c>
      <c r="AM993" s="3">
        <f t="shared" si="62"/>
        <v>0</v>
      </c>
      <c r="AN993" s="3">
        <f t="shared" si="62"/>
        <v>0</v>
      </c>
      <c r="AO993" s="3">
        <f t="shared" si="62"/>
        <v>0</v>
      </c>
      <c r="AP993" s="3">
        <f t="shared" si="62"/>
        <v>0</v>
      </c>
      <c r="AQ993" s="3">
        <f t="shared" si="62"/>
        <v>0</v>
      </c>
      <c r="AR993" s="3">
        <f t="shared" si="62"/>
        <v>0</v>
      </c>
      <c r="AS993" s="3">
        <f t="shared" si="62"/>
        <v>0</v>
      </c>
      <c r="AT993" s="3">
        <f t="shared" si="62"/>
        <v>0</v>
      </c>
      <c r="AU993" s="3">
        <f t="shared" si="62"/>
        <v>0</v>
      </c>
      <c r="AV993" s="3">
        <f t="shared" si="62"/>
        <v>0</v>
      </c>
      <c r="AW993" s="3">
        <f t="shared" si="62"/>
        <v>0</v>
      </c>
      <c r="AX993" s="3">
        <f t="shared" si="62"/>
        <v>0</v>
      </c>
      <c r="AY993" s="3">
        <f t="shared" si="62"/>
        <v>0</v>
      </c>
      <c r="AZ993" s="3">
        <f t="shared" si="62"/>
        <v>0</v>
      </c>
      <c r="BA993" s="3">
        <f t="shared" si="55"/>
        <v>0</v>
      </c>
    </row>
    <row r="994" spans="9:53">
      <c r="I994" s="288" t="str">
        <f t="shared" si="56"/>
        <v>WS-40</v>
      </c>
      <c r="J994" s="3">
        <f t="shared" si="62"/>
        <v>0</v>
      </c>
      <c r="K994" s="3">
        <f t="shared" si="62"/>
        <v>301684</v>
      </c>
      <c r="L994" s="3">
        <f t="shared" si="62"/>
        <v>0</v>
      </c>
      <c r="M994" s="3">
        <f t="shared" si="62"/>
        <v>141224</v>
      </c>
      <c r="N994" s="3">
        <f t="shared" si="62"/>
        <v>0</v>
      </c>
      <c r="O994" s="3">
        <f t="shared" si="62"/>
        <v>0</v>
      </c>
      <c r="P994" s="3">
        <f t="shared" si="62"/>
        <v>136301</v>
      </c>
      <c r="Q994" s="3">
        <f t="shared" si="62"/>
        <v>0</v>
      </c>
      <c r="R994" s="3">
        <f t="shared" si="62"/>
        <v>0</v>
      </c>
      <c r="S994" s="3">
        <f t="shared" si="62"/>
        <v>0</v>
      </c>
      <c r="T994" s="3">
        <f t="shared" si="62"/>
        <v>0</v>
      </c>
      <c r="U994" s="3">
        <f t="shared" si="62"/>
        <v>0</v>
      </c>
      <c r="V994" s="3">
        <f t="shared" si="62"/>
        <v>0</v>
      </c>
      <c r="W994" s="3">
        <f t="shared" si="62"/>
        <v>0</v>
      </c>
      <c r="X994" s="3">
        <f t="shared" si="62"/>
        <v>0</v>
      </c>
      <c r="Y994" s="3">
        <f t="shared" si="62"/>
        <v>0</v>
      </c>
      <c r="Z994" s="3">
        <f t="shared" si="62"/>
        <v>0</v>
      </c>
      <c r="AA994" s="3">
        <f t="shared" si="62"/>
        <v>0</v>
      </c>
      <c r="AB994" s="3">
        <f t="shared" si="62"/>
        <v>0</v>
      </c>
      <c r="AC994" s="3">
        <f t="shared" si="62"/>
        <v>0</v>
      </c>
      <c r="AD994" s="3">
        <f t="shared" si="62"/>
        <v>0</v>
      </c>
      <c r="AE994" s="3">
        <f t="shared" si="62"/>
        <v>0</v>
      </c>
      <c r="AF994" s="3">
        <f t="shared" si="62"/>
        <v>0</v>
      </c>
      <c r="AG994" s="3">
        <f t="shared" si="62"/>
        <v>0</v>
      </c>
      <c r="AH994" s="3">
        <f t="shared" si="62"/>
        <v>0</v>
      </c>
      <c r="AI994" s="3">
        <f t="shared" si="62"/>
        <v>0</v>
      </c>
      <c r="AJ994" s="3">
        <f t="shared" si="62"/>
        <v>0</v>
      </c>
      <c r="AK994" s="3">
        <f t="shared" si="62"/>
        <v>0</v>
      </c>
      <c r="AL994" s="3">
        <f t="shared" si="62"/>
        <v>0</v>
      </c>
      <c r="AM994" s="3">
        <f t="shared" si="62"/>
        <v>0</v>
      </c>
      <c r="AN994" s="3">
        <f t="shared" si="62"/>
        <v>0</v>
      </c>
      <c r="AO994" s="3">
        <f t="shared" si="62"/>
        <v>0</v>
      </c>
      <c r="AP994" s="3">
        <f t="shared" si="62"/>
        <v>0</v>
      </c>
      <c r="AQ994" s="3">
        <f t="shared" si="62"/>
        <v>0</v>
      </c>
      <c r="AR994" s="3">
        <f t="shared" si="62"/>
        <v>0</v>
      </c>
      <c r="AS994" s="3">
        <f t="shared" si="62"/>
        <v>0</v>
      </c>
      <c r="AT994" s="3">
        <f t="shared" si="62"/>
        <v>0</v>
      </c>
      <c r="AU994" s="3">
        <f t="shared" si="62"/>
        <v>0</v>
      </c>
      <c r="AV994" s="3">
        <f t="shared" si="62"/>
        <v>0</v>
      </c>
      <c r="AW994" s="3">
        <f t="shared" si="62"/>
        <v>0</v>
      </c>
      <c r="AX994" s="3">
        <f t="shared" si="62"/>
        <v>0</v>
      </c>
      <c r="AY994" s="3">
        <f t="shared" si="62"/>
        <v>0</v>
      </c>
      <c r="AZ994" s="3">
        <f t="shared" si="62"/>
        <v>0</v>
      </c>
      <c r="BA994" s="3">
        <f t="shared" si="55"/>
        <v>0</v>
      </c>
    </row>
    <row r="995" spans="9:53">
      <c r="I995" s="288" t="str">
        <f t="shared" si="56"/>
        <v>WS-41</v>
      </c>
      <c r="J995" s="3">
        <f t="shared" si="62"/>
        <v>0</v>
      </c>
      <c r="K995" s="3">
        <f t="shared" si="62"/>
        <v>0</v>
      </c>
      <c r="L995" s="3">
        <f t="shared" si="62"/>
        <v>0</v>
      </c>
      <c r="M995" s="3">
        <f t="shared" si="62"/>
        <v>0</v>
      </c>
      <c r="N995" s="3">
        <f t="shared" si="62"/>
        <v>0</v>
      </c>
      <c r="O995" s="3">
        <f t="shared" si="62"/>
        <v>0</v>
      </c>
      <c r="P995" s="3">
        <f t="shared" si="62"/>
        <v>0</v>
      </c>
      <c r="Q995" s="3">
        <f t="shared" si="62"/>
        <v>0</v>
      </c>
      <c r="R995" s="3">
        <f t="shared" si="62"/>
        <v>0</v>
      </c>
      <c r="S995" s="3">
        <f t="shared" si="62"/>
        <v>0</v>
      </c>
      <c r="T995" s="3">
        <f t="shared" si="62"/>
        <v>0</v>
      </c>
      <c r="U995" s="3">
        <f t="shared" si="62"/>
        <v>0</v>
      </c>
      <c r="V995" s="3">
        <f t="shared" si="62"/>
        <v>0</v>
      </c>
      <c r="W995" s="3">
        <f t="shared" si="62"/>
        <v>0</v>
      </c>
      <c r="X995" s="3">
        <f t="shared" si="62"/>
        <v>0</v>
      </c>
      <c r="Y995" s="3">
        <f t="shared" si="62"/>
        <v>0</v>
      </c>
      <c r="Z995" s="3">
        <f t="shared" si="62"/>
        <v>0</v>
      </c>
      <c r="AA995" s="3">
        <f t="shared" si="62"/>
        <v>0</v>
      </c>
      <c r="AB995" s="3">
        <f t="shared" si="62"/>
        <v>0</v>
      </c>
      <c r="AC995" s="3">
        <f t="shared" si="62"/>
        <v>0</v>
      </c>
      <c r="AD995" s="3">
        <f t="shared" si="62"/>
        <v>0</v>
      </c>
      <c r="AE995" s="3">
        <f t="shared" si="62"/>
        <v>0</v>
      </c>
      <c r="AF995" s="3">
        <f t="shared" si="62"/>
        <v>0</v>
      </c>
      <c r="AG995" s="3">
        <f t="shared" si="62"/>
        <v>0</v>
      </c>
      <c r="AH995" s="3">
        <f t="shared" si="62"/>
        <v>0</v>
      </c>
      <c r="AI995" s="3">
        <f t="shared" si="62"/>
        <v>0</v>
      </c>
      <c r="AJ995" s="3">
        <f t="shared" si="62"/>
        <v>0</v>
      </c>
      <c r="AK995" s="3">
        <f t="shared" si="62"/>
        <v>0</v>
      </c>
      <c r="AL995" s="3">
        <f t="shared" si="62"/>
        <v>0</v>
      </c>
      <c r="AM995" s="3">
        <f t="shared" si="62"/>
        <v>0</v>
      </c>
      <c r="AN995" s="3">
        <f t="shared" si="62"/>
        <v>0</v>
      </c>
      <c r="AO995" s="3">
        <f t="shared" si="62"/>
        <v>0</v>
      </c>
      <c r="AP995" s="3">
        <f t="shared" si="62"/>
        <v>0</v>
      </c>
      <c r="AQ995" s="3">
        <f t="shared" si="62"/>
        <v>0</v>
      </c>
      <c r="AR995" s="3">
        <f t="shared" si="62"/>
        <v>0</v>
      </c>
      <c r="AS995" s="3">
        <f t="shared" si="62"/>
        <v>0</v>
      </c>
      <c r="AT995" s="3">
        <f t="shared" si="62"/>
        <v>0</v>
      </c>
      <c r="AU995" s="3">
        <f t="shared" si="62"/>
        <v>0</v>
      </c>
      <c r="AV995" s="3">
        <f t="shared" si="62"/>
        <v>0</v>
      </c>
      <c r="AW995" s="3">
        <f t="shared" si="62"/>
        <v>0</v>
      </c>
      <c r="AX995" s="3">
        <f t="shared" si="62"/>
        <v>0</v>
      </c>
      <c r="AY995" s="3">
        <f t="shared" si="62"/>
        <v>0</v>
      </c>
      <c r="AZ995" s="3">
        <f t="shared" si="62"/>
        <v>0</v>
      </c>
      <c r="BA995" s="3">
        <f t="shared" si="55"/>
        <v>0</v>
      </c>
    </row>
    <row r="996" spans="9:53">
      <c r="I996" s="288" t="str">
        <f t="shared" si="56"/>
        <v>WS-42</v>
      </c>
      <c r="J996" s="3">
        <f t="shared" si="62"/>
        <v>0</v>
      </c>
      <c r="K996" s="3">
        <f t="shared" si="62"/>
        <v>0</v>
      </c>
      <c r="L996" s="3">
        <f t="shared" si="62"/>
        <v>0</v>
      </c>
      <c r="M996" s="3">
        <f t="shared" si="62"/>
        <v>0</v>
      </c>
      <c r="N996" s="3">
        <f t="shared" si="62"/>
        <v>0</v>
      </c>
      <c r="O996" s="3">
        <f t="shared" si="62"/>
        <v>0</v>
      </c>
      <c r="P996" s="3">
        <f t="shared" si="62"/>
        <v>0</v>
      </c>
      <c r="Q996" s="3">
        <f t="shared" si="62"/>
        <v>0</v>
      </c>
      <c r="R996" s="3">
        <f t="shared" si="62"/>
        <v>0</v>
      </c>
      <c r="S996" s="3">
        <f t="shared" si="62"/>
        <v>0</v>
      </c>
      <c r="T996" s="3">
        <f t="shared" si="62"/>
        <v>0</v>
      </c>
      <c r="U996" s="3">
        <f t="shared" si="62"/>
        <v>0</v>
      </c>
      <c r="V996" s="3">
        <f t="shared" si="62"/>
        <v>0</v>
      </c>
      <c r="W996" s="3">
        <f t="shared" si="62"/>
        <v>0</v>
      </c>
      <c r="X996" s="3">
        <f t="shared" si="62"/>
        <v>0</v>
      </c>
      <c r="Y996" s="3">
        <f t="shared" si="62"/>
        <v>0</v>
      </c>
      <c r="Z996" s="3">
        <f t="shared" si="62"/>
        <v>0</v>
      </c>
      <c r="AA996" s="3">
        <f t="shared" si="62"/>
        <v>0</v>
      </c>
      <c r="AB996" s="3">
        <f t="shared" si="62"/>
        <v>0</v>
      </c>
      <c r="AC996" s="3">
        <f t="shared" si="62"/>
        <v>0</v>
      </c>
      <c r="AD996" s="3">
        <f t="shared" si="62"/>
        <v>0</v>
      </c>
      <c r="AE996" s="3">
        <f t="shared" si="62"/>
        <v>0</v>
      </c>
      <c r="AF996" s="3">
        <f t="shared" ref="J996:AZ998" si="63">AF44+AF91+AF138+AF185+AF232+AF279+AF326+AF373+AF420+AF467+AF514+AF561+AF608+AF655+AF702+AF749</f>
        <v>0</v>
      </c>
      <c r="AG996" s="3">
        <f t="shared" si="63"/>
        <v>0</v>
      </c>
      <c r="AH996" s="3">
        <f t="shared" si="63"/>
        <v>0</v>
      </c>
      <c r="AI996" s="3">
        <f t="shared" si="63"/>
        <v>0</v>
      </c>
      <c r="AJ996" s="3">
        <f t="shared" si="63"/>
        <v>0</v>
      </c>
      <c r="AK996" s="3">
        <f t="shared" si="63"/>
        <v>0</v>
      </c>
      <c r="AL996" s="3">
        <f t="shared" si="63"/>
        <v>0</v>
      </c>
      <c r="AM996" s="3">
        <f t="shared" si="63"/>
        <v>0</v>
      </c>
      <c r="AN996" s="3">
        <f t="shared" si="63"/>
        <v>0</v>
      </c>
      <c r="AO996" s="3">
        <f t="shared" si="63"/>
        <v>0</v>
      </c>
      <c r="AP996" s="3">
        <f t="shared" si="63"/>
        <v>0</v>
      </c>
      <c r="AQ996" s="3">
        <f t="shared" si="63"/>
        <v>0</v>
      </c>
      <c r="AR996" s="3">
        <f t="shared" si="63"/>
        <v>0</v>
      </c>
      <c r="AS996" s="3">
        <f t="shared" si="63"/>
        <v>0</v>
      </c>
      <c r="AT996" s="3">
        <f t="shared" si="63"/>
        <v>0</v>
      </c>
      <c r="AU996" s="3">
        <f t="shared" si="63"/>
        <v>0</v>
      </c>
      <c r="AV996" s="3">
        <f t="shared" si="63"/>
        <v>0</v>
      </c>
      <c r="AW996" s="3">
        <f t="shared" si="63"/>
        <v>0</v>
      </c>
      <c r="AX996" s="3">
        <f t="shared" si="63"/>
        <v>0</v>
      </c>
      <c r="AY996" s="3">
        <f t="shared" si="63"/>
        <v>0</v>
      </c>
      <c r="AZ996" s="3">
        <f t="shared" si="63"/>
        <v>0</v>
      </c>
      <c r="BA996" s="3">
        <f t="shared" si="55"/>
        <v>0</v>
      </c>
    </row>
    <row r="997" spans="9:53">
      <c r="I997" s="288" t="str">
        <f t="shared" si="56"/>
        <v>WS-43</v>
      </c>
      <c r="J997" s="3">
        <f t="shared" si="63"/>
        <v>0</v>
      </c>
      <c r="K997" s="3">
        <f t="shared" si="63"/>
        <v>0</v>
      </c>
      <c r="L997" s="3">
        <f t="shared" si="63"/>
        <v>0</v>
      </c>
      <c r="M997" s="3">
        <f t="shared" si="63"/>
        <v>0</v>
      </c>
      <c r="N997" s="3">
        <f t="shared" si="63"/>
        <v>0</v>
      </c>
      <c r="O997" s="3">
        <f t="shared" si="63"/>
        <v>0</v>
      </c>
      <c r="P997" s="3">
        <f t="shared" si="63"/>
        <v>0</v>
      </c>
      <c r="Q997" s="3">
        <f t="shared" si="63"/>
        <v>0</v>
      </c>
      <c r="R997" s="3">
        <f t="shared" si="63"/>
        <v>0</v>
      </c>
      <c r="S997" s="3">
        <f t="shared" si="63"/>
        <v>0</v>
      </c>
      <c r="T997" s="3">
        <f t="shared" si="63"/>
        <v>0</v>
      </c>
      <c r="U997" s="3">
        <f t="shared" si="63"/>
        <v>0</v>
      </c>
      <c r="V997" s="3">
        <f t="shared" si="63"/>
        <v>0</v>
      </c>
      <c r="W997" s="3">
        <f t="shared" si="63"/>
        <v>0</v>
      </c>
      <c r="X997" s="3">
        <f t="shared" si="63"/>
        <v>0</v>
      </c>
      <c r="Y997" s="3">
        <f t="shared" si="63"/>
        <v>0</v>
      </c>
      <c r="Z997" s="3">
        <f t="shared" si="63"/>
        <v>0</v>
      </c>
      <c r="AA997" s="3">
        <f t="shared" si="63"/>
        <v>0</v>
      </c>
      <c r="AB997" s="3">
        <f t="shared" si="63"/>
        <v>0</v>
      </c>
      <c r="AC997" s="3">
        <f t="shared" si="63"/>
        <v>0</v>
      </c>
      <c r="AD997" s="3">
        <f t="shared" si="63"/>
        <v>0</v>
      </c>
      <c r="AE997" s="3">
        <f t="shared" si="63"/>
        <v>0</v>
      </c>
      <c r="AF997" s="3">
        <f t="shared" si="63"/>
        <v>0</v>
      </c>
      <c r="AG997" s="3">
        <f t="shared" si="63"/>
        <v>0</v>
      </c>
      <c r="AH997" s="3">
        <f t="shared" si="63"/>
        <v>0</v>
      </c>
      <c r="AI997" s="3">
        <f t="shared" si="63"/>
        <v>0</v>
      </c>
      <c r="AJ997" s="3">
        <f t="shared" si="63"/>
        <v>0</v>
      </c>
      <c r="AK997" s="3">
        <f t="shared" si="63"/>
        <v>0</v>
      </c>
      <c r="AL997" s="3">
        <f t="shared" si="63"/>
        <v>0</v>
      </c>
      <c r="AM997" s="3">
        <f t="shared" si="63"/>
        <v>0</v>
      </c>
      <c r="AN997" s="3">
        <f t="shared" si="63"/>
        <v>0</v>
      </c>
      <c r="AO997" s="3">
        <f t="shared" si="63"/>
        <v>0</v>
      </c>
      <c r="AP997" s="3">
        <f t="shared" si="63"/>
        <v>0</v>
      </c>
      <c r="AQ997" s="3">
        <f t="shared" si="63"/>
        <v>0</v>
      </c>
      <c r="AR997" s="3">
        <f t="shared" si="63"/>
        <v>0</v>
      </c>
      <c r="AS997" s="3">
        <f t="shared" si="63"/>
        <v>425244</v>
      </c>
      <c r="AT997" s="3">
        <f t="shared" si="63"/>
        <v>0</v>
      </c>
      <c r="AU997" s="3">
        <f t="shared" si="63"/>
        <v>176193</v>
      </c>
      <c r="AV997" s="3">
        <f t="shared" si="63"/>
        <v>0</v>
      </c>
      <c r="AW997" s="3">
        <f t="shared" si="63"/>
        <v>579209</v>
      </c>
      <c r="AX997" s="3">
        <f t="shared" si="63"/>
        <v>0</v>
      </c>
      <c r="AY997" s="3">
        <f t="shared" si="63"/>
        <v>0</v>
      </c>
      <c r="AZ997" s="3">
        <f t="shared" si="63"/>
        <v>0</v>
      </c>
      <c r="BA997" s="3">
        <f t="shared" si="55"/>
        <v>0</v>
      </c>
    </row>
    <row r="998" spans="9:53">
      <c r="I998" s="288" t="str">
        <f t="shared" si="56"/>
        <v>WS-44</v>
      </c>
      <c r="J998" s="3">
        <f t="shared" si="63"/>
        <v>0</v>
      </c>
      <c r="K998" s="3">
        <f t="shared" si="63"/>
        <v>0</v>
      </c>
      <c r="L998" s="3">
        <f t="shared" si="63"/>
        <v>0</v>
      </c>
      <c r="M998" s="3">
        <f t="shared" si="63"/>
        <v>0</v>
      </c>
      <c r="N998" s="3">
        <f t="shared" si="63"/>
        <v>0</v>
      </c>
      <c r="O998" s="3">
        <f t="shared" si="63"/>
        <v>0</v>
      </c>
      <c r="P998" s="3">
        <f t="shared" si="63"/>
        <v>0</v>
      </c>
      <c r="Q998" s="3">
        <f t="shared" si="63"/>
        <v>0</v>
      </c>
      <c r="R998" s="3">
        <f t="shared" si="63"/>
        <v>0</v>
      </c>
      <c r="S998" s="3">
        <f t="shared" si="63"/>
        <v>0</v>
      </c>
      <c r="T998" s="3">
        <f t="shared" si="63"/>
        <v>0</v>
      </c>
      <c r="U998" s="3">
        <f t="shared" si="63"/>
        <v>0</v>
      </c>
      <c r="V998" s="3">
        <f t="shared" si="63"/>
        <v>0</v>
      </c>
      <c r="W998" s="3">
        <f t="shared" si="63"/>
        <v>0</v>
      </c>
      <c r="X998" s="3">
        <f t="shared" si="63"/>
        <v>0</v>
      </c>
      <c r="Y998" s="3">
        <f t="shared" si="63"/>
        <v>0</v>
      </c>
      <c r="Z998" s="3">
        <f t="shared" si="63"/>
        <v>0</v>
      </c>
      <c r="AA998" s="3">
        <f t="shared" si="63"/>
        <v>0</v>
      </c>
      <c r="AB998" s="3">
        <f t="shared" si="63"/>
        <v>0</v>
      </c>
      <c r="AC998" s="3">
        <f t="shared" si="63"/>
        <v>0</v>
      </c>
      <c r="AD998" s="3">
        <f t="shared" si="63"/>
        <v>0</v>
      </c>
      <c r="AE998" s="3">
        <f t="shared" si="63"/>
        <v>0</v>
      </c>
      <c r="AF998" s="3">
        <f t="shared" si="63"/>
        <v>0</v>
      </c>
      <c r="AG998" s="3">
        <f t="shared" si="63"/>
        <v>0</v>
      </c>
      <c r="AH998" s="3">
        <f t="shared" si="63"/>
        <v>0</v>
      </c>
      <c r="AI998" s="3">
        <f t="shared" si="63"/>
        <v>0</v>
      </c>
      <c r="AJ998" s="3">
        <f t="shared" si="63"/>
        <v>0</v>
      </c>
      <c r="AK998" s="3">
        <f t="shared" si="63"/>
        <v>0</v>
      </c>
      <c r="AL998" s="3">
        <f t="shared" si="63"/>
        <v>0</v>
      </c>
      <c r="AM998" s="3">
        <f t="shared" si="63"/>
        <v>0</v>
      </c>
      <c r="AN998" s="3">
        <f t="shared" si="63"/>
        <v>0</v>
      </c>
      <c r="AO998" s="3">
        <f t="shared" si="63"/>
        <v>0</v>
      </c>
      <c r="AP998" s="3">
        <f t="shared" si="63"/>
        <v>0</v>
      </c>
      <c r="AQ998" s="3">
        <f t="shared" si="63"/>
        <v>0</v>
      </c>
      <c r="AR998" s="3">
        <f t="shared" si="63"/>
        <v>0</v>
      </c>
      <c r="AS998" s="3">
        <f t="shared" si="63"/>
        <v>0</v>
      </c>
      <c r="AT998" s="3">
        <f t="shared" si="63"/>
        <v>0</v>
      </c>
      <c r="AU998" s="3">
        <f t="shared" si="63"/>
        <v>0</v>
      </c>
      <c r="AV998" s="3">
        <f t="shared" si="63"/>
        <v>0</v>
      </c>
      <c r="AW998" s="3">
        <f t="shared" si="63"/>
        <v>0</v>
      </c>
      <c r="AX998" s="3">
        <f t="shared" si="63"/>
        <v>0</v>
      </c>
      <c r="AY998" s="3">
        <f t="shared" si="63"/>
        <v>0</v>
      </c>
      <c r="AZ998" s="3">
        <f t="shared" si="63"/>
        <v>0</v>
      </c>
      <c r="BA998" s="3">
        <f t="shared" ref="BA998" si="64">BA46+BA93+BA140+BA187+BA234+BA281+BA328+BA375+BA422+BA469+BA516+BA563+BA610+BA657+BA704+BA751</f>
        <v>0</v>
      </c>
    </row>
  </sheetData>
  <conditionalFormatting sqref="J3:BA46">
    <cfRule type="cellIs" dxfId="4" priority="2" operator="equal">
      <formula>0</formula>
    </cfRule>
  </conditionalFormatting>
  <conditionalFormatting sqref="J955:AW996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Matrix_Filling" altText="Fill Out">
                <anchor moveWithCells="1" sizeWithCells="1">
                  <from>
                    <xdr:col>55</xdr:col>
                    <xdr:colOff>0</xdr:colOff>
                    <xdr:row>3</xdr:row>
                    <xdr:rowOff>88900</xdr:rowOff>
                  </from>
                  <to>
                    <xdr:col>56</xdr:col>
                    <xdr:colOff>685800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E1BAF-6FB4-F041-9C1A-2678C5EE2A82}">
  <sheetPr codeName="Sheet29"/>
  <dimension ref="A1:AS47"/>
  <sheetViews>
    <sheetView zoomScaleNormal="84" workbookViewId="0">
      <selection activeCell="D7" sqref="D7"/>
    </sheetView>
  </sheetViews>
  <sheetFormatPr baseColWidth="10" defaultColWidth="11" defaultRowHeight="16"/>
  <cols>
    <col min="1" max="11" width="6.83203125" customWidth="1"/>
    <col min="12" max="12" width="7.83203125" bestFit="1" customWidth="1"/>
    <col min="13" max="45" width="6.83203125" customWidth="1"/>
  </cols>
  <sheetData>
    <row r="1" spans="1:45">
      <c r="F1" s="289" t="s">
        <v>1101</v>
      </c>
      <c r="G1">
        <v>2000</v>
      </c>
    </row>
    <row r="3" spans="1:45">
      <c r="A3" s="290"/>
      <c r="B3" s="288" t="str">
        <f t="array" ref="B3:AS3">TRANSPOSE(A4:A47)</f>
        <v>WS-01</v>
      </c>
      <c r="C3" s="288" t="str">
        <v>WS-02</v>
      </c>
      <c r="D3" s="288" t="str">
        <v>WS-03</v>
      </c>
      <c r="E3" s="288" t="str">
        <v>WS-04</v>
      </c>
      <c r="F3" s="288" t="str">
        <v>WS-05</v>
      </c>
      <c r="G3" s="288" t="str">
        <v>WS-06</v>
      </c>
      <c r="H3" s="288" t="str">
        <v>WS-07</v>
      </c>
      <c r="I3" s="288" t="str">
        <v>WS-08</v>
      </c>
      <c r="J3" s="288" t="str">
        <v>WS-09</v>
      </c>
      <c r="K3" s="288" t="str">
        <v>WS-10</v>
      </c>
      <c r="L3" s="288" t="str">
        <v>WS-11</v>
      </c>
      <c r="M3" s="288" t="str">
        <v>WS-12</v>
      </c>
      <c r="N3" s="288" t="str">
        <v>WS-13</v>
      </c>
      <c r="O3" s="288" t="str">
        <v>WS-14</v>
      </c>
      <c r="P3" s="288" t="str">
        <v>WS-15</v>
      </c>
      <c r="Q3" s="288" t="str">
        <v>WS-16</v>
      </c>
      <c r="R3" s="288" t="str">
        <v>WS-17</v>
      </c>
      <c r="S3" s="288" t="str">
        <v>WS-18</v>
      </c>
      <c r="T3" s="288" t="str">
        <v>WS-19</v>
      </c>
      <c r="U3" s="288" t="str">
        <v>WS-20</v>
      </c>
      <c r="V3" s="288" t="str">
        <v>WS-21</v>
      </c>
      <c r="W3" s="288" t="str">
        <v>WS-22</v>
      </c>
      <c r="X3" s="288" t="str">
        <v>WS-23</v>
      </c>
      <c r="Y3" s="288" t="str">
        <v>WS-24</v>
      </c>
      <c r="Z3" s="288" t="str">
        <v>WS-25</v>
      </c>
      <c r="AA3" s="288" t="str">
        <v>WS-26</v>
      </c>
      <c r="AB3" s="288" t="str">
        <v>WS-27</v>
      </c>
      <c r="AC3" s="288" t="str">
        <v>WS-28</v>
      </c>
      <c r="AD3" s="288" t="str">
        <v>WS-29</v>
      </c>
      <c r="AE3" s="288" t="str">
        <v>WS-30</v>
      </c>
      <c r="AF3" s="288" t="str">
        <v>WS-31</v>
      </c>
      <c r="AG3" s="288" t="str">
        <v>WS-32</v>
      </c>
      <c r="AH3" s="288" t="str">
        <v>WS-33</v>
      </c>
      <c r="AI3" s="288" t="str">
        <v>WS-34</v>
      </c>
      <c r="AJ3" s="288" t="str">
        <v>WS-35</v>
      </c>
      <c r="AK3" s="288" t="str">
        <v>WS-36</v>
      </c>
      <c r="AL3" s="288" t="str">
        <v>WS-37</v>
      </c>
      <c r="AM3" s="288" t="str">
        <v>WS-38</v>
      </c>
      <c r="AN3" s="288" t="str">
        <v>WS-39</v>
      </c>
      <c r="AO3" s="288" t="str">
        <v>WS-40</v>
      </c>
      <c r="AP3" s="288" t="str">
        <v>WS-41</v>
      </c>
      <c r="AQ3" s="288" t="str">
        <v>WS-42</v>
      </c>
      <c r="AR3" s="288" t="str">
        <v>WS-43</v>
      </c>
      <c r="AS3" s="288" t="str">
        <v>WS-44</v>
      </c>
    </row>
    <row r="4" spans="1:45">
      <c r="A4" s="288" t="s">
        <v>574</v>
      </c>
      <c r="B4" s="3">
        <f>ROUNDUP('S27 Material Flow Matrix'!J955/$G$1, 0)</f>
        <v>0</v>
      </c>
      <c r="C4" s="3">
        <f>ROUNDUP('S27 Material Flow Matrix'!K955/$G$1, 0)</f>
        <v>0</v>
      </c>
      <c r="D4" s="3">
        <f>ROUNDUP('S27 Material Flow Matrix'!L955/$G$1, 0)</f>
        <v>0</v>
      </c>
      <c r="E4" s="3">
        <f>ROUNDUP('S27 Material Flow Matrix'!M955/$G$1, 0)</f>
        <v>0</v>
      </c>
      <c r="F4" s="3">
        <f>ROUNDUP('S27 Material Flow Matrix'!N955/$G$1, 0)</f>
        <v>0</v>
      </c>
      <c r="G4" s="3">
        <f>ROUNDUP('S27 Material Flow Matrix'!O955/$G$1, 0)</f>
        <v>0</v>
      </c>
      <c r="H4" s="3">
        <f>ROUNDUP('S27 Material Flow Matrix'!P955/$G$1, 0)</f>
        <v>0</v>
      </c>
      <c r="I4" s="3">
        <f>ROUNDUP('S27 Material Flow Matrix'!Q955/$G$1, 0)</f>
        <v>0</v>
      </c>
      <c r="J4" s="3">
        <f>ROUNDUP('S27 Material Flow Matrix'!R955/$G$1, 0)</f>
        <v>0</v>
      </c>
      <c r="K4" s="3">
        <f>ROUNDUP('S27 Material Flow Matrix'!S955/$G$1, 0)</f>
        <v>0</v>
      </c>
      <c r="L4" s="3">
        <f>ROUNDUP('S27 Material Flow Matrix'!T955/$G$1, 0)</f>
        <v>0</v>
      </c>
      <c r="M4" s="3">
        <f>ROUNDUP('S27 Material Flow Matrix'!U955/$G$1, 0)</f>
        <v>0</v>
      </c>
      <c r="N4" s="3">
        <f>ROUNDUP('S27 Material Flow Matrix'!V955/$G$1, 0)</f>
        <v>0</v>
      </c>
      <c r="O4" s="3">
        <f>ROUNDUP('S27 Material Flow Matrix'!W955/$G$1, 0)</f>
        <v>0</v>
      </c>
      <c r="P4" s="3">
        <f>ROUNDUP('S27 Material Flow Matrix'!X955/$G$1, 0)</f>
        <v>0</v>
      </c>
      <c r="Q4" s="3">
        <f>ROUNDUP('S27 Material Flow Matrix'!Y955/$G$1, 0)</f>
        <v>0</v>
      </c>
      <c r="R4" s="3">
        <f>ROUNDUP('S27 Material Flow Matrix'!Z955/$G$1, 0)</f>
        <v>0</v>
      </c>
      <c r="S4" s="3">
        <f>ROUNDUP('S27 Material Flow Matrix'!AA955/$G$1, 0)</f>
        <v>0</v>
      </c>
      <c r="T4" s="3">
        <f>ROUNDUP('S27 Material Flow Matrix'!AB955/$G$1, 0)</f>
        <v>0</v>
      </c>
      <c r="U4" s="3">
        <f>ROUNDUP('S27 Material Flow Matrix'!AC955/$G$1, 0)</f>
        <v>0</v>
      </c>
      <c r="V4" s="3">
        <f>ROUNDUP('S27 Material Flow Matrix'!AD955/$G$1, 0)</f>
        <v>0</v>
      </c>
      <c r="W4" s="3">
        <f>ROUNDUP('S27 Material Flow Matrix'!AE955/$G$1, 0)</f>
        <v>0</v>
      </c>
      <c r="X4" s="3">
        <f>ROUNDUP('S27 Material Flow Matrix'!AF955/$G$1, 0)</f>
        <v>0</v>
      </c>
      <c r="Y4" s="3">
        <f>ROUNDUP('S27 Material Flow Matrix'!AG955/$G$1, 0)</f>
        <v>0</v>
      </c>
      <c r="Z4" s="3">
        <f>ROUNDUP('S27 Material Flow Matrix'!AH955/$G$1, 0)</f>
        <v>0</v>
      </c>
      <c r="AA4" s="3">
        <f>ROUNDUP('S27 Material Flow Matrix'!AI955/$G$1, 0)</f>
        <v>0</v>
      </c>
      <c r="AB4" s="3">
        <f>ROUNDUP('S27 Material Flow Matrix'!AJ955/$G$1, 0)</f>
        <v>0</v>
      </c>
      <c r="AC4" s="3">
        <f>ROUNDUP('S27 Material Flow Matrix'!AK955/$G$1, 0)</f>
        <v>0</v>
      </c>
      <c r="AD4" s="3">
        <f>ROUNDUP('S27 Material Flow Matrix'!AL955/$G$1, 0)</f>
        <v>0</v>
      </c>
      <c r="AE4" s="3">
        <f>ROUNDUP('S27 Material Flow Matrix'!AM955/$G$1, 0)</f>
        <v>0</v>
      </c>
      <c r="AF4" s="3">
        <f>ROUNDUP('S27 Material Flow Matrix'!AN955/$G$1, 0)</f>
        <v>0</v>
      </c>
      <c r="AG4" s="3">
        <f>ROUNDUP('S27 Material Flow Matrix'!AO955/$G$1, 0)</f>
        <v>0</v>
      </c>
      <c r="AH4" s="3">
        <f>ROUNDUP('S27 Material Flow Matrix'!AP955/$G$1, 0)</f>
        <v>0</v>
      </c>
      <c r="AI4" s="3">
        <f>ROUNDUP('S27 Material Flow Matrix'!AQ955/$G$1, 0)</f>
        <v>0</v>
      </c>
      <c r="AJ4" s="3">
        <f>ROUNDUP('S27 Material Flow Matrix'!AR955/$G$1, 0)</f>
        <v>0</v>
      </c>
      <c r="AK4" s="3">
        <f>ROUNDUP('S27 Material Flow Matrix'!AS955/$G$1, 0)</f>
        <v>0</v>
      </c>
      <c r="AL4" s="3">
        <f>ROUNDUP('S27 Material Flow Matrix'!AT955/$G$1, 0)</f>
        <v>0</v>
      </c>
      <c r="AM4" s="3">
        <f>ROUNDUP('S27 Material Flow Matrix'!AU955/$G$1, 0)</f>
        <v>0</v>
      </c>
      <c r="AN4" s="3">
        <f>ROUNDUP('S27 Material Flow Matrix'!AV955/$G$1, 0)</f>
        <v>0</v>
      </c>
      <c r="AO4" s="3">
        <f>ROUNDUP('S27 Material Flow Matrix'!AW955/$G$1, 0)</f>
        <v>0</v>
      </c>
      <c r="AP4" s="3">
        <f>ROUNDUP('S27 Material Flow Matrix'!AX955/$G$1, 0)</f>
        <v>0</v>
      </c>
      <c r="AQ4" s="3">
        <f>ROUNDUP('S27 Material Flow Matrix'!AY955/$G$1, 0)</f>
        <v>0</v>
      </c>
      <c r="AR4" s="3">
        <f>ROUNDUP('S27 Material Flow Matrix'!AZ955/$G$1, 0)</f>
        <v>0</v>
      </c>
      <c r="AS4" s="3">
        <f>ROUNDUP('S27 Material Flow Matrix'!BA955/$G$1, 0)</f>
        <v>0</v>
      </c>
    </row>
    <row r="5" spans="1:45">
      <c r="A5" s="288" t="s">
        <v>575</v>
      </c>
      <c r="B5" s="3">
        <f>ROUNDUP('S27 Material Flow Matrix'!J956/$G$1, 0)</f>
        <v>0</v>
      </c>
      <c r="C5" s="3">
        <f>ROUNDUP('S27 Material Flow Matrix'!K956/$G$1, 0)</f>
        <v>0</v>
      </c>
      <c r="D5" s="3">
        <f>ROUNDUP('S27 Material Flow Matrix'!L956/$G$1, 0)</f>
        <v>0</v>
      </c>
      <c r="E5" s="3">
        <f>ROUNDUP('S27 Material Flow Matrix'!M956/$G$1, 0)</f>
        <v>0</v>
      </c>
      <c r="F5" s="3">
        <f>ROUNDUP('S27 Material Flow Matrix'!N956/$G$1, 0)</f>
        <v>0</v>
      </c>
      <c r="G5" s="3">
        <f>ROUNDUP('S27 Material Flow Matrix'!O956/$G$1, 0)</f>
        <v>0</v>
      </c>
      <c r="H5" s="3">
        <f>ROUNDUP('S27 Material Flow Matrix'!P956/$G$1, 0)</f>
        <v>0</v>
      </c>
      <c r="I5" s="3">
        <f>ROUNDUP('S27 Material Flow Matrix'!Q956/$G$1, 0)</f>
        <v>0</v>
      </c>
      <c r="J5" s="3">
        <f>ROUNDUP('S27 Material Flow Matrix'!R956/$G$1, 0)</f>
        <v>0</v>
      </c>
      <c r="K5" s="3">
        <f>ROUNDUP('S27 Material Flow Matrix'!S956/$G$1, 0)</f>
        <v>0</v>
      </c>
      <c r="L5" s="3">
        <f>ROUNDUP('S27 Material Flow Matrix'!T956/$G$1, 0)</f>
        <v>0</v>
      </c>
      <c r="M5" s="3">
        <f>ROUNDUP('S27 Material Flow Matrix'!U956/$G$1, 0)</f>
        <v>0</v>
      </c>
      <c r="N5" s="3">
        <f>ROUNDUP('S27 Material Flow Matrix'!V956/$G$1, 0)</f>
        <v>0</v>
      </c>
      <c r="O5" s="3">
        <f>ROUNDUP('S27 Material Flow Matrix'!W956/$G$1, 0)</f>
        <v>0</v>
      </c>
      <c r="P5" s="3">
        <f>ROUNDUP('S27 Material Flow Matrix'!X956/$G$1, 0)</f>
        <v>0</v>
      </c>
      <c r="Q5" s="3">
        <f>ROUNDUP('S27 Material Flow Matrix'!Y956/$G$1, 0)</f>
        <v>0</v>
      </c>
      <c r="R5" s="3">
        <f>ROUNDUP('S27 Material Flow Matrix'!Z956/$G$1, 0)</f>
        <v>0</v>
      </c>
      <c r="S5" s="3">
        <f>ROUNDUP('S27 Material Flow Matrix'!AA956/$G$1, 0)</f>
        <v>151</v>
      </c>
      <c r="T5" s="3">
        <f>ROUNDUP('S27 Material Flow Matrix'!AB956/$G$1, 0)</f>
        <v>0</v>
      </c>
      <c r="U5" s="3">
        <f>ROUNDUP('S27 Material Flow Matrix'!AC956/$G$1, 0)</f>
        <v>0</v>
      </c>
      <c r="V5" s="3">
        <f>ROUNDUP('S27 Material Flow Matrix'!AD956/$G$1, 0)</f>
        <v>0</v>
      </c>
      <c r="W5" s="3">
        <f>ROUNDUP('S27 Material Flow Matrix'!AE956/$G$1, 0)</f>
        <v>0</v>
      </c>
      <c r="X5" s="3">
        <f>ROUNDUP('S27 Material Flow Matrix'!AF956/$G$1, 0)</f>
        <v>0</v>
      </c>
      <c r="Y5" s="3">
        <f>ROUNDUP('S27 Material Flow Matrix'!AG956/$G$1, 0)</f>
        <v>0</v>
      </c>
      <c r="Z5" s="3">
        <f>ROUNDUP('S27 Material Flow Matrix'!AH956/$G$1, 0)</f>
        <v>0</v>
      </c>
      <c r="AA5" s="3">
        <f>ROUNDUP('S27 Material Flow Matrix'!AI956/$G$1, 0)</f>
        <v>0</v>
      </c>
      <c r="AB5" s="3">
        <f>ROUNDUP('S27 Material Flow Matrix'!AJ956/$G$1, 0)</f>
        <v>0</v>
      </c>
      <c r="AC5" s="3">
        <f>ROUNDUP('S27 Material Flow Matrix'!AK956/$G$1, 0)</f>
        <v>0</v>
      </c>
      <c r="AD5" s="3">
        <f>ROUNDUP('S27 Material Flow Matrix'!AL956/$G$1, 0)</f>
        <v>0</v>
      </c>
      <c r="AE5" s="3">
        <f>ROUNDUP('S27 Material Flow Matrix'!AM956/$G$1, 0)</f>
        <v>0</v>
      </c>
      <c r="AF5" s="3">
        <f>ROUNDUP('S27 Material Flow Matrix'!AN956/$G$1, 0)</f>
        <v>0</v>
      </c>
      <c r="AG5" s="3">
        <f>ROUNDUP('S27 Material Flow Matrix'!AO956/$G$1, 0)</f>
        <v>0</v>
      </c>
      <c r="AH5" s="3">
        <f>ROUNDUP('S27 Material Flow Matrix'!AP956/$G$1, 0)</f>
        <v>0</v>
      </c>
      <c r="AI5" s="3">
        <f>ROUNDUP('S27 Material Flow Matrix'!AQ956/$G$1, 0)</f>
        <v>0</v>
      </c>
      <c r="AJ5" s="3">
        <f>ROUNDUP('S27 Material Flow Matrix'!AR956/$G$1, 0)</f>
        <v>0</v>
      </c>
      <c r="AK5" s="3">
        <f>ROUNDUP('S27 Material Flow Matrix'!AS956/$G$1, 0)</f>
        <v>0</v>
      </c>
      <c r="AL5" s="3">
        <f>ROUNDUP('S27 Material Flow Matrix'!AT956/$G$1, 0)</f>
        <v>0</v>
      </c>
      <c r="AM5" s="3">
        <f>ROUNDUP('S27 Material Flow Matrix'!AU956/$G$1, 0)</f>
        <v>0</v>
      </c>
      <c r="AN5" s="3">
        <f>ROUNDUP('S27 Material Flow Matrix'!AV956/$G$1, 0)</f>
        <v>0</v>
      </c>
      <c r="AO5" s="3">
        <f>ROUNDUP('S27 Material Flow Matrix'!AW956/$G$1, 0)</f>
        <v>0</v>
      </c>
      <c r="AP5" s="3">
        <f>ROUNDUP('S27 Material Flow Matrix'!AX956/$G$1, 0)</f>
        <v>0</v>
      </c>
      <c r="AQ5" s="3">
        <f>ROUNDUP('S27 Material Flow Matrix'!AY956/$G$1, 0)</f>
        <v>0</v>
      </c>
      <c r="AR5" s="3">
        <f>ROUNDUP('S27 Material Flow Matrix'!AZ956/$G$1, 0)</f>
        <v>0</v>
      </c>
      <c r="AS5" s="3">
        <f>ROUNDUP('S27 Material Flow Matrix'!BA956/$G$1, 0)</f>
        <v>0</v>
      </c>
    </row>
    <row r="6" spans="1:45">
      <c r="A6" s="288" t="s">
        <v>576</v>
      </c>
      <c r="B6" s="3">
        <f>ROUNDUP('S27 Material Flow Matrix'!J957/$G$1, 0)</f>
        <v>0</v>
      </c>
      <c r="C6" s="3">
        <f>ROUNDUP('S27 Material Flow Matrix'!K957/$G$1, 0)</f>
        <v>0</v>
      </c>
      <c r="D6" s="3">
        <f>ROUNDUP('S27 Material Flow Matrix'!L957/$G$1, 0)</f>
        <v>0</v>
      </c>
      <c r="E6" s="3">
        <f>ROUNDUP('S27 Material Flow Matrix'!M957/$G$1, 0)</f>
        <v>0</v>
      </c>
      <c r="F6" s="3">
        <f>ROUNDUP('S27 Material Flow Matrix'!N957/$G$1, 0)</f>
        <v>0</v>
      </c>
      <c r="G6" s="3">
        <f>ROUNDUP('S27 Material Flow Matrix'!O957/$G$1, 0)</f>
        <v>0</v>
      </c>
      <c r="H6" s="3">
        <f>ROUNDUP('S27 Material Flow Matrix'!P957/$G$1, 0)</f>
        <v>0</v>
      </c>
      <c r="I6" s="3">
        <f>ROUNDUP('S27 Material Flow Matrix'!Q957/$G$1, 0)</f>
        <v>0</v>
      </c>
      <c r="J6" s="3">
        <f>ROUNDUP('S27 Material Flow Matrix'!R957/$G$1, 0)</f>
        <v>0</v>
      </c>
      <c r="K6" s="3">
        <f>ROUNDUP('S27 Material Flow Matrix'!S957/$G$1, 0)</f>
        <v>0</v>
      </c>
      <c r="L6" s="3">
        <f>ROUNDUP('S27 Material Flow Matrix'!T957/$G$1, 0)</f>
        <v>0</v>
      </c>
      <c r="M6" s="3">
        <f>ROUNDUP('S27 Material Flow Matrix'!U957/$G$1, 0)</f>
        <v>0</v>
      </c>
      <c r="N6" s="3">
        <f>ROUNDUP('S27 Material Flow Matrix'!V957/$G$1, 0)</f>
        <v>0</v>
      </c>
      <c r="O6" s="3">
        <f>ROUNDUP('S27 Material Flow Matrix'!W957/$G$1, 0)</f>
        <v>0</v>
      </c>
      <c r="P6" s="3">
        <f>ROUNDUP('S27 Material Flow Matrix'!X957/$G$1, 0)</f>
        <v>0</v>
      </c>
      <c r="Q6" s="3">
        <f>ROUNDUP('S27 Material Flow Matrix'!Y957/$G$1, 0)</f>
        <v>0</v>
      </c>
      <c r="R6" s="3">
        <f>ROUNDUP('S27 Material Flow Matrix'!Z957/$G$1, 0)</f>
        <v>0</v>
      </c>
      <c r="S6" s="3">
        <f>ROUNDUP('S27 Material Flow Matrix'!AA957/$G$1, 0)</f>
        <v>0</v>
      </c>
      <c r="T6" s="3">
        <f>ROUNDUP('S27 Material Flow Matrix'!AB957/$G$1, 0)</f>
        <v>0</v>
      </c>
      <c r="U6" s="3">
        <f>ROUNDUP('S27 Material Flow Matrix'!AC957/$G$1, 0)</f>
        <v>0</v>
      </c>
      <c r="V6" s="3">
        <f>ROUNDUP('S27 Material Flow Matrix'!AD957/$G$1, 0)</f>
        <v>0</v>
      </c>
      <c r="W6" s="3">
        <f>ROUNDUP('S27 Material Flow Matrix'!AE957/$G$1, 0)</f>
        <v>0</v>
      </c>
      <c r="X6" s="3">
        <f>ROUNDUP('S27 Material Flow Matrix'!AF957/$G$1, 0)</f>
        <v>71</v>
      </c>
      <c r="Y6" s="3">
        <f>ROUNDUP('S27 Material Flow Matrix'!AG957/$G$1, 0)</f>
        <v>0</v>
      </c>
      <c r="Z6" s="3">
        <f>ROUNDUP('S27 Material Flow Matrix'!AH957/$G$1, 0)</f>
        <v>0</v>
      </c>
      <c r="AA6" s="3">
        <f>ROUNDUP('S27 Material Flow Matrix'!AI957/$G$1, 0)</f>
        <v>0</v>
      </c>
      <c r="AB6" s="3">
        <f>ROUNDUP('S27 Material Flow Matrix'!AJ957/$G$1, 0)</f>
        <v>0</v>
      </c>
      <c r="AC6" s="3">
        <f>ROUNDUP('S27 Material Flow Matrix'!AK957/$G$1, 0)</f>
        <v>0</v>
      </c>
      <c r="AD6" s="3">
        <f>ROUNDUP('S27 Material Flow Matrix'!AL957/$G$1, 0)</f>
        <v>0</v>
      </c>
      <c r="AE6" s="3">
        <f>ROUNDUP('S27 Material Flow Matrix'!AM957/$G$1, 0)</f>
        <v>0</v>
      </c>
      <c r="AF6" s="3">
        <f>ROUNDUP('S27 Material Flow Matrix'!AN957/$G$1, 0)</f>
        <v>0</v>
      </c>
      <c r="AG6" s="3">
        <f>ROUNDUP('S27 Material Flow Matrix'!AO957/$G$1, 0)</f>
        <v>0</v>
      </c>
      <c r="AH6" s="3">
        <f>ROUNDUP('S27 Material Flow Matrix'!AP957/$G$1, 0)</f>
        <v>0</v>
      </c>
      <c r="AI6" s="3">
        <f>ROUNDUP('S27 Material Flow Matrix'!AQ957/$G$1, 0)</f>
        <v>0</v>
      </c>
      <c r="AJ6" s="3">
        <f>ROUNDUP('S27 Material Flow Matrix'!AR957/$G$1, 0)</f>
        <v>0</v>
      </c>
      <c r="AK6" s="3">
        <f>ROUNDUP('S27 Material Flow Matrix'!AS957/$G$1, 0)</f>
        <v>0</v>
      </c>
      <c r="AL6" s="3">
        <f>ROUNDUP('S27 Material Flow Matrix'!AT957/$G$1, 0)</f>
        <v>0</v>
      </c>
      <c r="AM6" s="3">
        <f>ROUNDUP('S27 Material Flow Matrix'!AU957/$G$1, 0)</f>
        <v>0</v>
      </c>
      <c r="AN6" s="3">
        <f>ROUNDUP('S27 Material Flow Matrix'!AV957/$G$1, 0)</f>
        <v>0</v>
      </c>
      <c r="AO6" s="3">
        <f>ROUNDUP('S27 Material Flow Matrix'!AW957/$G$1, 0)</f>
        <v>0</v>
      </c>
      <c r="AP6" s="3">
        <f>ROUNDUP('S27 Material Flow Matrix'!AX957/$G$1, 0)</f>
        <v>0</v>
      </c>
      <c r="AQ6" s="3">
        <f>ROUNDUP('S27 Material Flow Matrix'!AY957/$G$1, 0)</f>
        <v>0</v>
      </c>
      <c r="AR6" s="3">
        <f>ROUNDUP('S27 Material Flow Matrix'!AZ957/$G$1, 0)</f>
        <v>0</v>
      </c>
      <c r="AS6" s="3">
        <f>ROUNDUP('S27 Material Flow Matrix'!BA957/$G$1, 0)</f>
        <v>0</v>
      </c>
    </row>
    <row r="7" spans="1:45">
      <c r="A7" s="288" t="s">
        <v>577</v>
      </c>
      <c r="B7" s="3">
        <f>ROUNDUP('S27 Material Flow Matrix'!J958/$G$1, 0)</f>
        <v>0</v>
      </c>
      <c r="C7" s="3">
        <f>ROUNDUP('S27 Material Flow Matrix'!K958/$G$1, 0)</f>
        <v>0</v>
      </c>
      <c r="D7" s="3">
        <f>ROUNDUP('S27 Material Flow Matrix'!L958/$G$1, 0)</f>
        <v>71</v>
      </c>
      <c r="E7" s="3">
        <f>ROUNDUP('S27 Material Flow Matrix'!M958/$G$1, 0)</f>
        <v>0</v>
      </c>
      <c r="F7" s="3">
        <f>ROUNDUP('S27 Material Flow Matrix'!N958/$G$1, 0)</f>
        <v>0</v>
      </c>
      <c r="G7" s="3">
        <f>ROUNDUP('S27 Material Flow Matrix'!O958/$G$1, 0)</f>
        <v>0</v>
      </c>
      <c r="H7" s="3">
        <f>ROUNDUP('S27 Material Flow Matrix'!P958/$G$1, 0)</f>
        <v>0</v>
      </c>
      <c r="I7" s="3">
        <f>ROUNDUP('S27 Material Flow Matrix'!Q958/$G$1, 0)</f>
        <v>0</v>
      </c>
      <c r="J7" s="3">
        <f>ROUNDUP('S27 Material Flow Matrix'!R958/$G$1, 0)</f>
        <v>0</v>
      </c>
      <c r="K7" s="3">
        <f>ROUNDUP('S27 Material Flow Matrix'!S958/$G$1, 0)</f>
        <v>0</v>
      </c>
      <c r="L7" s="3">
        <f>ROUNDUP('S27 Material Flow Matrix'!T958/$G$1, 0)</f>
        <v>0</v>
      </c>
      <c r="M7" s="3">
        <f>ROUNDUP('S27 Material Flow Matrix'!U958/$G$1, 0)</f>
        <v>0</v>
      </c>
      <c r="N7" s="3">
        <f>ROUNDUP('S27 Material Flow Matrix'!V958/$G$1, 0)</f>
        <v>0</v>
      </c>
      <c r="O7" s="3">
        <f>ROUNDUP('S27 Material Flow Matrix'!W958/$G$1, 0)</f>
        <v>0</v>
      </c>
      <c r="P7" s="3">
        <f>ROUNDUP('S27 Material Flow Matrix'!X958/$G$1, 0)</f>
        <v>0</v>
      </c>
      <c r="Q7" s="3">
        <f>ROUNDUP('S27 Material Flow Matrix'!Y958/$G$1, 0)</f>
        <v>0</v>
      </c>
      <c r="R7" s="3">
        <f>ROUNDUP('S27 Material Flow Matrix'!Z958/$G$1, 0)</f>
        <v>0</v>
      </c>
      <c r="S7" s="3">
        <f>ROUNDUP('S27 Material Flow Matrix'!AA958/$G$1, 0)</f>
        <v>0</v>
      </c>
      <c r="T7" s="3">
        <f>ROUNDUP('S27 Material Flow Matrix'!AB958/$G$1, 0)</f>
        <v>0</v>
      </c>
      <c r="U7" s="3">
        <f>ROUNDUP('S27 Material Flow Matrix'!AC958/$G$1, 0)</f>
        <v>0</v>
      </c>
      <c r="V7" s="3">
        <f>ROUNDUP('S27 Material Flow Matrix'!AD958/$G$1, 0)</f>
        <v>0</v>
      </c>
      <c r="W7" s="3">
        <f>ROUNDUP('S27 Material Flow Matrix'!AE958/$G$1, 0)</f>
        <v>0</v>
      </c>
      <c r="X7" s="3">
        <f>ROUNDUP('S27 Material Flow Matrix'!AF958/$G$1, 0)</f>
        <v>0</v>
      </c>
      <c r="Y7" s="3">
        <f>ROUNDUP('S27 Material Flow Matrix'!AG958/$G$1, 0)</f>
        <v>0</v>
      </c>
      <c r="Z7" s="3">
        <f>ROUNDUP('S27 Material Flow Matrix'!AH958/$G$1, 0)</f>
        <v>0</v>
      </c>
      <c r="AA7" s="3">
        <f>ROUNDUP('S27 Material Flow Matrix'!AI958/$G$1, 0)</f>
        <v>0</v>
      </c>
      <c r="AB7" s="3">
        <f>ROUNDUP('S27 Material Flow Matrix'!AJ958/$G$1, 0)</f>
        <v>0</v>
      </c>
      <c r="AC7" s="3">
        <f>ROUNDUP('S27 Material Flow Matrix'!AK958/$G$1, 0)</f>
        <v>0</v>
      </c>
      <c r="AD7" s="3">
        <f>ROUNDUP('S27 Material Flow Matrix'!AL958/$G$1, 0)</f>
        <v>0</v>
      </c>
      <c r="AE7" s="3">
        <f>ROUNDUP('S27 Material Flow Matrix'!AM958/$G$1, 0)</f>
        <v>0</v>
      </c>
      <c r="AF7" s="3">
        <f>ROUNDUP('S27 Material Flow Matrix'!AN958/$G$1, 0)</f>
        <v>0</v>
      </c>
      <c r="AG7" s="3">
        <f>ROUNDUP('S27 Material Flow Matrix'!AO958/$G$1, 0)</f>
        <v>0</v>
      </c>
      <c r="AH7" s="3">
        <f>ROUNDUP('S27 Material Flow Matrix'!AP958/$G$1, 0)</f>
        <v>0</v>
      </c>
      <c r="AI7" s="3">
        <f>ROUNDUP('S27 Material Flow Matrix'!AQ958/$G$1, 0)</f>
        <v>0</v>
      </c>
      <c r="AJ7" s="3">
        <f>ROUNDUP('S27 Material Flow Matrix'!AR958/$G$1, 0)</f>
        <v>0</v>
      </c>
      <c r="AK7" s="3">
        <f>ROUNDUP('S27 Material Flow Matrix'!AS958/$G$1, 0)</f>
        <v>0</v>
      </c>
      <c r="AL7" s="3">
        <f>ROUNDUP('S27 Material Flow Matrix'!AT958/$G$1, 0)</f>
        <v>0</v>
      </c>
      <c r="AM7" s="3">
        <f>ROUNDUP('S27 Material Flow Matrix'!AU958/$G$1, 0)</f>
        <v>0</v>
      </c>
      <c r="AN7" s="3">
        <f>ROUNDUP('S27 Material Flow Matrix'!AV958/$G$1, 0)</f>
        <v>0</v>
      </c>
      <c r="AO7" s="3">
        <f>ROUNDUP('S27 Material Flow Matrix'!AW958/$G$1, 0)</f>
        <v>0</v>
      </c>
      <c r="AP7" s="3">
        <f>ROUNDUP('S27 Material Flow Matrix'!AX958/$G$1, 0)</f>
        <v>0</v>
      </c>
      <c r="AQ7" s="3">
        <f>ROUNDUP('S27 Material Flow Matrix'!AY958/$G$1, 0)</f>
        <v>0</v>
      </c>
      <c r="AR7" s="3">
        <f>ROUNDUP('S27 Material Flow Matrix'!AZ958/$G$1, 0)</f>
        <v>0</v>
      </c>
      <c r="AS7" s="3">
        <f>ROUNDUP('S27 Material Flow Matrix'!BA958/$G$1, 0)</f>
        <v>0</v>
      </c>
    </row>
    <row r="8" spans="1:45">
      <c r="A8" s="288" t="s">
        <v>578</v>
      </c>
      <c r="B8" s="3">
        <f>ROUNDUP('S27 Material Flow Matrix'!J959/$G$1, 0)</f>
        <v>0</v>
      </c>
      <c r="C8" s="3">
        <f>ROUNDUP('S27 Material Flow Matrix'!K959/$G$1, 0)</f>
        <v>0</v>
      </c>
      <c r="D8" s="3">
        <f>ROUNDUP('S27 Material Flow Matrix'!L959/$G$1, 0)</f>
        <v>0</v>
      </c>
      <c r="E8" s="3">
        <f>ROUNDUP('S27 Material Flow Matrix'!M959/$G$1, 0)</f>
        <v>0</v>
      </c>
      <c r="F8" s="3">
        <f>ROUNDUP('S27 Material Flow Matrix'!N959/$G$1, 0)</f>
        <v>0</v>
      </c>
      <c r="G8" s="3">
        <f>ROUNDUP('S27 Material Flow Matrix'!O959/$G$1, 0)</f>
        <v>0</v>
      </c>
      <c r="H8" s="3">
        <f>ROUNDUP('S27 Material Flow Matrix'!P959/$G$1, 0)</f>
        <v>0</v>
      </c>
      <c r="I8" s="3">
        <f>ROUNDUP('S27 Material Flow Matrix'!Q959/$G$1, 0)</f>
        <v>0</v>
      </c>
      <c r="J8" s="3">
        <f>ROUNDUP('S27 Material Flow Matrix'!R959/$G$1, 0)</f>
        <v>0</v>
      </c>
      <c r="K8" s="3">
        <f>ROUNDUP('S27 Material Flow Matrix'!S959/$G$1, 0)</f>
        <v>0</v>
      </c>
      <c r="L8" s="3">
        <f>ROUNDUP('S27 Material Flow Matrix'!T959/$G$1, 0)</f>
        <v>0</v>
      </c>
      <c r="M8" s="3">
        <f>ROUNDUP('S27 Material Flow Matrix'!U959/$G$1, 0)</f>
        <v>0</v>
      </c>
      <c r="N8" s="3">
        <f>ROUNDUP('S27 Material Flow Matrix'!V959/$G$1, 0)</f>
        <v>0</v>
      </c>
      <c r="O8" s="3">
        <f>ROUNDUP('S27 Material Flow Matrix'!W959/$G$1, 0)</f>
        <v>0</v>
      </c>
      <c r="P8" s="3">
        <f>ROUNDUP('S27 Material Flow Matrix'!X959/$G$1, 0)</f>
        <v>0</v>
      </c>
      <c r="Q8" s="3">
        <f>ROUNDUP('S27 Material Flow Matrix'!Y959/$G$1, 0)</f>
        <v>0</v>
      </c>
      <c r="R8" s="3">
        <f>ROUNDUP('S27 Material Flow Matrix'!Z959/$G$1, 0)</f>
        <v>0</v>
      </c>
      <c r="S8" s="3">
        <f>ROUNDUP('S27 Material Flow Matrix'!AA959/$G$1, 0)</f>
        <v>0</v>
      </c>
      <c r="T8" s="3">
        <f>ROUNDUP('S27 Material Flow Matrix'!AB959/$G$1, 0)</f>
        <v>0</v>
      </c>
      <c r="U8" s="3">
        <f>ROUNDUP('S27 Material Flow Matrix'!AC959/$G$1, 0)</f>
        <v>0</v>
      </c>
      <c r="V8" s="3">
        <f>ROUNDUP('S27 Material Flow Matrix'!AD959/$G$1, 0)</f>
        <v>0</v>
      </c>
      <c r="W8" s="3">
        <f>ROUNDUP('S27 Material Flow Matrix'!AE959/$G$1, 0)</f>
        <v>0</v>
      </c>
      <c r="X8" s="3">
        <f>ROUNDUP('S27 Material Flow Matrix'!AF959/$G$1, 0)</f>
        <v>0</v>
      </c>
      <c r="Y8" s="3">
        <f>ROUNDUP('S27 Material Flow Matrix'!AG959/$G$1, 0)</f>
        <v>0</v>
      </c>
      <c r="Z8" s="3">
        <f>ROUNDUP('S27 Material Flow Matrix'!AH959/$G$1, 0)</f>
        <v>213</v>
      </c>
      <c r="AA8" s="3">
        <f>ROUNDUP('S27 Material Flow Matrix'!AI959/$G$1, 0)</f>
        <v>0</v>
      </c>
      <c r="AB8" s="3">
        <f>ROUNDUP('S27 Material Flow Matrix'!AJ959/$G$1, 0)</f>
        <v>0</v>
      </c>
      <c r="AC8" s="3">
        <f>ROUNDUP('S27 Material Flow Matrix'!AK959/$G$1, 0)</f>
        <v>0</v>
      </c>
      <c r="AD8" s="3">
        <f>ROUNDUP('S27 Material Flow Matrix'!AL959/$G$1, 0)</f>
        <v>0</v>
      </c>
      <c r="AE8" s="3">
        <f>ROUNDUP('S27 Material Flow Matrix'!AM959/$G$1, 0)</f>
        <v>0</v>
      </c>
      <c r="AF8" s="3">
        <f>ROUNDUP('S27 Material Flow Matrix'!AN959/$G$1, 0)</f>
        <v>0</v>
      </c>
      <c r="AG8" s="3">
        <f>ROUNDUP('S27 Material Flow Matrix'!AO959/$G$1, 0)</f>
        <v>0</v>
      </c>
      <c r="AH8" s="3">
        <f>ROUNDUP('S27 Material Flow Matrix'!AP959/$G$1, 0)</f>
        <v>0</v>
      </c>
      <c r="AI8" s="3">
        <f>ROUNDUP('S27 Material Flow Matrix'!AQ959/$G$1, 0)</f>
        <v>0</v>
      </c>
      <c r="AJ8" s="3">
        <f>ROUNDUP('S27 Material Flow Matrix'!AR959/$G$1, 0)</f>
        <v>0</v>
      </c>
      <c r="AK8" s="3">
        <f>ROUNDUP('S27 Material Flow Matrix'!AS959/$G$1, 0)</f>
        <v>0</v>
      </c>
      <c r="AL8" s="3">
        <f>ROUNDUP('S27 Material Flow Matrix'!AT959/$G$1, 0)</f>
        <v>0</v>
      </c>
      <c r="AM8" s="3">
        <f>ROUNDUP('S27 Material Flow Matrix'!AU959/$G$1, 0)</f>
        <v>0</v>
      </c>
      <c r="AN8" s="3">
        <f>ROUNDUP('S27 Material Flow Matrix'!AV959/$G$1, 0)</f>
        <v>0</v>
      </c>
      <c r="AO8" s="3">
        <f>ROUNDUP('S27 Material Flow Matrix'!AW959/$G$1, 0)</f>
        <v>0</v>
      </c>
      <c r="AP8" s="3">
        <f>ROUNDUP('S27 Material Flow Matrix'!AX959/$G$1, 0)</f>
        <v>0</v>
      </c>
      <c r="AQ8" s="3">
        <f>ROUNDUP('S27 Material Flow Matrix'!AY959/$G$1, 0)</f>
        <v>0</v>
      </c>
      <c r="AR8" s="3">
        <f>ROUNDUP('S27 Material Flow Matrix'!AZ959/$G$1, 0)</f>
        <v>0</v>
      </c>
      <c r="AS8" s="3">
        <f>ROUNDUP('S27 Material Flow Matrix'!BA959/$G$1, 0)</f>
        <v>0</v>
      </c>
    </row>
    <row r="9" spans="1:45">
      <c r="A9" s="288" t="s">
        <v>579</v>
      </c>
      <c r="B9" s="3">
        <f>ROUNDUP('S27 Material Flow Matrix'!J960/$G$1, 0)</f>
        <v>0</v>
      </c>
      <c r="C9" s="3">
        <f>ROUNDUP('S27 Material Flow Matrix'!K960/$G$1, 0)</f>
        <v>0</v>
      </c>
      <c r="D9" s="3">
        <f>ROUNDUP('S27 Material Flow Matrix'!L960/$G$1, 0)</f>
        <v>0</v>
      </c>
      <c r="E9" s="3">
        <f>ROUNDUP('S27 Material Flow Matrix'!M960/$G$1, 0)</f>
        <v>0</v>
      </c>
      <c r="F9" s="3">
        <f>ROUNDUP('S27 Material Flow Matrix'!N960/$G$1, 0)</f>
        <v>0</v>
      </c>
      <c r="G9" s="3">
        <f>ROUNDUP('S27 Material Flow Matrix'!O960/$G$1, 0)</f>
        <v>0</v>
      </c>
      <c r="H9" s="3">
        <f>ROUNDUP('S27 Material Flow Matrix'!P960/$G$1, 0)</f>
        <v>0</v>
      </c>
      <c r="I9" s="3">
        <f>ROUNDUP('S27 Material Flow Matrix'!Q960/$G$1, 0)</f>
        <v>0</v>
      </c>
      <c r="J9" s="3">
        <f>ROUNDUP('S27 Material Flow Matrix'!R960/$G$1, 0)</f>
        <v>0</v>
      </c>
      <c r="K9" s="3">
        <f>ROUNDUP('S27 Material Flow Matrix'!S960/$G$1, 0)</f>
        <v>0</v>
      </c>
      <c r="L9" s="3">
        <f>ROUNDUP('S27 Material Flow Matrix'!T960/$G$1, 0)</f>
        <v>0</v>
      </c>
      <c r="M9" s="3">
        <f>ROUNDUP('S27 Material Flow Matrix'!U960/$G$1, 0)</f>
        <v>0</v>
      </c>
      <c r="N9" s="3">
        <f>ROUNDUP('S27 Material Flow Matrix'!V960/$G$1, 0)</f>
        <v>0</v>
      </c>
      <c r="O9" s="3">
        <f>ROUNDUP('S27 Material Flow Matrix'!W960/$G$1, 0)</f>
        <v>0</v>
      </c>
      <c r="P9" s="3">
        <f>ROUNDUP('S27 Material Flow Matrix'!X960/$G$1, 0)</f>
        <v>0</v>
      </c>
      <c r="Q9" s="3">
        <f>ROUNDUP('S27 Material Flow Matrix'!Y960/$G$1, 0)</f>
        <v>0</v>
      </c>
      <c r="R9" s="3">
        <f>ROUNDUP('S27 Material Flow Matrix'!Z960/$G$1, 0)</f>
        <v>0</v>
      </c>
      <c r="S9" s="3">
        <f>ROUNDUP('S27 Material Flow Matrix'!AA960/$G$1, 0)</f>
        <v>0</v>
      </c>
      <c r="T9" s="3">
        <f>ROUNDUP('S27 Material Flow Matrix'!AB960/$G$1, 0)</f>
        <v>0</v>
      </c>
      <c r="U9" s="3">
        <f>ROUNDUP('S27 Material Flow Matrix'!AC960/$G$1, 0)</f>
        <v>0</v>
      </c>
      <c r="V9" s="3">
        <f>ROUNDUP('S27 Material Flow Matrix'!AD960/$G$1, 0)</f>
        <v>0</v>
      </c>
      <c r="W9" s="3">
        <f>ROUNDUP('S27 Material Flow Matrix'!AE960/$G$1, 0)</f>
        <v>0</v>
      </c>
      <c r="X9" s="3">
        <f>ROUNDUP('S27 Material Flow Matrix'!AF960/$G$1, 0)</f>
        <v>0</v>
      </c>
      <c r="Y9" s="3">
        <f>ROUNDUP('S27 Material Flow Matrix'!AG960/$G$1, 0)</f>
        <v>0</v>
      </c>
      <c r="Z9" s="3">
        <f>ROUNDUP('S27 Material Flow Matrix'!AH960/$G$1, 0)</f>
        <v>0</v>
      </c>
      <c r="AA9" s="3">
        <f>ROUNDUP('S27 Material Flow Matrix'!AI960/$G$1, 0)</f>
        <v>0</v>
      </c>
      <c r="AB9" s="3">
        <f>ROUNDUP('S27 Material Flow Matrix'!AJ960/$G$1, 0)</f>
        <v>0</v>
      </c>
      <c r="AC9" s="3">
        <f>ROUNDUP('S27 Material Flow Matrix'!AK960/$G$1, 0)</f>
        <v>0</v>
      </c>
      <c r="AD9" s="3">
        <f>ROUNDUP('S27 Material Flow Matrix'!AL960/$G$1, 0)</f>
        <v>0</v>
      </c>
      <c r="AE9" s="3">
        <f>ROUNDUP('S27 Material Flow Matrix'!AM960/$G$1, 0)</f>
        <v>0</v>
      </c>
      <c r="AF9" s="3">
        <f>ROUNDUP('S27 Material Flow Matrix'!AN960/$G$1, 0)</f>
        <v>0</v>
      </c>
      <c r="AG9" s="3">
        <f>ROUNDUP('S27 Material Flow Matrix'!AO960/$G$1, 0)</f>
        <v>0</v>
      </c>
      <c r="AH9" s="3">
        <f>ROUNDUP('S27 Material Flow Matrix'!AP960/$G$1, 0)</f>
        <v>0</v>
      </c>
      <c r="AI9" s="3">
        <f>ROUNDUP('S27 Material Flow Matrix'!AQ960/$G$1, 0)</f>
        <v>0</v>
      </c>
      <c r="AJ9" s="3">
        <f>ROUNDUP('S27 Material Flow Matrix'!AR960/$G$1, 0)</f>
        <v>0</v>
      </c>
      <c r="AK9" s="3">
        <f>ROUNDUP('S27 Material Flow Matrix'!AS960/$G$1, 0)</f>
        <v>0</v>
      </c>
      <c r="AL9" s="3">
        <f>ROUNDUP('S27 Material Flow Matrix'!AT960/$G$1, 0)</f>
        <v>0</v>
      </c>
      <c r="AM9" s="3">
        <f>ROUNDUP('S27 Material Flow Matrix'!AU960/$G$1, 0)</f>
        <v>0</v>
      </c>
      <c r="AN9" s="3">
        <f>ROUNDUP('S27 Material Flow Matrix'!AV960/$G$1, 0)</f>
        <v>0</v>
      </c>
      <c r="AO9" s="3">
        <f>ROUNDUP('S27 Material Flow Matrix'!AW960/$G$1, 0)</f>
        <v>0</v>
      </c>
      <c r="AP9" s="3">
        <f>ROUNDUP('S27 Material Flow Matrix'!AX960/$G$1, 0)</f>
        <v>0</v>
      </c>
      <c r="AQ9" s="3">
        <f>ROUNDUP('S27 Material Flow Matrix'!AY960/$G$1, 0)</f>
        <v>0</v>
      </c>
      <c r="AR9" s="3">
        <f>ROUNDUP('S27 Material Flow Matrix'!AZ960/$G$1, 0)</f>
        <v>0</v>
      </c>
      <c r="AS9" s="3">
        <f>ROUNDUP('S27 Material Flow Matrix'!BA960/$G$1, 0)</f>
        <v>0</v>
      </c>
    </row>
    <row r="10" spans="1:45">
      <c r="A10" s="288" t="s">
        <v>580</v>
      </c>
      <c r="B10" s="3">
        <f>ROUNDUP('S27 Material Flow Matrix'!J961/$G$1, 0)</f>
        <v>0</v>
      </c>
      <c r="C10" s="3">
        <f>ROUNDUP('S27 Material Flow Matrix'!K961/$G$1, 0)</f>
        <v>0</v>
      </c>
      <c r="D10" s="3">
        <f>ROUNDUP('S27 Material Flow Matrix'!L961/$G$1, 0)</f>
        <v>0</v>
      </c>
      <c r="E10" s="3">
        <f>ROUNDUP('S27 Material Flow Matrix'!M961/$G$1, 0)</f>
        <v>0</v>
      </c>
      <c r="F10" s="3">
        <f>ROUNDUP('S27 Material Flow Matrix'!N961/$G$1, 0)</f>
        <v>0</v>
      </c>
      <c r="G10" s="3">
        <f>ROUNDUP('S27 Material Flow Matrix'!O961/$G$1, 0)</f>
        <v>0</v>
      </c>
      <c r="H10" s="3">
        <f>ROUNDUP('S27 Material Flow Matrix'!P961/$G$1, 0)</f>
        <v>0</v>
      </c>
      <c r="I10" s="3">
        <f>ROUNDUP('S27 Material Flow Matrix'!Q961/$G$1, 0)</f>
        <v>69</v>
      </c>
      <c r="J10" s="3">
        <f>ROUNDUP('S27 Material Flow Matrix'!R961/$G$1, 0)</f>
        <v>0</v>
      </c>
      <c r="K10" s="3">
        <f>ROUNDUP('S27 Material Flow Matrix'!S961/$G$1, 0)</f>
        <v>0</v>
      </c>
      <c r="L10" s="3">
        <f>ROUNDUP('S27 Material Flow Matrix'!T961/$G$1, 0)</f>
        <v>0</v>
      </c>
      <c r="M10" s="3">
        <f>ROUNDUP('S27 Material Flow Matrix'!U961/$G$1, 0)</f>
        <v>0</v>
      </c>
      <c r="N10" s="3">
        <f>ROUNDUP('S27 Material Flow Matrix'!V961/$G$1, 0)</f>
        <v>0</v>
      </c>
      <c r="O10" s="3">
        <f>ROUNDUP('S27 Material Flow Matrix'!W961/$G$1, 0)</f>
        <v>0</v>
      </c>
      <c r="P10" s="3">
        <f>ROUNDUP('S27 Material Flow Matrix'!X961/$G$1, 0)</f>
        <v>0</v>
      </c>
      <c r="Q10" s="3">
        <f>ROUNDUP('S27 Material Flow Matrix'!Y961/$G$1, 0)</f>
        <v>0</v>
      </c>
      <c r="R10" s="3">
        <f>ROUNDUP('S27 Material Flow Matrix'!Z961/$G$1, 0)</f>
        <v>0</v>
      </c>
      <c r="S10" s="3">
        <f>ROUNDUP('S27 Material Flow Matrix'!AA961/$G$1, 0)</f>
        <v>0</v>
      </c>
      <c r="T10" s="3">
        <f>ROUNDUP('S27 Material Flow Matrix'!AB961/$G$1, 0)</f>
        <v>0</v>
      </c>
      <c r="U10" s="3">
        <f>ROUNDUP('S27 Material Flow Matrix'!AC961/$G$1, 0)</f>
        <v>0</v>
      </c>
      <c r="V10" s="3">
        <f>ROUNDUP('S27 Material Flow Matrix'!AD961/$G$1, 0)</f>
        <v>89</v>
      </c>
      <c r="W10" s="3">
        <f>ROUNDUP('S27 Material Flow Matrix'!AE961/$G$1, 0)</f>
        <v>0</v>
      </c>
      <c r="X10" s="3">
        <f>ROUNDUP('S27 Material Flow Matrix'!AF961/$G$1, 0)</f>
        <v>0</v>
      </c>
      <c r="Y10" s="3">
        <f>ROUNDUP('S27 Material Flow Matrix'!AG961/$G$1, 0)</f>
        <v>0</v>
      </c>
      <c r="Z10" s="3">
        <f>ROUNDUP('S27 Material Flow Matrix'!AH961/$G$1, 0)</f>
        <v>0</v>
      </c>
      <c r="AA10" s="3">
        <f>ROUNDUP('S27 Material Flow Matrix'!AI961/$G$1, 0)</f>
        <v>0</v>
      </c>
      <c r="AB10" s="3">
        <f>ROUNDUP('S27 Material Flow Matrix'!AJ961/$G$1, 0)</f>
        <v>0</v>
      </c>
      <c r="AC10" s="3">
        <f>ROUNDUP('S27 Material Flow Matrix'!AK961/$G$1, 0)</f>
        <v>0</v>
      </c>
      <c r="AD10" s="3">
        <f>ROUNDUP('S27 Material Flow Matrix'!AL961/$G$1, 0)</f>
        <v>0</v>
      </c>
      <c r="AE10" s="3">
        <f>ROUNDUP('S27 Material Flow Matrix'!AM961/$G$1, 0)</f>
        <v>0</v>
      </c>
      <c r="AF10" s="3">
        <f>ROUNDUP('S27 Material Flow Matrix'!AN961/$G$1, 0)</f>
        <v>0</v>
      </c>
      <c r="AG10" s="3">
        <f>ROUNDUP('S27 Material Flow Matrix'!AO961/$G$1, 0)</f>
        <v>0</v>
      </c>
      <c r="AH10" s="3">
        <f>ROUNDUP('S27 Material Flow Matrix'!AP961/$G$1, 0)</f>
        <v>0</v>
      </c>
      <c r="AI10" s="3">
        <f>ROUNDUP('S27 Material Flow Matrix'!AQ961/$G$1, 0)</f>
        <v>0</v>
      </c>
      <c r="AJ10" s="3">
        <f>ROUNDUP('S27 Material Flow Matrix'!AR961/$G$1, 0)</f>
        <v>0</v>
      </c>
      <c r="AK10" s="3">
        <f>ROUNDUP('S27 Material Flow Matrix'!AS961/$G$1, 0)</f>
        <v>0</v>
      </c>
      <c r="AL10" s="3">
        <f>ROUNDUP('S27 Material Flow Matrix'!AT961/$G$1, 0)</f>
        <v>0</v>
      </c>
      <c r="AM10" s="3">
        <f>ROUNDUP('S27 Material Flow Matrix'!AU961/$G$1, 0)</f>
        <v>0</v>
      </c>
      <c r="AN10" s="3">
        <f>ROUNDUP('S27 Material Flow Matrix'!AV961/$G$1, 0)</f>
        <v>0</v>
      </c>
      <c r="AO10" s="3">
        <f>ROUNDUP('S27 Material Flow Matrix'!AW961/$G$1, 0)</f>
        <v>0</v>
      </c>
      <c r="AP10" s="3">
        <f>ROUNDUP('S27 Material Flow Matrix'!AX961/$G$1, 0)</f>
        <v>0</v>
      </c>
      <c r="AQ10" s="3">
        <f>ROUNDUP('S27 Material Flow Matrix'!AY961/$G$1, 0)</f>
        <v>0</v>
      </c>
      <c r="AR10" s="3">
        <f>ROUNDUP('S27 Material Flow Matrix'!AZ961/$G$1, 0)</f>
        <v>0</v>
      </c>
      <c r="AS10" s="3">
        <f>ROUNDUP('S27 Material Flow Matrix'!BA961/$G$1, 0)</f>
        <v>0</v>
      </c>
    </row>
    <row r="11" spans="1:45">
      <c r="A11" s="288" t="s">
        <v>581</v>
      </c>
      <c r="B11" s="3">
        <f>ROUNDUP('S27 Material Flow Matrix'!J962/$G$1, 0)</f>
        <v>0</v>
      </c>
      <c r="C11" s="3">
        <f>ROUNDUP('S27 Material Flow Matrix'!K962/$G$1, 0)</f>
        <v>0</v>
      </c>
      <c r="D11" s="3">
        <f>ROUNDUP('S27 Material Flow Matrix'!L962/$G$1, 0)</f>
        <v>0</v>
      </c>
      <c r="E11" s="3">
        <f>ROUNDUP('S27 Material Flow Matrix'!M962/$G$1, 0)</f>
        <v>0</v>
      </c>
      <c r="F11" s="3">
        <f>ROUNDUP('S27 Material Flow Matrix'!N962/$G$1, 0)</f>
        <v>0</v>
      </c>
      <c r="G11" s="3">
        <f>ROUNDUP('S27 Material Flow Matrix'!O962/$G$1, 0)</f>
        <v>0</v>
      </c>
      <c r="H11" s="3">
        <f>ROUNDUP('S27 Material Flow Matrix'!P962/$G$1, 0)</f>
        <v>0</v>
      </c>
      <c r="I11" s="3">
        <f>ROUNDUP('S27 Material Flow Matrix'!Q962/$G$1, 0)</f>
        <v>0</v>
      </c>
      <c r="J11" s="3">
        <f>ROUNDUP('S27 Material Flow Matrix'!R962/$G$1, 0)</f>
        <v>0</v>
      </c>
      <c r="K11" s="3">
        <f>ROUNDUP('S27 Material Flow Matrix'!S962/$G$1, 0)</f>
        <v>0</v>
      </c>
      <c r="L11" s="3">
        <f>ROUNDUP('S27 Material Flow Matrix'!T962/$G$1, 0)</f>
        <v>0</v>
      </c>
      <c r="M11" s="3">
        <f>ROUNDUP('S27 Material Flow Matrix'!U962/$G$1, 0)</f>
        <v>0</v>
      </c>
      <c r="N11" s="3">
        <f>ROUNDUP('S27 Material Flow Matrix'!V962/$G$1, 0)</f>
        <v>0</v>
      </c>
      <c r="O11" s="3">
        <f>ROUNDUP('S27 Material Flow Matrix'!W962/$G$1, 0)</f>
        <v>0</v>
      </c>
      <c r="P11" s="3">
        <f>ROUNDUP('S27 Material Flow Matrix'!X962/$G$1, 0)</f>
        <v>0</v>
      </c>
      <c r="Q11" s="3">
        <f>ROUNDUP('S27 Material Flow Matrix'!Y962/$G$1, 0)</f>
        <v>0</v>
      </c>
      <c r="R11" s="3">
        <f>ROUNDUP('S27 Material Flow Matrix'!Z962/$G$1, 0)</f>
        <v>0</v>
      </c>
      <c r="S11" s="3">
        <f>ROUNDUP('S27 Material Flow Matrix'!AA962/$G$1, 0)</f>
        <v>0</v>
      </c>
      <c r="T11" s="3">
        <f>ROUNDUP('S27 Material Flow Matrix'!AB962/$G$1, 0)</f>
        <v>0</v>
      </c>
      <c r="U11" s="3">
        <f>ROUNDUP('S27 Material Flow Matrix'!AC962/$G$1, 0)</f>
        <v>69</v>
      </c>
      <c r="V11" s="3">
        <f>ROUNDUP('S27 Material Flow Matrix'!AD962/$G$1, 0)</f>
        <v>0</v>
      </c>
      <c r="W11" s="3">
        <f>ROUNDUP('S27 Material Flow Matrix'!AE962/$G$1, 0)</f>
        <v>0</v>
      </c>
      <c r="X11" s="3">
        <f>ROUNDUP('S27 Material Flow Matrix'!AF962/$G$1, 0)</f>
        <v>0</v>
      </c>
      <c r="Y11" s="3">
        <f>ROUNDUP('S27 Material Flow Matrix'!AG962/$G$1, 0)</f>
        <v>0</v>
      </c>
      <c r="Z11" s="3">
        <f>ROUNDUP('S27 Material Flow Matrix'!AH962/$G$1, 0)</f>
        <v>0</v>
      </c>
      <c r="AA11" s="3">
        <f>ROUNDUP('S27 Material Flow Matrix'!AI962/$G$1, 0)</f>
        <v>0</v>
      </c>
      <c r="AB11" s="3">
        <f>ROUNDUP('S27 Material Flow Matrix'!AJ962/$G$1, 0)</f>
        <v>0</v>
      </c>
      <c r="AC11" s="3">
        <f>ROUNDUP('S27 Material Flow Matrix'!AK962/$G$1, 0)</f>
        <v>0</v>
      </c>
      <c r="AD11" s="3">
        <f>ROUNDUP('S27 Material Flow Matrix'!AL962/$G$1, 0)</f>
        <v>0</v>
      </c>
      <c r="AE11" s="3">
        <f>ROUNDUP('S27 Material Flow Matrix'!AM962/$G$1, 0)</f>
        <v>0</v>
      </c>
      <c r="AF11" s="3">
        <f>ROUNDUP('S27 Material Flow Matrix'!AN962/$G$1, 0)</f>
        <v>0</v>
      </c>
      <c r="AG11" s="3">
        <f>ROUNDUP('S27 Material Flow Matrix'!AO962/$G$1, 0)</f>
        <v>0</v>
      </c>
      <c r="AH11" s="3">
        <f>ROUNDUP('S27 Material Flow Matrix'!AP962/$G$1, 0)</f>
        <v>0</v>
      </c>
      <c r="AI11" s="3">
        <f>ROUNDUP('S27 Material Flow Matrix'!AQ962/$G$1, 0)</f>
        <v>0</v>
      </c>
      <c r="AJ11" s="3">
        <f>ROUNDUP('S27 Material Flow Matrix'!AR962/$G$1, 0)</f>
        <v>0</v>
      </c>
      <c r="AK11" s="3">
        <f>ROUNDUP('S27 Material Flow Matrix'!AS962/$G$1, 0)</f>
        <v>0</v>
      </c>
      <c r="AL11" s="3">
        <f>ROUNDUP('S27 Material Flow Matrix'!AT962/$G$1, 0)</f>
        <v>0</v>
      </c>
      <c r="AM11" s="3">
        <f>ROUNDUP('S27 Material Flow Matrix'!AU962/$G$1, 0)</f>
        <v>0</v>
      </c>
      <c r="AN11" s="3">
        <f>ROUNDUP('S27 Material Flow Matrix'!AV962/$G$1, 0)</f>
        <v>0</v>
      </c>
      <c r="AO11" s="3">
        <f>ROUNDUP('S27 Material Flow Matrix'!AW962/$G$1, 0)</f>
        <v>0</v>
      </c>
      <c r="AP11" s="3">
        <f>ROUNDUP('S27 Material Flow Matrix'!AX962/$G$1, 0)</f>
        <v>0</v>
      </c>
      <c r="AQ11" s="3">
        <f>ROUNDUP('S27 Material Flow Matrix'!AY962/$G$1, 0)</f>
        <v>0</v>
      </c>
      <c r="AR11" s="3">
        <f>ROUNDUP('S27 Material Flow Matrix'!AZ962/$G$1, 0)</f>
        <v>0</v>
      </c>
      <c r="AS11" s="3">
        <f>ROUNDUP('S27 Material Flow Matrix'!BA962/$G$1, 0)</f>
        <v>0</v>
      </c>
    </row>
    <row r="12" spans="1:45">
      <c r="A12" s="288" t="s">
        <v>582</v>
      </c>
      <c r="B12" s="3">
        <f>ROUNDUP('S27 Material Flow Matrix'!J963/$G$1, 0)</f>
        <v>0</v>
      </c>
      <c r="C12" s="3">
        <f>ROUNDUP('S27 Material Flow Matrix'!K963/$G$1, 0)</f>
        <v>0</v>
      </c>
      <c r="D12" s="3">
        <f>ROUNDUP('S27 Material Flow Matrix'!L963/$G$1, 0)</f>
        <v>0</v>
      </c>
      <c r="E12" s="3">
        <f>ROUNDUP('S27 Material Flow Matrix'!M963/$G$1, 0)</f>
        <v>0</v>
      </c>
      <c r="F12" s="3">
        <f>ROUNDUP('S27 Material Flow Matrix'!N963/$G$1, 0)</f>
        <v>0</v>
      </c>
      <c r="G12" s="3">
        <f>ROUNDUP('S27 Material Flow Matrix'!O963/$G$1, 0)</f>
        <v>0</v>
      </c>
      <c r="H12" s="3">
        <f>ROUNDUP('S27 Material Flow Matrix'!P963/$G$1, 0)</f>
        <v>0</v>
      </c>
      <c r="I12" s="3">
        <f>ROUNDUP('S27 Material Flow Matrix'!Q963/$G$1, 0)</f>
        <v>0</v>
      </c>
      <c r="J12" s="3">
        <f>ROUNDUP('S27 Material Flow Matrix'!R963/$G$1, 0)</f>
        <v>0</v>
      </c>
      <c r="K12" s="3">
        <f>ROUNDUP('S27 Material Flow Matrix'!S963/$G$1, 0)</f>
        <v>0</v>
      </c>
      <c r="L12" s="3">
        <f>ROUNDUP('S27 Material Flow Matrix'!T963/$G$1, 0)</f>
        <v>0</v>
      </c>
      <c r="M12" s="3">
        <f>ROUNDUP('S27 Material Flow Matrix'!U963/$G$1, 0)</f>
        <v>0</v>
      </c>
      <c r="N12" s="3">
        <f>ROUNDUP('S27 Material Flow Matrix'!V963/$G$1, 0)</f>
        <v>0</v>
      </c>
      <c r="O12" s="3">
        <f>ROUNDUP('S27 Material Flow Matrix'!W963/$G$1, 0)</f>
        <v>0</v>
      </c>
      <c r="P12" s="3">
        <f>ROUNDUP('S27 Material Flow Matrix'!X963/$G$1, 0)</f>
        <v>0</v>
      </c>
      <c r="Q12" s="3">
        <f>ROUNDUP('S27 Material Flow Matrix'!Y963/$G$1, 0)</f>
        <v>0</v>
      </c>
      <c r="R12" s="3">
        <f>ROUNDUP('S27 Material Flow Matrix'!Z963/$G$1, 0)</f>
        <v>0</v>
      </c>
      <c r="S12" s="3">
        <f>ROUNDUP('S27 Material Flow Matrix'!AA963/$G$1, 0)</f>
        <v>0</v>
      </c>
      <c r="T12" s="3">
        <f>ROUNDUP('S27 Material Flow Matrix'!AB963/$G$1, 0)</f>
        <v>0</v>
      </c>
      <c r="U12" s="3">
        <f>ROUNDUP('S27 Material Flow Matrix'!AC963/$G$1, 0)</f>
        <v>0</v>
      </c>
      <c r="V12" s="3">
        <f>ROUNDUP('S27 Material Flow Matrix'!AD963/$G$1, 0)</f>
        <v>0</v>
      </c>
      <c r="W12" s="3">
        <f>ROUNDUP('S27 Material Flow Matrix'!AE963/$G$1, 0)</f>
        <v>0</v>
      </c>
      <c r="X12" s="3">
        <f>ROUNDUP('S27 Material Flow Matrix'!AF963/$G$1, 0)</f>
        <v>0</v>
      </c>
      <c r="Y12" s="3">
        <f>ROUNDUP('S27 Material Flow Matrix'!AG963/$G$1, 0)</f>
        <v>0</v>
      </c>
      <c r="Z12" s="3">
        <f>ROUNDUP('S27 Material Flow Matrix'!AH963/$G$1, 0)</f>
        <v>0</v>
      </c>
      <c r="AA12" s="3">
        <f>ROUNDUP('S27 Material Flow Matrix'!AI963/$G$1, 0)</f>
        <v>0</v>
      </c>
      <c r="AB12" s="3">
        <f>ROUNDUP('S27 Material Flow Matrix'!AJ963/$G$1, 0)</f>
        <v>0</v>
      </c>
      <c r="AC12" s="3">
        <f>ROUNDUP('S27 Material Flow Matrix'!AK963/$G$1, 0)</f>
        <v>0</v>
      </c>
      <c r="AD12" s="3">
        <f>ROUNDUP('S27 Material Flow Matrix'!AL963/$G$1, 0)</f>
        <v>0</v>
      </c>
      <c r="AE12" s="3">
        <f>ROUNDUP('S27 Material Flow Matrix'!AM963/$G$1, 0)</f>
        <v>0</v>
      </c>
      <c r="AF12" s="3">
        <f>ROUNDUP('S27 Material Flow Matrix'!AN963/$G$1, 0)</f>
        <v>0</v>
      </c>
      <c r="AG12" s="3">
        <f>ROUNDUP('S27 Material Flow Matrix'!AO963/$G$1, 0)</f>
        <v>0</v>
      </c>
      <c r="AH12" s="3">
        <f>ROUNDUP('S27 Material Flow Matrix'!AP963/$G$1, 0)</f>
        <v>0</v>
      </c>
      <c r="AI12" s="3">
        <f>ROUNDUP('S27 Material Flow Matrix'!AQ963/$G$1, 0)</f>
        <v>0</v>
      </c>
      <c r="AJ12" s="3">
        <f>ROUNDUP('S27 Material Flow Matrix'!AR963/$G$1, 0)</f>
        <v>0</v>
      </c>
      <c r="AK12" s="3">
        <f>ROUNDUP('S27 Material Flow Matrix'!AS963/$G$1, 0)</f>
        <v>0</v>
      </c>
      <c r="AL12" s="3">
        <f>ROUNDUP('S27 Material Flow Matrix'!AT963/$G$1, 0)</f>
        <v>0</v>
      </c>
      <c r="AM12" s="3">
        <f>ROUNDUP('S27 Material Flow Matrix'!AU963/$G$1, 0)</f>
        <v>0</v>
      </c>
      <c r="AN12" s="3">
        <f>ROUNDUP('S27 Material Flow Matrix'!AV963/$G$1, 0)</f>
        <v>0</v>
      </c>
      <c r="AO12" s="3">
        <f>ROUNDUP('S27 Material Flow Matrix'!AW963/$G$1, 0)</f>
        <v>0</v>
      </c>
      <c r="AP12" s="3">
        <f>ROUNDUP('S27 Material Flow Matrix'!AX963/$G$1, 0)</f>
        <v>0</v>
      </c>
      <c r="AQ12" s="3">
        <f>ROUNDUP('S27 Material Flow Matrix'!AY963/$G$1, 0)</f>
        <v>0</v>
      </c>
      <c r="AR12" s="3">
        <f>ROUNDUP('S27 Material Flow Matrix'!AZ963/$G$1, 0)</f>
        <v>0</v>
      </c>
      <c r="AS12" s="3">
        <f>ROUNDUP('S27 Material Flow Matrix'!BA963/$G$1, 0)</f>
        <v>0</v>
      </c>
    </row>
    <row r="13" spans="1:45">
      <c r="A13" s="288" t="s">
        <v>583</v>
      </c>
      <c r="B13" s="3">
        <f>ROUNDUP('S27 Material Flow Matrix'!J964/$G$1, 0)</f>
        <v>0</v>
      </c>
      <c r="C13" s="3">
        <f>ROUNDUP('S27 Material Flow Matrix'!K964/$G$1, 0)</f>
        <v>0</v>
      </c>
      <c r="D13" s="3">
        <f>ROUNDUP('S27 Material Flow Matrix'!L964/$G$1, 0)</f>
        <v>0</v>
      </c>
      <c r="E13" s="3">
        <f>ROUNDUP('S27 Material Flow Matrix'!M964/$G$1, 0)</f>
        <v>0</v>
      </c>
      <c r="F13" s="3">
        <f>ROUNDUP('S27 Material Flow Matrix'!N964/$G$1, 0)</f>
        <v>0</v>
      </c>
      <c r="G13" s="3">
        <f>ROUNDUP('S27 Material Flow Matrix'!O964/$G$1, 0)</f>
        <v>0</v>
      </c>
      <c r="H13" s="3">
        <f>ROUNDUP('S27 Material Flow Matrix'!P964/$G$1, 0)</f>
        <v>0</v>
      </c>
      <c r="I13" s="3">
        <f>ROUNDUP('S27 Material Flow Matrix'!Q964/$G$1, 0)</f>
        <v>0</v>
      </c>
      <c r="J13" s="3">
        <f>ROUNDUP('S27 Material Flow Matrix'!R964/$G$1, 0)</f>
        <v>0</v>
      </c>
      <c r="K13" s="3">
        <f>ROUNDUP('S27 Material Flow Matrix'!S964/$G$1, 0)</f>
        <v>0</v>
      </c>
      <c r="L13" s="3">
        <f>ROUNDUP('S27 Material Flow Matrix'!T964/$G$1, 0)</f>
        <v>0</v>
      </c>
      <c r="M13" s="3">
        <f>ROUNDUP('S27 Material Flow Matrix'!U964/$G$1, 0)</f>
        <v>0</v>
      </c>
      <c r="N13" s="3">
        <f>ROUNDUP('S27 Material Flow Matrix'!V964/$G$1, 0)</f>
        <v>0</v>
      </c>
      <c r="O13" s="3">
        <f>ROUNDUP('S27 Material Flow Matrix'!W964/$G$1, 0)</f>
        <v>0</v>
      </c>
      <c r="P13" s="3">
        <f>ROUNDUP('S27 Material Flow Matrix'!X964/$G$1, 0)</f>
        <v>0</v>
      </c>
      <c r="Q13" s="3">
        <f>ROUNDUP('S27 Material Flow Matrix'!Y964/$G$1, 0)</f>
        <v>0</v>
      </c>
      <c r="R13" s="3">
        <f>ROUNDUP('S27 Material Flow Matrix'!Z964/$G$1, 0)</f>
        <v>0</v>
      </c>
      <c r="S13" s="3">
        <f>ROUNDUP('S27 Material Flow Matrix'!AA964/$G$1, 0)</f>
        <v>0</v>
      </c>
      <c r="T13" s="3">
        <f>ROUNDUP('S27 Material Flow Matrix'!AB964/$G$1, 0)</f>
        <v>0</v>
      </c>
      <c r="U13" s="3">
        <f>ROUNDUP('S27 Material Flow Matrix'!AC964/$G$1, 0)</f>
        <v>0</v>
      </c>
      <c r="V13" s="3">
        <f>ROUNDUP('S27 Material Flow Matrix'!AD964/$G$1, 0)</f>
        <v>0</v>
      </c>
      <c r="W13" s="3">
        <f>ROUNDUP('S27 Material Flow Matrix'!AE964/$G$1, 0)</f>
        <v>0</v>
      </c>
      <c r="X13" s="3">
        <f>ROUNDUP('S27 Material Flow Matrix'!AF964/$G$1, 0)</f>
        <v>0</v>
      </c>
      <c r="Y13" s="3">
        <f>ROUNDUP('S27 Material Flow Matrix'!AG964/$G$1, 0)</f>
        <v>0</v>
      </c>
      <c r="Z13" s="3">
        <f>ROUNDUP('S27 Material Flow Matrix'!AH964/$G$1, 0)</f>
        <v>0</v>
      </c>
      <c r="AA13" s="3">
        <f>ROUNDUP('S27 Material Flow Matrix'!AI964/$G$1, 0)</f>
        <v>0</v>
      </c>
      <c r="AB13" s="3">
        <f>ROUNDUP('S27 Material Flow Matrix'!AJ964/$G$1, 0)</f>
        <v>0</v>
      </c>
      <c r="AC13" s="3">
        <f>ROUNDUP('S27 Material Flow Matrix'!AK964/$G$1, 0)</f>
        <v>0</v>
      </c>
      <c r="AD13" s="3">
        <f>ROUNDUP('S27 Material Flow Matrix'!AL964/$G$1, 0)</f>
        <v>0</v>
      </c>
      <c r="AE13" s="3">
        <f>ROUNDUP('S27 Material Flow Matrix'!AM964/$G$1, 0)</f>
        <v>0</v>
      </c>
      <c r="AF13" s="3">
        <f>ROUNDUP('S27 Material Flow Matrix'!AN964/$G$1, 0)</f>
        <v>0</v>
      </c>
      <c r="AG13" s="3">
        <f>ROUNDUP('S27 Material Flow Matrix'!AO964/$G$1, 0)</f>
        <v>0</v>
      </c>
      <c r="AH13" s="3">
        <f>ROUNDUP('S27 Material Flow Matrix'!AP964/$G$1, 0)</f>
        <v>0</v>
      </c>
      <c r="AI13" s="3">
        <f>ROUNDUP('S27 Material Flow Matrix'!AQ964/$G$1, 0)</f>
        <v>0</v>
      </c>
      <c r="AJ13" s="3">
        <f>ROUNDUP('S27 Material Flow Matrix'!AR964/$G$1, 0)</f>
        <v>0</v>
      </c>
      <c r="AK13" s="3">
        <f>ROUNDUP('S27 Material Flow Matrix'!AS964/$G$1, 0)</f>
        <v>0</v>
      </c>
      <c r="AL13" s="3">
        <f>ROUNDUP('S27 Material Flow Matrix'!AT964/$G$1, 0)</f>
        <v>0</v>
      </c>
      <c r="AM13" s="3">
        <f>ROUNDUP('S27 Material Flow Matrix'!AU964/$G$1, 0)</f>
        <v>0</v>
      </c>
      <c r="AN13" s="3">
        <f>ROUNDUP('S27 Material Flow Matrix'!AV964/$G$1, 0)</f>
        <v>0</v>
      </c>
      <c r="AO13" s="3">
        <f>ROUNDUP('S27 Material Flow Matrix'!AW964/$G$1, 0)</f>
        <v>0</v>
      </c>
      <c r="AP13" s="3">
        <f>ROUNDUP('S27 Material Flow Matrix'!AX964/$G$1, 0)</f>
        <v>0</v>
      </c>
      <c r="AQ13" s="3">
        <f>ROUNDUP('S27 Material Flow Matrix'!AY964/$G$1, 0)</f>
        <v>0</v>
      </c>
      <c r="AR13" s="3">
        <f>ROUNDUP('S27 Material Flow Matrix'!AZ964/$G$1, 0)</f>
        <v>0</v>
      </c>
      <c r="AS13" s="3">
        <f>ROUNDUP('S27 Material Flow Matrix'!BA964/$G$1, 0)</f>
        <v>0</v>
      </c>
    </row>
    <row r="14" spans="1:45">
      <c r="A14" s="288" t="s">
        <v>584</v>
      </c>
      <c r="B14" s="3">
        <f>ROUNDUP('S27 Material Flow Matrix'!J965/$G$1, 0)</f>
        <v>0</v>
      </c>
      <c r="C14" s="3">
        <f>ROUNDUP('S27 Material Flow Matrix'!K965/$G$1, 0)</f>
        <v>0</v>
      </c>
      <c r="D14" s="3">
        <f>ROUNDUP('S27 Material Flow Matrix'!L965/$G$1, 0)</f>
        <v>0</v>
      </c>
      <c r="E14" s="3">
        <f>ROUNDUP('S27 Material Flow Matrix'!M965/$G$1, 0)</f>
        <v>0</v>
      </c>
      <c r="F14" s="3">
        <f>ROUNDUP('S27 Material Flow Matrix'!N965/$G$1, 0)</f>
        <v>0</v>
      </c>
      <c r="G14" s="3">
        <f>ROUNDUP('S27 Material Flow Matrix'!O965/$G$1, 0)</f>
        <v>0</v>
      </c>
      <c r="H14" s="3">
        <f>ROUNDUP('S27 Material Flow Matrix'!P965/$G$1, 0)</f>
        <v>0</v>
      </c>
      <c r="I14" s="3">
        <f>ROUNDUP('S27 Material Flow Matrix'!Q965/$G$1, 0)</f>
        <v>0</v>
      </c>
      <c r="J14" s="3">
        <f>ROUNDUP('S27 Material Flow Matrix'!R965/$G$1, 0)</f>
        <v>0</v>
      </c>
      <c r="K14" s="3">
        <f>ROUNDUP('S27 Material Flow Matrix'!S965/$G$1, 0)</f>
        <v>0</v>
      </c>
      <c r="L14" s="3">
        <f>ROUNDUP('S27 Material Flow Matrix'!T965/$G$1, 0)</f>
        <v>0</v>
      </c>
      <c r="M14" s="3">
        <f>ROUNDUP('S27 Material Flow Matrix'!U965/$G$1, 0)</f>
        <v>0</v>
      </c>
      <c r="N14" s="3">
        <f>ROUNDUP('S27 Material Flow Matrix'!V965/$G$1, 0)</f>
        <v>0</v>
      </c>
      <c r="O14" s="3">
        <f>ROUNDUP('S27 Material Flow Matrix'!W965/$G$1, 0)</f>
        <v>0</v>
      </c>
      <c r="P14" s="3">
        <f>ROUNDUP('S27 Material Flow Matrix'!X965/$G$1, 0)</f>
        <v>0</v>
      </c>
      <c r="Q14" s="3">
        <f>ROUNDUP('S27 Material Flow Matrix'!Y965/$G$1, 0)</f>
        <v>0</v>
      </c>
      <c r="R14" s="3">
        <f>ROUNDUP('S27 Material Flow Matrix'!Z965/$G$1, 0)</f>
        <v>0</v>
      </c>
      <c r="S14" s="3">
        <f>ROUNDUP('S27 Material Flow Matrix'!AA965/$G$1, 0)</f>
        <v>0</v>
      </c>
      <c r="T14" s="3">
        <f>ROUNDUP('S27 Material Flow Matrix'!AB965/$G$1, 0)</f>
        <v>0</v>
      </c>
      <c r="U14" s="3">
        <f>ROUNDUP('S27 Material Flow Matrix'!AC965/$G$1, 0)</f>
        <v>0</v>
      </c>
      <c r="V14" s="3">
        <f>ROUNDUP('S27 Material Flow Matrix'!AD965/$G$1, 0)</f>
        <v>0</v>
      </c>
      <c r="W14" s="3">
        <f>ROUNDUP('S27 Material Flow Matrix'!AE965/$G$1, 0)</f>
        <v>0</v>
      </c>
      <c r="X14" s="3">
        <f>ROUNDUP('S27 Material Flow Matrix'!AF965/$G$1, 0)</f>
        <v>0</v>
      </c>
      <c r="Y14" s="3">
        <f>ROUNDUP('S27 Material Flow Matrix'!AG965/$G$1, 0)</f>
        <v>0</v>
      </c>
      <c r="Z14" s="3">
        <f>ROUNDUP('S27 Material Flow Matrix'!AH965/$G$1, 0)</f>
        <v>0</v>
      </c>
      <c r="AA14" s="3">
        <f>ROUNDUP('S27 Material Flow Matrix'!AI965/$G$1, 0)</f>
        <v>0</v>
      </c>
      <c r="AB14" s="3">
        <f>ROUNDUP('S27 Material Flow Matrix'!AJ965/$G$1, 0)</f>
        <v>0</v>
      </c>
      <c r="AC14" s="3">
        <f>ROUNDUP('S27 Material Flow Matrix'!AK965/$G$1, 0)</f>
        <v>0</v>
      </c>
      <c r="AD14" s="3">
        <f>ROUNDUP('S27 Material Flow Matrix'!AL965/$G$1, 0)</f>
        <v>0</v>
      </c>
      <c r="AE14" s="3">
        <f>ROUNDUP('S27 Material Flow Matrix'!AM965/$G$1, 0)</f>
        <v>0</v>
      </c>
      <c r="AF14" s="3">
        <f>ROUNDUP('S27 Material Flow Matrix'!AN965/$G$1, 0)</f>
        <v>0</v>
      </c>
      <c r="AG14" s="3">
        <f>ROUNDUP('S27 Material Flow Matrix'!AO965/$G$1, 0)</f>
        <v>0</v>
      </c>
      <c r="AH14" s="3">
        <f>ROUNDUP('S27 Material Flow Matrix'!AP965/$G$1, 0)</f>
        <v>0</v>
      </c>
      <c r="AI14" s="3">
        <f>ROUNDUP('S27 Material Flow Matrix'!AQ965/$G$1, 0)</f>
        <v>0</v>
      </c>
      <c r="AJ14" s="3">
        <f>ROUNDUP('S27 Material Flow Matrix'!AR965/$G$1, 0)</f>
        <v>0</v>
      </c>
      <c r="AK14" s="3">
        <f>ROUNDUP('S27 Material Flow Matrix'!AS965/$G$1, 0)</f>
        <v>0</v>
      </c>
      <c r="AL14" s="3">
        <f>ROUNDUP('S27 Material Flow Matrix'!AT965/$G$1, 0)</f>
        <v>0</v>
      </c>
      <c r="AM14" s="3">
        <f>ROUNDUP('S27 Material Flow Matrix'!AU965/$G$1, 0)</f>
        <v>0</v>
      </c>
      <c r="AN14" s="3">
        <f>ROUNDUP('S27 Material Flow Matrix'!AV965/$G$1, 0)</f>
        <v>0</v>
      </c>
      <c r="AO14" s="3">
        <f>ROUNDUP('S27 Material Flow Matrix'!AW965/$G$1, 0)</f>
        <v>0</v>
      </c>
      <c r="AP14" s="3">
        <f>ROUNDUP('S27 Material Flow Matrix'!AX965/$G$1, 0)</f>
        <v>0</v>
      </c>
      <c r="AQ14" s="3">
        <f>ROUNDUP('S27 Material Flow Matrix'!AY965/$G$1, 0)</f>
        <v>0</v>
      </c>
      <c r="AR14" s="3">
        <f>ROUNDUP('S27 Material Flow Matrix'!AZ965/$G$1, 0)</f>
        <v>0</v>
      </c>
      <c r="AS14" s="3">
        <f>ROUNDUP('S27 Material Flow Matrix'!BA965/$G$1, 0)</f>
        <v>0</v>
      </c>
    </row>
    <row r="15" spans="1:45">
      <c r="A15" s="288" t="s">
        <v>585</v>
      </c>
      <c r="B15" s="3">
        <f>ROUNDUP('S27 Material Flow Matrix'!J966/$G$1, 0)</f>
        <v>0</v>
      </c>
      <c r="C15" s="3">
        <f>ROUNDUP('S27 Material Flow Matrix'!K966/$G$1, 0)</f>
        <v>0</v>
      </c>
      <c r="D15" s="3">
        <f>ROUNDUP('S27 Material Flow Matrix'!L966/$G$1, 0)</f>
        <v>0</v>
      </c>
      <c r="E15" s="3">
        <f>ROUNDUP('S27 Material Flow Matrix'!M966/$G$1, 0)</f>
        <v>0</v>
      </c>
      <c r="F15" s="3">
        <f>ROUNDUP('S27 Material Flow Matrix'!N966/$G$1, 0)</f>
        <v>0</v>
      </c>
      <c r="G15" s="3">
        <f>ROUNDUP('S27 Material Flow Matrix'!O966/$G$1, 0)</f>
        <v>0</v>
      </c>
      <c r="H15" s="3">
        <f>ROUNDUP('S27 Material Flow Matrix'!P966/$G$1, 0)</f>
        <v>0</v>
      </c>
      <c r="I15" s="3">
        <f>ROUNDUP('S27 Material Flow Matrix'!Q966/$G$1, 0)</f>
        <v>0</v>
      </c>
      <c r="J15" s="3">
        <f>ROUNDUP('S27 Material Flow Matrix'!R966/$G$1, 0)</f>
        <v>0</v>
      </c>
      <c r="K15" s="3">
        <f>ROUNDUP('S27 Material Flow Matrix'!S966/$G$1, 0)</f>
        <v>0</v>
      </c>
      <c r="L15" s="3">
        <f>ROUNDUP('S27 Material Flow Matrix'!T966/$G$1, 0)</f>
        <v>0</v>
      </c>
      <c r="M15" s="3">
        <f>ROUNDUP('S27 Material Flow Matrix'!U966/$G$1, 0)</f>
        <v>0</v>
      </c>
      <c r="N15" s="3">
        <f>ROUNDUP('S27 Material Flow Matrix'!V966/$G$1, 0)</f>
        <v>0</v>
      </c>
      <c r="O15" s="3">
        <f>ROUNDUP('S27 Material Flow Matrix'!W966/$G$1, 0)</f>
        <v>0</v>
      </c>
      <c r="P15" s="3">
        <f>ROUNDUP('S27 Material Flow Matrix'!X966/$G$1, 0)</f>
        <v>0</v>
      </c>
      <c r="Q15" s="3">
        <f>ROUNDUP('S27 Material Flow Matrix'!Y966/$G$1, 0)</f>
        <v>0</v>
      </c>
      <c r="R15" s="3">
        <f>ROUNDUP('S27 Material Flow Matrix'!Z966/$G$1, 0)</f>
        <v>0</v>
      </c>
      <c r="S15" s="3">
        <f>ROUNDUP('S27 Material Flow Matrix'!AA966/$G$1, 0)</f>
        <v>0</v>
      </c>
      <c r="T15" s="3">
        <f>ROUNDUP('S27 Material Flow Matrix'!AB966/$G$1, 0)</f>
        <v>0</v>
      </c>
      <c r="U15" s="3">
        <f>ROUNDUP('S27 Material Flow Matrix'!AC966/$G$1, 0)</f>
        <v>0</v>
      </c>
      <c r="V15" s="3">
        <f>ROUNDUP('S27 Material Flow Matrix'!AD966/$G$1, 0)</f>
        <v>0</v>
      </c>
      <c r="W15" s="3">
        <f>ROUNDUP('S27 Material Flow Matrix'!AE966/$G$1, 0)</f>
        <v>0</v>
      </c>
      <c r="X15" s="3">
        <f>ROUNDUP('S27 Material Flow Matrix'!AF966/$G$1, 0)</f>
        <v>0</v>
      </c>
      <c r="Y15" s="3">
        <f>ROUNDUP('S27 Material Flow Matrix'!AG966/$G$1, 0)</f>
        <v>0</v>
      </c>
      <c r="Z15" s="3">
        <f>ROUNDUP('S27 Material Flow Matrix'!AH966/$G$1, 0)</f>
        <v>0</v>
      </c>
      <c r="AA15" s="3">
        <f>ROUNDUP('S27 Material Flow Matrix'!AI966/$G$1, 0)</f>
        <v>0</v>
      </c>
      <c r="AB15" s="3">
        <f>ROUNDUP('S27 Material Flow Matrix'!AJ966/$G$1, 0)</f>
        <v>0</v>
      </c>
      <c r="AC15" s="3">
        <f>ROUNDUP('S27 Material Flow Matrix'!AK966/$G$1, 0)</f>
        <v>0</v>
      </c>
      <c r="AD15" s="3">
        <f>ROUNDUP('S27 Material Flow Matrix'!AL966/$G$1, 0)</f>
        <v>0</v>
      </c>
      <c r="AE15" s="3">
        <f>ROUNDUP('S27 Material Flow Matrix'!AM966/$G$1, 0)</f>
        <v>0</v>
      </c>
      <c r="AF15" s="3">
        <f>ROUNDUP('S27 Material Flow Matrix'!AN966/$G$1, 0)</f>
        <v>0</v>
      </c>
      <c r="AG15" s="3">
        <f>ROUNDUP('S27 Material Flow Matrix'!AO966/$G$1, 0)</f>
        <v>0</v>
      </c>
      <c r="AH15" s="3">
        <f>ROUNDUP('S27 Material Flow Matrix'!AP966/$G$1, 0)</f>
        <v>0</v>
      </c>
      <c r="AI15" s="3">
        <f>ROUNDUP('S27 Material Flow Matrix'!AQ966/$G$1, 0)</f>
        <v>0</v>
      </c>
      <c r="AJ15" s="3">
        <f>ROUNDUP('S27 Material Flow Matrix'!AR966/$G$1, 0)</f>
        <v>0</v>
      </c>
      <c r="AK15" s="3">
        <f>ROUNDUP('S27 Material Flow Matrix'!AS966/$G$1, 0)</f>
        <v>0</v>
      </c>
      <c r="AL15" s="3">
        <f>ROUNDUP('S27 Material Flow Matrix'!AT966/$G$1, 0)</f>
        <v>0</v>
      </c>
      <c r="AM15" s="3">
        <f>ROUNDUP('S27 Material Flow Matrix'!AU966/$G$1, 0)</f>
        <v>0</v>
      </c>
      <c r="AN15" s="3">
        <f>ROUNDUP('S27 Material Flow Matrix'!AV966/$G$1, 0)</f>
        <v>0</v>
      </c>
      <c r="AO15" s="3">
        <f>ROUNDUP('S27 Material Flow Matrix'!AW966/$G$1, 0)</f>
        <v>0</v>
      </c>
      <c r="AP15" s="3">
        <f>ROUNDUP('S27 Material Flow Matrix'!AX966/$G$1, 0)</f>
        <v>0</v>
      </c>
      <c r="AQ15" s="3">
        <f>ROUNDUP('S27 Material Flow Matrix'!AY966/$G$1, 0)</f>
        <v>0</v>
      </c>
      <c r="AR15" s="3">
        <f>ROUNDUP('S27 Material Flow Matrix'!AZ966/$G$1, 0)</f>
        <v>0</v>
      </c>
      <c r="AS15" s="3">
        <f>ROUNDUP('S27 Material Flow Matrix'!BA966/$G$1, 0)</f>
        <v>0</v>
      </c>
    </row>
    <row r="16" spans="1:45">
      <c r="A16" s="288" t="s">
        <v>586</v>
      </c>
      <c r="B16" s="3">
        <f>ROUNDUP('S27 Material Flow Matrix'!J967/$G$1, 0)</f>
        <v>0</v>
      </c>
      <c r="C16" s="3">
        <f>ROUNDUP('S27 Material Flow Matrix'!K967/$G$1, 0)</f>
        <v>0</v>
      </c>
      <c r="D16" s="3">
        <f>ROUNDUP('S27 Material Flow Matrix'!L967/$G$1, 0)</f>
        <v>0</v>
      </c>
      <c r="E16" s="3">
        <f>ROUNDUP('S27 Material Flow Matrix'!M967/$G$1, 0)</f>
        <v>0</v>
      </c>
      <c r="F16" s="3">
        <f>ROUNDUP('S27 Material Flow Matrix'!N967/$G$1, 0)</f>
        <v>0</v>
      </c>
      <c r="G16" s="3">
        <f>ROUNDUP('S27 Material Flow Matrix'!O967/$G$1, 0)</f>
        <v>0</v>
      </c>
      <c r="H16" s="3">
        <f>ROUNDUP('S27 Material Flow Matrix'!P967/$G$1, 0)</f>
        <v>0</v>
      </c>
      <c r="I16" s="3">
        <f>ROUNDUP('S27 Material Flow Matrix'!Q967/$G$1, 0)</f>
        <v>0</v>
      </c>
      <c r="J16" s="3">
        <f>ROUNDUP('S27 Material Flow Matrix'!R967/$G$1, 0)</f>
        <v>0</v>
      </c>
      <c r="K16" s="3">
        <f>ROUNDUP('S27 Material Flow Matrix'!S967/$G$1, 0)</f>
        <v>0</v>
      </c>
      <c r="L16" s="3">
        <f>ROUNDUP('S27 Material Flow Matrix'!T967/$G$1, 0)</f>
        <v>0</v>
      </c>
      <c r="M16" s="3">
        <f>ROUNDUP('S27 Material Flow Matrix'!U967/$G$1, 0)</f>
        <v>0</v>
      </c>
      <c r="N16" s="3">
        <f>ROUNDUP('S27 Material Flow Matrix'!V967/$G$1, 0)</f>
        <v>0</v>
      </c>
      <c r="O16" s="3">
        <f>ROUNDUP('S27 Material Flow Matrix'!W967/$G$1, 0)</f>
        <v>0</v>
      </c>
      <c r="P16" s="3">
        <f>ROUNDUP('S27 Material Flow Matrix'!X967/$G$1, 0)</f>
        <v>0</v>
      </c>
      <c r="Q16" s="3">
        <f>ROUNDUP('S27 Material Flow Matrix'!Y967/$G$1, 0)</f>
        <v>0</v>
      </c>
      <c r="R16" s="3">
        <f>ROUNDUP('S27 Material Flow Matrix'!Z967/$G$1, 0)</f>
        <v>0</v>
      </c>
      <c r="S16" s="3">
        <f>ROUNDUP('S27 Material Flow Matrix'!AA967/$G$1, 0)</f>
        <v>0</v>
      </c>
      <c r="T16" s="3">
        <f>ROUNDUP('S27 Material Flow Matrix'!AB967/$G$1, 0)</f>
        <v>0</v>
      </c>
      <c r="U16" s="3">
        <f>ROUNDUP('S27 Material Flow Matrix'!AC967/$G$1, 0)</f>
        <v>0</v>
      </c>
      <c r="V16" s="3">
        <f>ROUNDUP('S27 Material Flow Matrix'!AD967/$G$1, 0)</f>
        <v>0</v>
      </c>
      <c r="W16" s="3">
        <f>ROUNDUP('S27 Material Flow Matrix'!AE967/$G$1, 0)</f>
        <v>0</v>
      </c>
      <c r="X16" s="3">
        <f>ROUNDUP('S27 Material Flow Matrix'!AF967/$G$1, 0)</f>
        <v>0</v>
      </c>
      <c r="Y16" s="3">
        <f>ROUNDUP('S27 Material Flow Matrix'!AG967/$G$1, 0)</f>
        <v>0</v>
      </c>
      <c r="Z16" s="3">
        <f>ROUNDUP('S27 Material Flow Matrix'!AH967/$G$1, 0)</f>
        <v>0</v>
      </c>
      <c r="AA16" s="3">
        <f>ROUNDUP('S27 Material Flow Matrix'!AI967/$G$1, 0)</f>
        <v>0</v>
      </c>
      <c r="AB16" s="3">
        <f>ROUNDUP('S27 Material Flow Matrix'!AJ967/$G$1, 0)</f>
        <v>0</v>
      </c>
      <c r="AC16" s="3">
        <f>ROUNDUP('S27 Material Flow Matrix'!AK967/$G$1, 0)</f>
        <v>0</v>
      </c>
      <c r="AD16" s="3">
        <f>ROUNDUP('S27 Material Flow Matrix'!AL967/$G$1, 0)</f>
        <v>0</v>
      </c>
      <c r="AE16" s="3">
        <f>ROUNDUP('S27 Material Flow Matrix'!AM967/$G$1, 0)</f>
        <v>0</v>
      </c>
      <c r="AF16" s="3">
        <f>ROUNDUP('S27 Material Flow Matrix'!AN967/$G$1, 0)</f>
        <v>0</v>
      </c>
      <c r="AG16" s="3">
        <f>ROUNDUP('S27 Material Flow Matrix'!AO967/$G$1, 0)</f>
        <v>0</v>
      </c>
      <c r="AH16" s="3">
        <f>ROUNDUP('S27 Material Flow Matrix'!AP967/$G$1, 0)</f>
        <v>0</v>
      </c>
      <c r="AI16" s="3">
        <f>ROUNDUP('S27 Material Flow Matrix'!AQ967/$G$1, 0)</f>
        <v>0</v>
      </c>
      <c r="AJ16" s="3">
        <f>ROUNDUP('S27 Material Flow Matrix'!AR967/$G$1, 0)</f>
        <v>0</v>
      </c>
      <c r="AK16" s="3">
        <f>ROUNDUP('S27 Material Flow Matrix'!AS967/$G$1, 0)</f>
        <v>0</v>
      </c>
      <c r="AL16" s="3">
        <f>ROUNDUP('S27 Material Flow Matrix'!AT967/$G$1, 0)</f>
        <v>0</v>
      </c>
      <c r="AM16" s="3">
        <f>ROUNDUP('S27 Material Flow Matrix'!AU967/$G$1, 0)</f>
        <v>0</v>
      </c>
      <c r="AN16" s="3">
        <f>ROUNDUP('S27 Material Flow Matrix'!AV967/$G$1, 0)</f>
        <v>0</v>
      </c>
      <c r="AO16" s="3">
        <f>ROUNDUP('S27 Material Flow Matrix'!AW967/$G$1, 0)</f>
        <v>0</v>
      </c>
      <c r="AP16" s="3">
        <f>ROUNDUP('S27 Material Flow Matrix'!AX967/$G$1, 0)</f>
        <v>0</v>
      </c>
      <c r="AQ16" s="3">
        <f>ROUNDUP('S27 Material Flow Matrix'!AY967/$G$1, 0)</f>
        <v>0</v>
      </c>
      <c r="AR16" s="3">
        <f>ROUNDUP('S27 Material Flow Matrix'!AZ967/$G$1, 0)</f>
        <v>0</v>
      </c>
      <c r="AS16" s="3">
        <f>ROUNDUP('S27 Material Flow Matrix'!BA967/$G$1, 0)</f>
        <v>0</v>
      </c>
    </row>
    <row r="17" spans="1:45">
      <c r="A17" s="288" t="s">
        <v>587</v>
      </c>
      <c r="B17" s="3">
        <f>ROUNDUP('S27 Material Flow Matrix'!J968/$G$1, 0)</f>
        <v>0</v>
      </c>
      <c r="C17" s="3">
        <f>ROUNDUP('S27 Material Flow Matrix'!K968/$G$1, 0)</f>
        <v>0</v>
      </c>
      <c r="D17" s="3">
        <f>ROUNDUP('S27 Material Flow Matrix'!L968/$G$1, 0)</f>
        <v>0</v>
      </c>
      <c r="E17" s="3">
        <f>ROUNDUP('S27 Material Flow Matrix'!M968/$G$1, 0)</f>
        <v>0</v>
      </c>
      <c r="F17" s="3">
        <f>ROUNDUP('S27 Material Flow Matrix'!N968/$G$1, 0)</f>
        <v>0</v>
      </c>
      <c r="G17" s="3">
        <f>ROUNDUP('S27 Material Flow Matrix'!O968/$G$1, 0)</f>
        <v>0</v>
      </c>
      <c r="H17" s="3">
        <f>ROUNDUP('S27 Material Flow Matrix'!P968/$G$1, 0)</f>
        <v>0</v>
      </c>
      <c r="I17" s="3">
        <f>ROUNDUP('S27 Material Flow Matrix'!Q968/$G$1, 0)</f>
        <v>0</v>
      </c>
      <c r="J17" s="3">
        <f>ROUNDUP('S27 Material Flow Matrix'!R968/$G$1, 0)</f>
        <v>0</v>
      </c>
      <c r="K17" s="3">
        <f>ROUNDUP('S27 Material Flow Matrix'!S968/$G$1, 0)</f>
        <v>0</v>
      </c>
      <c r="L17" s="3">
        <f>ROUNDUP('S27 Material Flow Matrix'!T968/$G$1, 0)</f>
        <v>0</v>
      </c>
      <c r="M17" s="3">
        <f>ROUNDUP('S27 Material Flow Matrix'!U968/$G$1, 0)</f>
        <v>0</v>
      </c>
      <c r="N17" s="3">
        <f>ROUNDUP('S27 Material Flow Matrix'!V968/$G$1, 0)</f>
        <v>0</v>
      </c>
      <c r="O17" s="3">
        <f>ROUNDUP('S27 Material Flow Matrix'!W968/$G$1, 0)</f>
        <v>0</v>
      </c>
      <c r="P17" s="3">
        <f>ROUNDUP('S27 Material Flow Matrix'!X968/$G$1, 0)</f>
        <v>0</v>
      </c>
      <c r="Q17" s="3">
        <f>ROUNDUP('S27 Material Flow Matrix'!Y968/$G$1, 0)</f>
        <v>0</v>
      </c>
      <c r="R17" s="3">
        <f>ROUNDUP('S27 Material Flow Matrix'!Z968/$G$1, 0)</f>
        <v>0</v>
      </c>
      <c r="S17" s="3">
        <f>ROUNDUP('S27 Material Flow Matrix'!AA968/$G$1, 0)</f>
        <v>0</v>
      </c>
      <c r="T17" s="3">
        <f>ROUNDUP('S27 Material Flow Matrix'!AB968/$G$1, 0)</f>
        <v>0</v>
      </c>
      <c r="U17" s="3">
        <f>ROUNDUP('S27 Material Flow Matrix'!AC968/$G$1, 0)</f>
        <v>0</v>
      </c>
      <c r="V17" s="3">
        <f>ROUNDUP('S27 Material Flow Matrix'!AD968/$G$1, 0)</f>
        <v>0</v>
      </c>
      <c r="W17" s="3">
        <f>ROUNDUP('S27 Material Flow Matrix'!AE968/$G$1, 0)</f>
        <v>0</v>
      </c>
      <c r="X17" s="3">
        <f>ROUNDUP('S27 Material Flow Matrix'!AF968/$G$1, 0)</f>
        <v>0</v>
      </c>
      <c r="Y17" s="3">
        <f>ROUNDUP('S27 Material Flow Matrix'!AG968/$G$1, 0)</f>
        <v>0</v>
      </c>
      <c r="Z17" s="3">
        <f>ROUNDUP('S27 Material Flow Matrix'!AH968/$G$1, 0)</f>
        <v>0</v>
      </c>
      <c r="AA17" s="3">
        <f>ROUNDUP('S27 Material Flow Matrix'!AI968/$G$1, 0)</f>
        <v>0</v>
      </c>
      <c r="AB17" s="3">
        <f>ROUNDUP('S27 Material Flow Matrix'!AJ968/$G$1, 0)</f>
        <v>0</v>
      </c>
      <c r="AC17" s="3">
        <f>ROUNDUP('S27 Material Flow Matrix'!AK968/$G$1, 0)</f>
        <v>0</v>
      </c>
      <c r="AD17" s="3">
        <f>ROUNDUP('S27 Material Flow Matrix'!AL968/$G$1, 0)</f>
        <v>0</v>
      </c>
      <c r="AE17" s="3">
        <f>ROUNDUP('S27 Material Flow Matrix'!AM968/$G$1, 0)</f>
        <v>0</v>
      </c>
      <c r="AF17" s="3">
        <f>ROUNDUP('S27 Material Flow Matrix'!AN968/$G$1, 0)</f>
        <v>0</v>
      </c>
      <c r="AG17" s="3">
        <f>ROUNDUP('S27 Material Flow Matrix'!AO968/$G$1, 0)</f>
        <v>0</v>
      </c>
      <c r="AH17" s="3">
        <f>ROUNDUP('S27 Material Flow Matrix'!AP968/$G$1, 0)</f>
        <v>0</v>
      </c>
      <c r="AI17" s="3">
        <f>ROUNDUP('S27 Material Flow Matrix'!AQ968/$G$1, 0)</f>
        <v>0</v>
      </c>
      <c r="AJ17" s="3">
        <f>ROUNDUP('S27 Material Flow Matrix'!AR968/$G$1, 0)</f>
        <v>0</v>
      </c>
      <c r="AK17" s="3">
        <f>ROUNDUP('S27 Material Flow Matrix'!AS968/$G$1, 0)</f>
        <v>0</v>
      </c>
      <c r="AL17" s="3">
        <f>ROUNDUP('S27 Material Flow Matrix'!AT968/$G$1, 0)</f>
        <v>0</v>
      </c>
      <c r="AM17" s="3">
        <f>ROUNDUP('S27 Material Flow Matrix'!AU968/$G$1, 0)</f>
        <v>0</v>
      </c>
      <c r="AN17" s="3">
        <f>ROUNDUP('S27 Material Flow Matrix'!AV968/$G$1, 0)</f>
        <v>0</v>
      </c>
      <c r="AO17" s="3">
        <f>ROUNDUP('S27 Material Flow Matrix'!AW968/$G$1, 0)</f>
        <v>0</v>
      </c>
      <c r="AP17" s="3">
        <f>ROUNDUP('S27 Material Flow Matrix'!AX968/$G$1, 0)</f>
        <v>0</v>
      </c>
      <c r="AQ17" s="3">
        <f>ROUNDUP('S27 Material Flow Matrix'!AY968/$G$1, 0)</f>
        <v>0</v>
      </c>
      <c r="AR17" s="3">
        <f>ROUNDUP('S27 Material Flow Matrix'!AZ968/$G$1, 0)</f>
        <v>0</v>
      </c>
      <c r="AS17" s="3">
        <f>ROUNDUP('S27 Material Flow Matrix'!BA968/$G$1, 0)</f>
        <v>0</v>
      </c>
    </row>
    <row r="18" spans="1:45">
      <c r="A18" s="288" t="s">
        <v>588</v>
      </c>
      <c r="B18" s="3">
        <f>ROUNDUP('S27 Material Flow Matrix'!J969/$G$1, 0)</f>
        <v>0</v>
      </c>
      <c r="C18" s="3">
        <f>ROUNDUP('S27 Material Flow Matrix'!K969/$G$1, 0)</f>
        <v>0</v>
      </c>
      <c r="D18" s="3">
        <f>ROUNDUP('S27 Material Flow Matrix'!L969/$G$1, 0)</f>
        <v>0</v>
      </c>
      <c r="E18" s="3">
        <f>ROUNDUP('S27 Material Flow Matrix'!M969/$G$1, 0)</f>
        <v>0</v>
      </c>
      <c r="F18" s="3">
        <f>ROUNDUP('S27 Material Flow Matrix'!N969/$G$1, 0)</f>
        <v>0</v>
      </c>
      <c r="G18" s="3">
        <f>ROUNDUP('S27 Material Flow Matrix'!O969/$G$1, 0)</f>
        <v>0</v>
      </c>
      <c r="H18" s="3">
        <f>ROUNDUP('S27 Material Flow Matrix'!P969/$G$1, 0)</f>
        <v>0</v>
      </c>
      <c r="I18" s="3">
        <f>ROUNDUP('S27 Material Flow Matrix'!Q969/$G$1, 0)</f>
        <v>0</v>
      </c>
      <c r="J18" s="3">
        <f>ROUNDUP('S27 Material Flow Matrix'!R969/$G$1, 0)</f>
        <v>0</v>
      </c>
      <c r="K18" s="3">
        <f>ROUNDUP('S27 Material Flow Matrix'!S969/$G$1, 0)</f>
        <v>0</v>
      </c>
      <c r="L18" s="3">
        <f>ROUNDUP('S27 Material Flow Matrix'!T969/$G$1, 0)</f>
        <v>0</v>
      </c>
      <c r="M18" s="3">
        <f>ROUNDUP('S27 Material Flow Matrix'!U969/$G$1, 0)</f>
        <v>0</v>
      </c>
      <c r="N18" s="3">
        <f>ROUNDUP('S27 Material Flow Matrix'!V969/$G$1, 0)</f>
        <v>0</v>
      </c>
      <c r="O18" s="3">
        <f>ROUNDUP('S27 Material Flow Matrix'!W969/$G$1, 0)</f>
        <v>0</v>
      </c>
      <c r="P18" s="3">
        <f>ROUNDUP('S27 Material Flow Matrix'!X969/$G$1, 0)</f>
        <v>0</v>
      </c>
      <c r="Q18" s="3">
        <f>ROUNDUP('S27 Material Flow Matrix'!Y969/$G$1, 0)</f>
        <v>0</v>
      </c>
      <c r="R18" s="3">
        <f>ROUNDUP('S27 Material Flow Matrix'!Z969/$G$1, 0)</f>
        <v>0</v>
      </c>
      <c r="S18" s="3">
        <f>ROUNDUP('S27 Material Flow Matrix'!AA969/$G$1, 0)</f>
        <v>0</v>
      </c>
      <c r="T18" s="3">
        <f>ROUNDUP('S27 Material Flow Matrix'!AB969/$G$1, 0)</f>
        <v>0</v>
      </c>
      <c r="U18" s="3">
        <f>ROUNDUP('S27 Material Flow Matrix'!AC969/$G$1, 0)</f>
        <v>0</v>
      </c>
      <c r="V18" s="3">
        <f>ROUNDUP('S27 Material Flow Matrix'!AD969/$G$1, 0)</f>
        <v>0</v>
      </c>
      <c r="W18" s="3">
        <f>ROUNDUP('S27 Material Flow Matrix'!AE969/$G$1, 0)</f>
        <v>0</v>
      </c>
      <c r="X18" s="3">
        <f>ROUNDUP('S27 Material Flow Matrix'!AF969/$G$1, 0)</f>
        <v>0</v>
      </c>
      <c r="Y18" s="3">
        <f>ROUNDUP('S27 Material Flow Matrix'!AG969/$G$1, 0)</f>
        <v>0</v>
      </c>
      <c r="Z18" s="3">
        <f>ROUNDUP('S27 Material Flow Matrix'!AH969/$G$1, 0)</f>
        <v>0</v>
      </c>
      <c r="AA18" s="3">
        <f>ROUNDUP('S27 Material Flow Matrix'!AI969/$G$1, 0)</f>
        <v>0</v>
      </c>
      <c r="AB18" s="3">
        <f>ROUNDUP('S27 Material Flow Matrix'!AJ969/$G$1, 0)</f>
        <v>0</v>
      </c>
      <c r="AC18" s="3">
        <f>ROUNDUP('S27 Material Flow Matrix'!AK969/$G$1, 0)</f>
        <v>0</v>
      </c>
      <c r="AD18" s="3">
        <f>ROUNDUP('S27 Material Flow Matrix'!AL969/$G$1, 0)</f>
        <v>0</v>
      </c>
      <c r="AE18" s="3">
        <f>ROUNDUP('S27 Material Flow Matrix'!AM969/$G$1, 0)</f>
        <v>0</v>
      </c>
      <c r="AF18" s="3">
        <f>ROUNDUP('S27 Material Flow Matrix'!AN969/$G$1, 0)</f>
        <v>0</v>
      </c>
      <c r="AG18" s="3">
        <f>ROUNDUP('S27 Material Flow Matrix'!AO969/$G$1, 0)</f>
        <v>0</v>
      </c>
      <c r="AH18" s="3">
        <f>ROUNDUP('S27 Material Flow Matrix'!AP969/$G$1, 0)</f>
        <v>0</v>
      </c>
      <c r="AI18" s="3">
        <f>ROUNDUP('S27 Material Flow Matrix'!AQ969/$G$1, 0)</f>
        <v>0</v>
      </c>
      <c r="AJ18" s="3">
        <f>ROUNDUP('S27 Material Flow Matrix'!AR969/$G$1, 0)</f>
        <v>0</v>
      </c>
      <c r="AK18" s="3">
        <f>ROUNDUP('S27 Material Flow Matrix'!AS969/$G$1, 0)</f>
        <v>0</v>
      </c>
      <c r="AL18" s="3">
        <f>ROUNDUP('S27 Material Flow Matrix'!AT969/$G$1, 0)</f>
        <v>0</v>
      </c>
      <c r="AM18" s="3">
        <f>ROUNDUP('S27 Material Flow Matrix'!AU969/$G$1, 0)</f>
        <v>0</v>
      </c>
      <c r="AN18" s="3">
        <f>ROUNDUP('S27 Material Flow Matrix'!AV969/$G$1, 0)</f>
        <v>0</v>
      </c>
      <c r="AO18" s="3">
        <f>ROUNDUP('S27 Material Flow Matrix'!AW969/$G$1, 0)</f>
        <v>0</v>
      </c>
      <c r="AP18" s="3">
        <f>ROUNDUP('S27 Material Flow Matrix'!AX969/$G$1, 0)</f>
        <v>0</v>
      </c>
      <c r="AQ18" s="3">
        <f>ROUNDUP('S27 Material Flow Matrix'!AY969/$G$1, 0)</f>
        <v>0</v>
      </c>
      <c r="AR18" s="3">
        <f>ROUNDUP('S27 Material Flow Matrix'!AZ969/$G$1, 0)</f>
        <v>0</v>
      </c>
      <c r="AS18" s="3">
        <f>ROUNDUP('S27 Material Flow Matrix'!BA969/$G$1, 0)</f>
        <v>0</v>
      </c>
    </row>
    <row r="19" spans="1:45">
      <c r="A19" s="288" t="s">
        <v>589</v>
      </c>
      <c r="B19" s="3">
        <f>ROUNDUP('S27 Material Flow Matrix'!J970/$G$1, 0)</f>
        <v>0</v>
      </c>
      <c r="C19" s="3">
        <f>ROUNDUP('S27 Material Flow Matrix'!K970/$G$1, 0)</f>
        <v>0</v>
      </c>
      <c r="D19" s="3">
        <f>ROUNDUP('S27 Material Flow Matrix'!L970/$G$1, 0)</f>
        <v>0</v>
      </c>
      <c r="E19" s="3">
        <f>ROUNDUP('S27 Material Flow Matrix'!M970/$G$1, 0)</f>
        <v>0</v>
      </c>
      <c r="F19" s="3">
        <f>ROUNDUP('S27 Material Flow Matrix'!N970/$G$1, 0)</f>
        <v>0</v>
      </c>
      <c r="G19" s="3">
        <f>ROUNDUP('S27 Material Flow Matrix'!O970/$G$1, 0)</f>
        <v>0</v>
      </c>
      <c r="H19" s="3">
        <f>ROUNDUP('S27 Material Flow Matrix'!P970/$G$1, 0)</f>
        <v>0</v>
      </c>
      <c r="I19" s="3">
        <f>ROUNDUP('S27 Material Flow Matrix'!Q970/$G$1, 0)</f>
        <v>0</v>
      </c>
      <c r="J19" s="3">
        <f>ROUNDUP('S27 Material Flow Matrix'!R970/$G$1, 0)</f>
        <v>0</v>
      </c>
      <c r="K19" s="3">
        <f>ROUNDUP('S27 Material Flow Matrix'!S970/$G$1, 0)</f>
        <v>0</v>
      </c>
      <c r="L19" s="3">
        <f>ROUNDUP('S27 Material Flow Matrix'!T970/$G$1, 0)</f>
        <v>0</v>
      </c>
      <c r="M19" s="3">
        <f>ROUNDUP('S27 Material Flow Matrix'!U970/$G$1, 0)</f>
        <v>0</v>
      </c>
      <c r="N19" s="3">
        <f>ROUNDUP('S27 Material Flow Matrix'!V970/$G$1, 0)</f>
        <v>0</v>
      </c>
      <c r="O19" s="3">
        <f>ROUNDUP('S27 Material Flow Matrix'!W970/$G$1, 0)</f>
        <v>0</v>
      </c>
      <c r="P19" s="3">
        <f>ROUNDUP('S27 Material Flow Matrix'!X970/$G$1, 0)</f>
        <v>0</v>
      </c>
      <c r="Q19" s="3">
        <f>ROUNDUP('S27 Material Flow Matrix'!Y970/$G$1, 0)</f>
        <v>0</v>
      </c>
      <c r="R19" s="3">
        <f>ROUNDUP('S27 Material Flow Matrix'!Z970/$G$1, 0)</f>
        <v>0</v>
      </c>
      <c r="S19" s="3">
        <f>ROUNDUP('S27 Material Flow Matrix'!AA970/$G$1, 0)</f>
        <v>0</v>
      </c>
      <c r="T19" s="3">
        <f>ROUNDUP('S27 Material Flow Matrix'!AB970/$G$1, 0)</f>
        <v>0</v>
      </c>
      <c r="U19" s="3">
        <f>ROUNDUP('S27 Material Flow Matrix'!AC970/$G$1, 0)</f>
        <v>0</v>
      </c>
      <c r="V19" s="3">
        <f>ROUNDUP('S27 Material Flow Matrix'!AD970/$G$1, 0)</f>
        <v>0</v>
      </c>
      <c r="W19" s="3">
        <f>ROUNDUP('S27 Material Flow Matrix'!AE970/$G$1, 0)</f>
        <v>0</v>
      </c>
      <c r="X19" s="3">
        <f>ROUNDUP('S27 Material Flow Matrix'!AF970/$G$1, 0)</f>
        <v>0</v>
      </c>
      <c r="Y19" s="3">
        <f>ROUNDUP('S27 Material Flow Matrix'!AG970/$G$1, 0)</f>
        <v>0</v>
      </c>
      <c r="Z19" s="3">
        <f>ROUNDUP('S27 Material Flow Matrix'!AH970/$G$1, 0)</f>
        <v>0</v>
      </c>
      <c r="AA19" s="3">
        <f>ROUNDUP('S27 Material Flow Matrix'!AI970/$G$1, 0)</f>
        <v>0</v>
      </c>
      <c r="AB19" s="3">
        <f>ROUNDUP('S27 Material Flow Matrix'!AJ970/$G$1, 0)</f>
        <v>0</v>
      </c>
      <c r="AC19" s="3">
        <f>ROUNDUP('S27 Material Flow Matrix'!AK970/$G$1, 0)</f>
        <v>0</v>
      </c>
      <c r="AD19" s="3">
        <f>ROUNDUP('S27 Material Flow Matrix'!AL970/$G$1, 0)</f>
        <v>0</v>
      </c>
      <c r="AE19" s="3">
        <f>ROUNDUP('S27 Material Flow Matrix'!AM970/$G$1, 0)</f>
        <v>0</v>
      </c>
      <c r="AF19" s="3">
        <f>ROUNDUP('S27 Material Flow Matrix'!AN970/$G$1, 0)</f>
        <v>0</v>
      </c>
      <c r="AG19" s="3">
        <f>ROUNDUP('S27 Material Flow Matrix'!AO970/$G$1, 0)</f>
        <v>0</v>
      </c>
      <c r="AH19" s="3">
        <f>ROUNDUP('S27 Material Flow Matrix'!AP970/$G$1, 0)</f>
        <v>0</v>
      </c>
      <c r="AI19" s="3">
        <f>ROUNDUP('S27 Material Flow Matrix'!AQ970/$G$1, 0)</f>
        <v>0</v>
      </c>
      <c r="AJ19" s="3">
        <f>ROUNDUP('S27 Material Flow Matrix'!AR970/$G$1, 0)</f>
        <v>0</v>
      </c>
      <c r="AK19" s="3">
        <f>ROUNDUP('S27 Material Flow Matrix'!AS970/$G$1, 0)</f>
        <v>0</v>
      </c>
      <c r="AL19" s="3">
        <f>ROUNDUP('S27 Material Flow Matrix'!AT970/$G$1, 0)</f>
        <v>0</v>
      </c>
      <c r="AM19" s="3">
        <f>ROUNDUP('S27 Material Flow Matrix'!AU970/$G$1, 0)</f>
        <v>0</v>
      </c>
      <c r="AN19" s="3">
        <f>ROUNDUP('S27 Material Flow Matrix'!AV970/$G$1, 0)</f>
        <v>0</v>
      </c>
      <c r="AO19" s="3">
        <f>ROUNDUP('S27 Material Flow Matrix'!AW970/$G$1, 0)</f>
        <v>0</v>
      </c>
      <c r="AP19" s="3">
        <f>ROUNDUP('S27 Material Flow Matrix'!AX970/$G$1, 0)</f>
        <v>0</v>
      </c>
      <c r="AQ19" s="3">
        <f>ROUNDUP('S27 Material Flow Matrix'!AY970/$G$1, 0)</f>
        <v>0</v>
      </c>
      <c r="AR19" s="3">
        <f>ROUNDUP('S27 Material Flow Matrix'!AZ970/$G$1, 0)</f>
        <v>0</v>
      </c>
      <c r="AS19" s="3">
        <f>ROUNDUP('S27 Material Flow Matrix'!BA970/$G$1, 0)</f>
        <v>0</v>
      </c>
    </row>
    <row r="20" spans="1:45">
      <c r="A20" s="288" t="s">
        <v>590</v>
      </c>
      <c r="B20" s="3">
        <f>ROUNDUP('S27 Material Flow Matrix'!J971/$G$1, 0)</f>
        <v>0</v>
      </c>
      <c r="C20" s="3">
        <f>ROUNDUP('S27 Material Flow Matrix'!K971/$G$1, 0)</f>
        <v>0</v>
      </c>
      <c r="D20" s="3">
        <f>ROUNDUP('S27 Material Flow Matrix'!L971/$G$1, 0)</f>
        <v>0</v>
      </c>
      <c r="E20" s="3">
        <f>ROUNDUP('S27 Material Flow Matrix'!M971/$G$1, 0)</f>
        <v>0</v>
      </c>
      <c r="F20" s="3">
        <f>ROUNDUP('S27 Material Flow Matrix'!N971/$G$1, 0)</f>
        <v>0</v>
      </c>
      <c r="G20" s="3">
        <f>ROUNDUP('S27 Material Flow Matrix'!O971/$G$1, 0)</f>
        <v>0</v>
      </c>
      <c r="H20" s="3">
        <f>ROUNDUP('S27 Material Flow Matrix'!P971/$G$1, 0)</f>
        <v>0</v>
      </c>
      <c r="I20" s="3">
        <f>ROUNDUP('S27 Material Flow Matrix'!Q971/$G$1, 0)</f>
        <v>0</v>
      </c>
      <c r="J20" s="3">
        <f>ROUNDUP('S27 Material Flow Matrix'!R971/$G$1, 0)</f>
        <v>0</v>
      </c>
      <c r="K20" s="3">
        <f>ROUNDUP('S27 Material Flow Matrix'!S971/$G$1, 0)</f>
        <v>0</v>
      </c>
      <c r="L20" s="3">
        <f>ROUNDUP('S27 Material Flow Matrix'!T971/$G$1, 0)</f>
        <v>0</v>
      </c>
      <c r="M20" s="3">
        <f>ROUNDUP('S27 Material Flow Matrix'!U971/$G$1, 0)</f>
        <v>0</v>
      </c>
      <c r="N20" s="3">
        <f>ROUNDUP('S27 Material Flow Matrix'!V971/$G$1, 0)</f>
        <v>0</v>
      </c>
      <c r="O20" s="3">
        <f>ROUNDUP('S27 Material Flow Matrix'!W971/$G$1, 0)</f>
        <v>0</v>
      </c>
      <c r="P20" s="3">
        <f>ROUNDUP('S27 Material Flow Matrix'!X971/$G$1, 0)</f>
        <v>0</v>
      </c>
      <c r="Q20" s="3">
        <f>ROUNDUP('S27 Material Flow Matrix'!Y971/$G$1, 0)</f>
        <v>0</v>
      </c>
      <c r="R20" s="3">
        <f>ROUNDUP('S27 Material Flow Matrix'!Z971/$G$1, 0)</f>
        <v>0</v>
      </c>
      <c r="S20" s="3">
        <f>ROUNDUP('S27 Material Flow Matrix'!AA971/$G$1, 0)</f>
        <v>0</v>
      </c>
      <c r="T20" s="3">
        <f>ROUNDUP('S27 Material Flow Matrix'!AB971/$G$1, 0)</f>
        <v>0</v>
      </c>
      <c r="U20" s="3">
        <f>ROUNDUP('S27 Material Flow Matrix'!AC971/$G$1, 0)</f>
        <v>0</v>
      </c>
      <c r="V20" s="3">
        <f>ROUNDUP('S27 Material Flow Matrix'!AD971/$G$1, 0)</f>
        <v>0</v>
      </c>
      <c r="W20" s="3">
        <f>ROUNDUP('S27 Material Flow Matrix'!AE971/$G$1, 0)</f>
        <v>0</v>
      </c>
      <c r="X20" s="3">
        <f>ROUNDUP('S27 Material Flow Matrix'!AF971/$G$1, 0)</f>
        <v>0</v>
      </c>
      <c r="Y20" s="3">
        <f>ROUNDUP('S27 Material Flow Matrix'!AG971/$G$1, 0)</f>
        <v>0</v>
      </c>
      <c r="Z20" s="3">
        <f>ROUNDUP('S27 Material Flow Matrix'!AH971/$G$1, 0)</f>
        <v>0</v>
      </c>
      <c r="AA20" s="3">
        <f>ROUNDUP('S27 Material Flow Matrix'!AI971/$G$1, 0)</f>
        <v>0</v>
      </c>
      <c r="AB20" s="3">
        <f>ROUNDUP('S27 Material Flow Matrix'!AJ971/$G$1, 0)</f>
        <v>0</v>
      </c>
      <c r="AC20" s="3">
        <f>ROUNDUP('S27 Material Flow Matrix'!AK971/$G$1, 0)</f>
        <v>0</v>
      </c>
      <c r="AD20" s="3">
        <f>ROUNDUP('S27 Material Flow Matrix'!AL971/$G$1, 0)</f>
        <v>0</v>
      </c>
      <c r="AE20" s="3">
        <f>ROUNDUP('S27 Material Flow Matrix'!AM971/$G$1, 0)</f>
        <v>0</v>
      </c>
      <c r="AF20" s="3">
        <f>ROUNDUP('S27 Material Flow Matrix'!AN971/$G$1, 0)</f>
        <v>0</v>
      </c>
      <c r="AG20" s="3">
        <f>ROUNDUP('S27 Material Flow Matrix'!AO971/$G$1, 0)</f>
        <v>0</v>
      </c>
      <c r="AH20" s="3">
        <f>ROUNDUP('S27 Material Flow Matrix'!AP971/$G$1, 0)</f>
        <v>0</v>
      </c>
      <c r="AI20" s="3">
        <f>ROUNDUP('S27 Material Flow Matrix'!AQ971/$G$1, 0)</f>
        <v>0</v>
      </c>
      <c r="AJ20" s="3">
        <f>ROUNDUP('S27 Material Flow Matrix'!AR971/$G$1, 0)</f>
        <v>0</v>
      </c>
      <c r="AK20" s="3">
        <f>ROUNDUP('S27 Material Flow Matrix'!AS971/$G$1, 0)</f>
        <v>0</v>
      </c>
      <c r="AL20" s="3">
        <f>ROUNDUP('S27 Material Flow Matrix'!AT971/$G$1, 0)</f>
        <v>0</v>
      </c>
      <c r="AM20" s="3">
        <f>ROUNDUP('S27 Material Flow Matrix'!AU971/$G$1, 0)</f>
        <v>0</v>
      </c>
      <c r="AN20" s="3">
        <f>ROUNDUP('S27 Material Flow Matrix'!AV971/$G$1, 0)</f>
        <v>0</v>
      </c>
      <c r="AO20" s="3">
        <f>ROUNDUP('S27 Material Flow Matrix'!AW971/$G$1, 0)</f>
        <v>0</v>
      </c>
      <c r="AP20" s="3">
        <f>ROUNDUP('S27 Material Flow Matrix'!AX971/$G$1, 0)</f>
        <v>0</v>
      </c>
      <c r="AQ20" s="3">
        <f>ROUNDUP('S27 Material Flow Matrix'!AY971/$G$1, 0)</f>
        <v>0</v>
      </c>
      <c r="AR20" s="3">
        <f>ROUNDUP('S27 Material Flow Matrix'!AZ971/$G$1, 0)</f>
        <v>0</v>
      </c>
      <c r="AS20" s="3">
        <f>ROUNDUP('S27 Material Flow Matrix'!BA971/$G$1, 0)</f>
        <v>0</v>
      </c>
    </row>
    <row r="21" spans="1:45">
      <c r="A21" s="288" t="s">
        <v>591</v>
      </c>
      <c r="B21" s="3">
        <f>ROUNDUP('S27 Material Flow Matrix'!J972/$G$1, 0)</f>
        <v>0</v>
      </c>
      <c r="C21" s="3">
        <f>ROUNDUP('S27 Material Flow Matrix'!K972/$G$1, 0)</f>
        <v>0</v>
      </c>
      <c r="D21" s="3">
        <f>ROUNDUP('S27 Material Flow Matrix'!L972/$G$1, 0)</f>
        <v>0</v>
      </c>
      <c r="E21" s="3">
        <f>ROUNDUP('S27 Material Flow Matrix'!M972/$G$1, 0)</f>
        <v>0</v>
      </c>
      <c r="F21" s="3">
        <f>ROUNDUP('S27 Material Flow Matrix'!N972/$G$1, 0)</f>
        <v>0</v>
      </c>
      <c r="G21" s="3">
        <f>ROUNDUP('S27 Material Flow Matrix'!O972/$G$1, 0)</f>
        <v>0</v>
      </c>
      <c r="H21" s="3">
        <f>ROUNDUP('S27 Material Flow Matrix'!P972/$G$1, 0)</f>
        <v>0</v>
      </c>
      <c r="I21" s="3">
        <f>ROUNDUP('S27 Material Flow Matrix'!Q972/$G$1, 0)</f>
        <v>0</v>
      </c>
      <c r="J21" s="3">
        <f>ROUNDUP('S27 Material Flow Matrix'!R972/$G$1, 0)</f>
        <v>0</v>
      </c>
      <c r="K21" s="3">
        <f>ROUNDUP('S27 Material Flow Matrix'!S972/$G$1, 0)</f>
        <v>0</v>
      </c>
      <c r="L21" s="3">
        <f>ROUNDUP('S27 Material Flow Matrix'!T972/$G$1, 0)</f>
        <v>0</v>
      </c>
      <c r="M21" s="3">
        <f>ROUNDUP('S27 Material Flow Matrix'!U972/$G$1, 0)</f>
        <v>0</v>
      </c>
      <c r="N21" s="3">
        <f>ROUNDUP('S27 Material Flow Matrix'!V972/$G$1, 0)</f>
        <v>0</v>
      </c>
      <c r="O21" s="3">
        <f>ROUNDUP('S27 Material Flow Matrix'!W972/$G$1, 0)</f>
        <v>0</v>
      </c>
      <c r="P21" s="3">
        <f>ROUNDUP('S27 Material Flow Matrix'!X972/$G$1, 0)</f>
        <v>0</v>
      </c>
      <c r="Q21" s="3">
        <f>ROUNDUP('S27 Material Flow Matrix'!Y972/$G$1, 0)</f>
        <v>0</v>
      </c>
      <c r="R21" s="3">
        <f>ROUNDUP('S27 Material Flow Matrix'!Z972/$G$1, 0)</f>
        <v>0</v>
      </c>
      <c r="S21" s="3">
        <f>ROUNDUP('S27 Material Flow Matrix'!AA972/$G$1, 0)</f>
        <v>0</v>
      </c>
      <c r="T21" s="3">
        <f>ROUNDUP('S27 Material Flow Matrix'!AB972/$G$1, 0)</f>
        <v>0</v>
      </c>
      <c r="U21" s="3">
        <f>ROUNDUP('S27 Material Flow Matrix'!AC972/$G$1, 0)</f>
        <v>0</v>
      </c>
      <c r="V21" s="3">
        <f>ROUNDUP('S27 Material Flow Matrix'!AD972/$G$1, 0)</f>
        <v>0</v>
      </c>
      <c r="W21" s="3">
        <f>ROUNDUP('S27 Material Flow Matrix'!AE972/$G$1, 0)</f>
        <v>0</v>
      </c>
      <c r="X21" s="3">
        <f>ROUNDUP('S27 Material Flow Matrix'!AF972/$G$1, 0)</f>
        <v>0</v>
      </c>
      <c r="Y21" s="3">
        <f>ROUNDUP('S27 Material Flow Matrix'!AG972/$G$1, 0)</f>
        <v>151</v>
      </c>
      <c r="Z21" s="3">
        <f>ROUNDUP('S27 Material Flow Matrix'!AH972/$G$1, 0)</f>
        <v>0</v>
      </c>
      <c r="AA21" s="3">
        <f>ROUNDUP('S27 Material Flow Matrix'!AI972/$G$1, 0)</f>
        <v>0</v>
      </c>
      <c r="AB21" s="3">
        <f>ROUNDUP('S27 Material Flow Matrix'!AJ972/$G$1, 0)</f>
        <v>0</v>
      </c>
      <c r="AC21" s="3">
        <f>ROUNDUP('S27 Material Flow Matrix'!AK972/$G$1, 0)</f>
        <v>0</v>
      </c>
      <c r="AD21" s="3">
        <f>ROUNDUP('S27 Material Flow Matrix'!AL972/$G$1, 0)</f>
        <v>0</v>
      </c>
      <c r="AE21" s="3">
        <f>ROUNDUP('S27 Material Flow Matrix'!AM972/$G$1, 0)</f>
        <v>0</v>
      </c>
      <c r="AF21" s="3">
        <f>ROUNDUP('S27 Material Flow Matrix'!AN972/$G$1, 0)</f>
        <v>0</v>
      </c>
      <c r="AG21" s="3">
        <f>ROUNDUP('S27 Material Flow Matrix'!AO972/$G$1, 0)</f>
        <v>0</v>
      </c>
      <c r="AH21" s="3">
        <f>ROUNDUP('S27 Material Flow Matrix'!AP972/$G$1, 0)</f>
        <v>0</v>
      </c>
      <c r="AI21" s="3">
        <f>ROUNDUP('S27 Material Flow Matrix'!AQ972/$G$1, 0)</f>
        <v>0</v>
      </c>
      <c r="AJ21" s="3">
        <f>ROUNDUP('S27 Material Flow Matrix'!AR972/$G$1, 0)</f>
        <v>0</v>
      </c>
      <c r="AK21" s="3">
        <f>ROUNDUP('S27 Material Flow Matrix'!AS972/$G$1, 0)</f>
        <v>0</v>
      </c>
      <c r="AL21" s="3">
        <f>ROUNDUP('S27 Material Flow Matrix'!AT972/$G$1, 0)</f>
        <v>0</v>
      </c>
      <c r="AM21" s="3">
        <f>ROUNDUP('S27 Material Flow Matrix'!AU972/$G$1, 0)</f>
        <v>0</v>
      </c>
      <c r="AN21" s="3">
        <f>ROUNDUP('S27 Material Flow Matrix'!AV972/$G$1, 0)</f>
        <v>0</v>
      </c>
      <c r="AO21" s="3">
        <f>ROUNDUP('S27 Material Flow Matrix'!AW972/$G$1, 0)</f>
        <v>0</v>
      </c>
      <c r="AP21" s="3">
        <f>ROUNDUP('S27 Material Flow Matrix'!AX972/$G$1, 0)</f>
        <v>0</v>
      </c>
      <c r="AQ21" s="3">
        <f>ROUNDUP('S27 Material Flow Matrix'!AY972/$G$1, 0)</f>
        <v>0</v>
      </c>
      <c r="AR21" s="3">
        <f>ROUNDUP('S27 Material Flow Matrix'!AZ972/$G$1, 0)</f>
        <v>0</v>
      </c>
      <c r="AS21" s="3">
        <f>ROUNDUP('S27 Material Flow Matrix'!BA972/$G$1, 0)</f>
        <v>0</v>
      </c>
    </row>
    <row r="22" spans="1:45">
      <c r="A22" s="288" t="s">
        <v>592</v>
      </c>
      <c r="B22" s="3">
        <f>ROUNDUP('S27 Material Flow Matrix'!J973/$G$1, 0)</f>
        <v>0</v>
      </c>
      <c r="C22" s="3">
        <f>ROUNDUP('S27 Material Flow Matrix'!K973/$G$1, 0)</f>
        <v>0</v>
      </c>
      <c r="D22" s="3">
        <f>ROUNDUP('S27 Material Flow Matrix'!L973/$G$1, 0)</f>
        <v>0</v>
      </c>
      <c r="E22" s="3">
        <f>ROUNDUP('S27 Material Flow Matrix'!M973/$G$1, 0)</f>
        <v>0</v>
      </c>
      <c r="F22" s="3">
        <f>ROUNDUP('S27 Material Flow Matrix'!N973/$G$1, 0)</f>
        <v>0</v>
      </c>
      <c r="G22" s="3">
        <f>ROUNDUP('S27 Material Flow Matrix'!O973/$G$1, 0)</f>
        <v>0</v>
      </c>
      <c r="H22" s="3">
        <f>ROUNDUP('S27 Material Flow Matrix'!P973/$G$1, 0)</f>
        <v>0</v>
      </c>
      <c r="I22" s="3">
        <f>ROUNDUP('S27 Material Flow Matrix'!Q973/$G$1, 0)</f>
        <v>0</v>
      </c>
      <c r="J22" s="3">
        <f>ROUNDUP('S27 Material Flow Matrix'!R973/$G$1, 0)</f>
        <v>0</v>
      </c>
      <c r="K22" s="3">
        <f>ROUNDUP('S27 Material Flow Matrix'!S973/$G$1, 0)</f>
        <v>0</v>
      </c>
      <c r="L22" s="3">
        <f>ROUNDUP('S27 Material Flow Matrix'!T973/$G$1, 0)</f>
        <v>0</v>
      </c>
      <c r="M22" s="3">
        <f>ROUNDUP('S27 Material Flow Matrix'!U973/$G$1, 0)</f>
        <v>0</v>
      </c>
      <c r="N22" s="3">
        <f>ROUNDUP('S27 Material Flow Matrix'!V973/$G$1, 0)</f>
        <v>0</v>
      </c>
      <c r="O22" s="3">
        <f>ROUNDUP('S27 Material Flow Matrix'!W973/$G$1, 0)</f>
        <v>0</v>
      </c>
      <c r="P22" s="3">
        <f>ROUNDUP('S27 Material Flow Matrix'!X973/$G$1, 0)</f>
        <v>0</v>
      </c>
      <c r="Q22" s="3">
        <f>ROUNDUP('S27 Material Flow Matrix'!Y973/$G$1, 0)</f>
        <v>0</v>
      </c>
      <c r="R22" s="3">
        <f>ROUNDUP('S27 Material Flow Matrix'!Z973/$G$1, 0)</f>
        <v>0</v>
      </c>
      <c r="S22" s="3">
        <f>ROUNDUP('S27 Material Flow Matrix'!AA973/$G$1, 0)</f>
        <v>0</v>
      </c>
      <c r="T22" s="3">
        <f>ROUNDUP('S27 Material Flow Matrix'!AB973/$G$1, 0)</f>
        <v>0</v>
      </c>
      <c r="U22" s="3">
        <f>ROUNDUP('S27 Material Flow Matrix'!AC973/$G$1, 0)</f>
        <v>0</v>
      </c>
      <c r="V22" s="3">
        <f>ROUNDUP('S27 Material Flow Matrix'!AD973/$G$1, 0)</f>
        <v>0</v>
      </c>
      <c r="W22" s="3">
        <f>ROUNDUP('S27 Material Flow Matrix'!AE973/$G$1, 0)</f>
        <v>0</v>
      </c>
      <c r="X22" s="3">
        <f>ROUNDUP('S27 Material Flow Matrix'!AF973/$G$1, 0)</f>
        <v>0</v>
      </c>
      <c r="Y22" s="3">
        <f>ROUNDUP('S27 Material Flow Matrix'!AG973/$G$1, 0)</f>
        <v>0</v>
      </c>
      <c r="Z22" s="3">
        <f>ROUNDUP('S27 Material Flow Matrix'!AH973/$G$1, 0)</f>
        <v>0</v>
      </c>
      <c r="AA22" s="3">
        <f>ROUNDUP('S27 Material Flow Matrix'!AI973/$G$1, 0)</f>
        <v>0</v>
      </c>
      <c r="AB22" s="3">
        <f>ROUNDUP('S27 Material Flow Matrix'!AJ973/$G$1, 0)</f>
        <v>0</v>
      </c>
      <c r="AC22" s="3">
        <f>ROUNDUP('S27 Material Flow Matrix'!AK973/$G$1, 0)</f>
        <v>0</v>
      </c>
      <c r="AD22" s="3">
        <f>ROUNDUP('S27 Material Flow Matrix'!AL973/$G$1, 0)</f>
        <v>0</v>
      </c>
      <c r="AE22" s="3">
        <f>ROUNDUP('S27 Material Flow Matrix'!AM973/$G$1, 0)</f>
        <v>0</v>
      </c>
      <c r="AF22" s="3">
        <f>ROUNDUP('S27 Material Flow Matrix'!AN973/$G$1, 0)</f>
        <v>0</v>
      </c>
      <c r="AG22" s="3">
        <f>ROUNDUP('S27 Material Flow Matrix'!AO973/$G$1, 0)</f>
        <v>0</v>
      </c>
      <c r="AH22" s="3">
        <f>ROUNDUP('S27 Material Flow Matrix'!AP973/$G$1, 0)</f>
        <v>0</v>
      </c>
      <c r="AI22" s="3">
        <f>ROUNDUP('S27 Material Flow Matrix'!AQ973/$G$1, 0)</f>
        <v>0</v>
      </c>
      <c r="AJ22" s="3">
        <f>ROUNDUP('S27 Material Flow Matrix'!AR973/$G$1, 0)</f>
        <v>0</v>
      </c>
      <c r="AK22" s="3">
        <f>ROUNDUP('S27 Material Flow Matrix'!AS973/$G$1, 0)</f>
        <v>0</v>
      </c>
      <c r="AL22" s="3">
        <f>ROUNDUP('S27 Material Flow Matrix'!AT973/$G$1, 0)</f>
        <v>0</v>
      </c>
      <c r="AM22" s="3">
        <f>ROUNDUP('S27 Material Flow Matrix'!AU973/$G$1, 0)</f>
        <v>0</v>
      </c>
      <c r="AN22" s="3">
        <f>ROUNDUP('S27 Material Flow Matrix'!AV973/$G$1, 0)</f>
        <v>0</v>
      </c>
      <c r="AO22" s="3">
        <f>ROUNDUP('S27 Material Flow Matrix'!AW973/$G$1, 0)</f>
        <v>0</v>
      </c>
      <c r="AP22" s="3">
        <f>ROUNDUP('S27 Material Flow Matrix'!AX973/$G$1, 0)</f>
        <v>0</v>
      </c>
      <c r="AQ22" s="3">
        <f>ROUNDUP('S27 Material Flow Matrix'!AY973/$G$1, 0)</f>
        <v>0</v>
      </c>
      <c r="AR22" s="3">
        <f>ROUNDUP('S27 Material Flow Matrix'!AZ973/$G$1, 0)</f>
        <v>0</v>
      </c>
      <c r="AS22" s="3">
        <f>ROUNDUP('S27 Material Flow Matrix'!BA973/$G$1, 0)</f>
        <v>0</v>
      </c>
    </row>
    <row r="23" spans="1:45">
      <c r="A23" s="288" t="s">
        <v>593</v>
      </c>
      <c r="B23" s="3">
        <f>ROUNDUP('S27 Material Flow Matrix'!J974/$G$1, 0)</f>
        <v>0</v>
      </c>
      <c r="C23" s="3">
        <f>ROUNDUP('S27 Material Flow Matrix'!K974/$G$1, 0)</f>
        <v>0</v>
      </c>
      <c r="D23" s="3">
        <f>ROUNDUP('S27 Material Flow Matrix'!L974/$G$1, 0)</f>
        <v>0</v>
      </c>
      <c r="E23" s="3">
        <f>ROUNDUP('S27 Material Flow Matrix'!M974/$G$1, 0)</f>
        <v>0</v>
      </c>
      <c r="F23" s="3">
        <f>ROUNDUP('S27 Material Flow Matrix'!N974/$G$1, 0)</f>
        <v>0</v>
      </c>
      <c r="G23" s="3">
        <f>ROUNDUP('S27 Material Flow Matrix'!O974/$G$1, 0)</f>
        <v>0</v>
      </c>
      <c r="H23" s="3">
        <f>ROUNDUP('S27 Material Flow Matrix'!P974/$G$1, 0)</f>
        <v>0</v>
      </c>
      <c r="I23" s="3">
        <f>ROUNDUP('S27 Material Flow Matrix'!Q974/$G$1, 0)</f>
        <v>0</v>
      </c>
      <c r="J23" s="3">
        <f>ROUNDUP('S27 Material Flow Matrix'!R974/$G$1, 0)</f>
        <v>0</v>
      </c>
      <c r="K23" s="3">
        <f>ROUNDUP('S27 Material Flow Matrix'!S974/$G$1, 0)</f>
        <v>0</v>
      </c>
      <c r="L23" s="3">
        <f>ROUNDUP('S27 Material Flow Matrix'!T974/$G$1, 0)</f>
        <v>0</v>
      </c>
      <c r="M23" s="3">
        <f>ROUNDUP('S27 Material Flow Matrix'!U974/$G$1, 0)</f>
        <v>0</v>
      </c>
      <c r="N23" s="3">
        <f>ROUNDUP('S27 Material Flow Matrix'!V974/$G$1, 0)</f>
        <v>0</v>
      </c>
      <c r="O23" s="3">
        <f>ROUNDUP('S27 Material Flow Matrix'!W974/$G$1, 0)</f>
        <v>0</v>
      </c>
      <c r="P23" s="3">
        <f>ROUNDUP('S27 Material Flow Matrix'!X974/$G$1, 0)</f>
        <v>0</v>
      </c>
      <c r="Q23" s="3">
        <f>ROUNDUP('S27 Material Flow Matrix'!Y974/$G$1, 0)</f>
        <v>0</v>
      </c>
      <c r="R23" s="3">
        <f>ROUNDUP('S27 Material Flow Matrix'!Z974/$G$1, 0)</f>
        <v>0</v>
      </c>
      <c r="S23" s="3">
        <f>ROUNDUP('S27 Material Flow Matrix'!AA974/$G$1, 0)</f>
        <v>0</v>
      </c>
      <c r="T23" s="3">
        <f>ROUNDUP('S27 Material Flow Matrix'!AB974/$G$1, 0)</f>
        <v>0</v>
      </c>
      <c r="U23" s="3">
        <f>ROUNDUP('S27 Material Flow Matrix'!AC974/$G$1, 0)</f>
        <v>0</v>
      </c>
      <c r="V23" s="3">
        <f>ROUNDUP('S27 Material Flow Matrix'!AD974/$G$1, 0)</f>
        <v>0</v>
      </c>
      <c r="W23" s="3">
        <f>ROUNDUP('S27 Material Flow Matrix'!AE974/$G$1, 0)</f>
        <v>0</v>
      </c>
      <c r="X23" s="3">
        <f>ROUNDUP('S27 Material Flow Matrix'!AF974/$G$1, 0)</f>
        <v>0</v>
      </c>
      <c r="Y23" s="3">
        <f>ROUNDUP('S27 Material Flow Matrix'!AG974/$G$1, 0)</f>
        <v>0</v>
      </c>
      <c r="Z23" s="3">
        <f>ROUNDUP('S27 Material Flow Matrix'!AH974/$G$1, 0)</f>
        <v>0</v>
      </c>
      <c r="AA23" s="3">
        <f>ROUNDUP('S27 Material Flow Matrix'!AI974/$G$1, 0)</f>
        <v>69</v>
      </c>
      <c r="AB23" s="3">
        <f>ROUNDUP('S27 Material Flow Matrix'!AJ974/$G$1, 0)</f>
        <v>0</v>
      </c>
      <c r="AC23" s="3">
        <f>ROUNDUP('S27 Material Flow Matrix'!AK974/$G$1, 0)</f>
        <v>0</v>
      </c>
      <c r="AD23" s="3">
        <f>ROUNDUP('S27 Material Flow Matrix'!AL974/$G$1, 0)</f>
        <v>0</v>
      </c>
      <c r="AE23" s="3">
        <f>ROUNDUP('S27 Material Flow Matrix'!AM974/$G$1, 0)</f>
        <v>0</v>
      </c>
      <c r="AF23" s="3">
        <f>ROUNDUP('S27 Material Flow Matrix'!AN974/$G$1, 0)</f>
        <v>0</v>
      </c>
      <c r="AG23" s="3">
        <f>ROUNDUP('S27 Material Flow Matrix'!AO974/$G$1, 0)</f>
        <v>0</v>
      </c>
      <c r="AH23" s="3">
        <f>ROUNDUP('S27 Material Flow Matrix'!AP974/$G$1, 0)</f>
        <v>0</v>
      </c>
      <c r="AI23" s="3">
        <f>ROUNDUP('S27 Material Flow Matrix'!AQ974/$G$1, 0)</f>
        <v>0</v>
      </c>
      <c r="AJ23" s="3">
        <f>ROUNDUP('S27 Material Flow Matrix'!AR974/$G$1, 0)</f>
        <v>0</v>
      </c>
      <c r="AK23" s="3">
        <f>ROUNDUP('S27 Material Flow Matrix'!AS974/$G$1, 0)</f>
        <v>0</v>
      </c>
      <c r="AL23" s="3">
        <f>ROUNDUP('S27 Material Flow Matrix'!AT974/$G$1, 0)</f>
        <v>0</v>
      </c>
      <c r="AM23" s="3">
        <f>ROUNDUP('S27 Material Flow Matrix'!AU974/$G$1, 0)</f>
        <v>0</v>
      </c>
      <c r="AN23" s="3">
        <f>ROUNDUP('S27 Material Flow Matrix'!AV974/$G$1, 0)</f>
        <v>0</v>
      </c>
      <c r="AO23" s="3">
        <f>ROUNDUP('S27 Material Flow Matrix'!AW974/$G$1, 0)</f>
        <v>0</v>
      </c>
      <c r="AP23" s="3">
        <f>ROUNDUP('S27 Material Flow Matrix'!AX974/$G$1, 0)</f>
        <v>0</v>
      </c>
      <c r="AQ23" s="3">
        <f>ROUNDUP('S27 Material Flow Matrix'!AY974/$G$1, 0)</f>
        <v>0</v>
      </c>
      <c r="AR23" s="3">
        <f>ROUNDUP('S27 Material Flow Matrix'!AZ974/$G$1, 0)</f>
        <v>0</v>
      </c>
      <c r="AS23" s="3">
        <f>ROUNDUP('S27 Material Flow Matrix'!BA974/$G$1, 0)</f>
        <v>0</v>
      </c>
    </row>
    <row r="24" spans="1:45">
      <c r="A24" s="288" t="s">
        <v>594</v>
      </c>
      <c r="B24" s="3">
        <f>ROUNDUP('S27 Material Flow Matrix'!J975/$G$1, 0)</f>
        <v>0</v>
      </c>
      <c r="C24" s="3">
        <f>ROUNDUP('S27 Material Flow Matrix'!K975/$G$1, 0)</f>
        <v>0</v>
      </c>
      <c r="D24" s="3">
        <f>ROUNDUP('S27 Material Flow Matrix'!L975/$G$1, 0)</f>
        <v>0</v>
      </c>
      <c r="E24" s="3">
        <f>ROUNDUP('S27 Material Flow Matrix'!M975/$G$1, 0)</f>
        <v>0</v>
      </c>
      <c r="F24" s="3">
        <f>ROUNDUP('S27 Material Flow Matrix'!N975/$G$1, 0)</f>
        <v>0</v>
      </c>
      <c r="G24" s="3">
        <f>ROUNDUP('S27 Material Flow Matrix'!O975/$G$1, 0)</f>
        <v>0</v>
      </c>
      <c r="H24" s="3">
        <f>ROUNDUP('S27 Material Flow Matrix'!P975/$G$1, 0)</f>
        <v>0</v>
      </c>
      <c r="I24" s="3">
        <f>ROUNDUP('S27 Material Flow Matrix'!Q975/$G$1, 0)</f>
        <v>0</v>
      </c>
      <c r="J24" s="3">
        <f>ROUNDUP('S27 Material Flow Matrix'!R975/$G$1, 0)</f>
        <v>0</v>
      </c>
      <c r="K24" s="3">
        <f>ROUNDUP('S27 Material Flow Matrix'!S975/$G$1, 0)</f>
        <v>0</v>
      </c>
      <c r="L24" s="3">
        <f>ROUNDUP('S27 Material Flow Matrix'!T975/$G$1, 0)</f>
        <v>0</v>
      </c>
      <c r="M24" s="3">
        <f>ROUNDUP('S27 Material Flow Matrix'!U975/$G$1, 0)</f>
        <v>0</v>
      </c>
      <c r="N24" s="3">
        <f>ROUNDUP('S27 Material Flow Matrix'!V975/$G$1, 0)</f>
        <v>0</v>
      </c>
      <c r="O24" s="3">
        <f>ROUNDUP('S27 Material Flow Matrix'!W975/$G$1, 0)</f>
        <v>0</v>
      </c>
      <c r="P24" s="3">
        <f>ROUNDUP('S27 Material Flow Matrix'!X975/$G$1, 0)</f>
        <v>0</v>
      </c>
      <c r="Q24" s="3">
        <f>ROUNDUP('S27 Material Flow Matrix'!Y975/$G$1, 0)</f>
        <v>0</v>
      </c>
      <c r="R24" s="3">
        <f>ROUNDUP('S27 Material Flow Matrix'!Z975/$G$1, 0)</f>
        <v>0</v>
      </c>
      <c r="S24" s="3">
        <f>ROUNDUP('S27 Material Flow Matrix'!AA975/$G$1, 0)</f>
        <v>0</v>
      </c>
      <c r="T24" s="3">
        <f>ROUNDUP('S27 Material Flow Matrix'!AB975/$G$1, 0)</f>
        <v>0</v>
      </c>
      <c r="U24" s="3">
        <f>ROUNDUP('S27 Material Flow Matrix'!AC975/$G$1, 0)</f>
        <v>0</v>
      </c>
      <c r="V24" s="3">
        <f>ROUNDUP('S27 Material Flow Matrix'!AD975/$G$1, 0)</f>
        <v>0</v>
      </c>
      <c r="W24" s="3">
        <f>ROUNDUP('S27 Material Flow Matrix'!AE975/$G$1, 0)</f>
        <v>0</v>
      </c>
      <c r="X24" s="3">
        <f>ROUNDUP('S27 Material Flow Matrix'!AF975/$G$1, 0)</f>
        <v>0</v>
      </c>
      <c r="Y24" s="3">
        <f>ROUNDUP('S27 Material Flow Matrix'!AG975/$G$1, 0)</f>
        <v>0</v>
      </c>
      <c r="Z24" s="3">
        <f>ROUNDUP('S27 Material Flow Matrix'!AH975/$G$1, 0)</f>
        <v>0</v>
      </c>
      <c r="AA24" s="3">
        <f>ROUNDUP('S27 Material Flow Matrix'!AI975/$G$1, 0)</f>
        <v>0</v>
      </c>
      <c r="AB24" s="3">
        <f>ROUNDUP('S27 Material Flow Matrix'!AJ975/$G$1, 0)</f>
        <v>0</v>
      </c>
      <c r="AC24" s="3">
        <f>ROUNDUP('S27 Material Flow Matrix'!AK975/$G$1, 0)</f>
        <v>89</v>
      </c>
      <c r="AD24" s="3">
        <f>ROUNDUP('S27 Material Flow Matrix'!AL975/$G$1, 0)</f>
        <v>0</v>
      </c>
      <c r="AE24" s="3">
        <f>ROUNDUP('S27 Material Flow Matrix'!AM975/$G$1, 0)</f>
        <v>0</v>
      </c>
      <c r="AF24" s="3">
        <f>ROUNDUP('S27 Material Flow Matrix'!AN975/$G$1, 0)</f>
        <v>0</v>
      </c>
      <c r="AG24" s="3">
        <f>ROUNDUP('S27 Material Flow Matrix'!AO975/$G$1, 0)</f>
        <v>0</v>
      </c>
      <c r="AH24" s="3">
        <f>ROUNDUP('S27 Material Flow Matrix'!AP975/$G$1, 0)</f>
        <v>0</v>
      </c>
      <c r="AI24" s="3">
        <f>ROUNDUP('S27 Material Flow Matrix'!AQ975/$G$1, 0)</f>
        <v>0</v>
      </c>
      <c r="AJ24" s="3">
        <f>ROUNDUP('S27 Material Flow Matrix'!AR975/$G$1, 0)</f>
        <v>0</v>
      </c>
      <c r="AK24" s="3">
        <f>ROUNDUP('S27 Material Flow Matrix'!AS975/$G$1, 0)</f>
        <v>0</v>
      </c>
      <c r="AL24" s="3">
        <f>ROUNDUP('S27 Material Flow Matrix'!AT975/$G$1, 0)</f>
        <v>0</v>
      </c>
      <c r="AM24" s="3">
        <f>ROUNDUP('S27 Material Flow Matrix'!AU975/$G$1, 0)</f>
        <v>0</v>
      </c>
      <c r="AN24" s="3">
        <f>ROUNDUP('S27 Material Flow Matrix'!AV975/$G$1, 0)</f>
        <v>0</v>
      </c>
      <c r="AO24" s="3">
        <f>ROUNDUP('S27 Material Flow Matrix'!AW975/$G$1, 0)</f>
        <v>0</v>
      </c>
      <c r="AP24" s="3">
        <f>ROUNDUP('S27 Material Flow Matrix'!AX975/$G$1, 0)</f>
        <v>0</v>
      </c>
      <c r="AQ24" s="3">
        <f>ROUNDUP('S27 Material Flow Matrix'!AY975/$G$1, 0)</f>
        <v>0</v>
      </c>
      <c r="AR24" s="3">
        <f>ROUNDUP('S27 Material Flow Matrix'!AZ975/$G$1, 0)</f>
        <v>0</v>
      </c>
      <c r="AS24" s="3">
        <f>ROUNDUP('S27 Material Flow Matrix'!BA975/$G$1, 0)</f>
        <v>0</v>
      </c>
    </row>
    <row r="25" spans="1:45">
      <c r="A25" s="288" t="s">
        <v>595</v>
      </c>
      <c r="B25" s="3">
        <f>ROUNDUP('S27 Material Flow Matrix'!J976/$G$1, 0)</f>
        <v>0</v>
      </c>
      <c r="C25" s="3">
        <f>ROUNDUP('S27 Material Flow Matrix'!K976/$G$1, 0)</f>
        <v>0</v>
      </c>
      <c r="D25" s="3">
        <f>ROUNDUP('S27 Material Flow Matrix'!L976/$G$1, 0)</f>
        <v>0</v>
      </c>
      <c r="E25" s="3">
        <f>ROUNDUP('S27 Material Flow Matrix'!M976/$G$1, 0)</f>
        <v>0</v>
      </c>
      <c r="F25" s="3">
        <f>ROUNDUP('S27 Material Flow Matrix'!N976/$G$1, 0)</f>
        <v>0</v>
      </c>
      <c r="G25" s="3">
        <f>ROUNDUP('S27 Material Flow Matrix'!O976/$G$1, 0)</f>
        <v>0</v>
      </c>
      <c r="H25" s="3">
        <f>ROUNDUP('S27 Material Flow Matrix'!P976/$G$1, 0)</f>
        <v>0</v>
      </c>
      <c r="I25" s="3">
        <f>ROUNDUP('S27 Material Flow Matrix'!Q976/$G$1, 0)</f>
        <v>0</v>
      </c>
      <c r="J25" s="3">
        <f>ROUNDUP('S27 Material Flow Matrix'!R976/$G$1, 0)</f>
        <v>0</v>
      </c>
      <c r="K25" s="3">
        <f>ROUNDUP('S27 Material Flow Matrix'!S976/$G$1, 0)</f>
        <v>0</v>
      </c>
      <c r="L25" s="3">
        <f>ROUNDUP('S27 Material Flow Matrix'!T976/$G$1, 0)</f>
        <v>0</v>
      </c>
      <c r="M25" s="3">
        <f>ROUNDUP('S27 Material Flow Matrix'!U976/$G$1, 0)</f>
        <v>0</v>
      </c>
      <c r="N25" s="3">
        <f>ROUNDUP('S27 Material Flow Matrix'!V976/$G$1, 0)</f>
        <v>0</v>
      </c>
      <c r="O25" s="3">
        <f>ROUNDUP('S27 Material Flow Matrix'!W976/$G$1, 0)</f>
        <v>0</v>
      </c>
      <c r="P25" s="3">
        <f>ROUNDUP('S27 Material Flow Matrix'!X976/$G$1, 0)</f>
        <v>0</v>
      </c>
      <c r="Q25" s="3">
        <f>ROUNDUP('S27 Material Flow Matrix'!Y976/$G$1, 0)</f>
        <v>0</v>
      </c>
      <c r="R25" s="3">
        <f>ROUNDUP('S27 Material Flow Matrix'!Z976/$G$1, 0)</f>
        <v>0</v>
      </c>
      <c r="S25" s="3">
        <f>ROUNDUP('S27 Material Flow Matrix'!AA976/$G$1, 0)</f>
        <v>0</v>
      </c>
      <c r="T25" s="3">
        <f>ROUNDUP('S27 Material Flow Matrix'!AB976/$G$1, 0)</f>
        <v>0</v>
      </c>
      <c r="U25" s="3">
        <f>ROUNDUP('S27 Material Flow Matrix'!AC976/$G$1, 0)</f>
        <v>0</v>
      </c>
      <c r="V25" s="3">
        <f>ROUNDUP('S27 Material Flow Matrix'!AD976/$G$1, 0)</f>
        <v>0</v>
      </c>
      <c r="W25" s="3">
        <f>ROUNDUP('S27 Material Flow Matrix'!AE976/$G$1, 0)</f>
        <v>0</v>
      </c>
      <c r="X25" s="3">
        <f>ROUNDUP('S27 Material Flow Matrix'!AF976/$G$1, 0)</f>
        <v>0</v>
      </c>
      <c r="Y25" s="3">
        <f>ROUNDUP('S27 Material Flow Matrix'!AG976/$G$1, 0)</f>
        <v>0</v>
      </c>
      <c r="Z25" s="3">
        <f>ROUNDUP('S27 Material Flow Matrix'!AH976/$G$1, 0)</f>
        <v>0</v>
      </c>
      <c r="AA25" s="3">
        <f>ROUNDUP('S27 Material Flow Matrix'!AI976/$G$1, 0)</f>
        <v>0</v>
      </c>
      <c r="AB25" s="3">
        <f>ROUNDUP('S27 Material Flow Matrix'!AJ976/$G$1, 0)</f>
        <v>0</v>
      </c>
      <c r="AC25" s="3">
        <f>ROUNDUP('S27 Material Flow Matrix'!AK976/$G$1, 0)</f>
        <v>0</v>
      </c>
      <c r="AD25" s="3">
        <f>ROUNDUP('S27 Material Flow Matrix'!AL976/$G$1, 0)</f>
        <v>0</v>
      </c>
      <c r="AE25" s="3">
        <f>ROUNDUP('S27 Material Flow Matrix'!AM976/$G$1, 0)</f>
        <v>0</v>
      </c>
      <c r="AF25" s="3">
        <f>ROUNDUP('S27 Material Flow Matrix'!AN976/$G$1, 0)</f>
        <v>0</v>
      </c>
      <c r="AG25" s="3">
        <f>ROUNDUP('S27 Material Flow Matrix'!AO976/$G$1, 0)</f>
        <v>0</v>
      </c>
      <c r="AH25" s="3">
        <f>ROUNDUP('S27 Material Flow Matrix'!AP976/$G$1, 0)</f>
        <v>0</v>
      </c>
      <c r="AI25" s="3">
        <f>ROUNDUP('S27 Material Flow Matrix'!AQ976/$G$1, 0)</f>
        <v>0</v>
      </c>
      <c r="AJ25" s="3">
        <f>ROUNDUP('S27 Material Flow Matrix'!AR976/$G$1, 0)</f>
        <v>0</v>
      </c>
      <c r="AK25" s="3">
        <f>ROUNDUP('S27 Material Flow Matrix'!AS976/$G$1, 0)</f>
        <v>0</v>
      </c>
      <c r="AL25" s="3">
        <f>ROUNDUP('S27 Material Flow Matrix'!AT976/$G$1, 0)</f>
        <v>0</v>
      </c>
      <c r="AM25" s="3">
        <f>ROUNDUP('S27 Material Flow Matrix'!AU976/$G$1, 0)</f>
        <v>0</v>
      </c>
      <c r="AN25" s="3">
        <f>ROUNDUP('S27 Material Flow Matrix'!AV976/$G$1, 0)</f>
        <v>0</v>
      </c>
      <c r="AO25" s="3">
        <f>ROUNDUP('S27 Material Flow Matrix'!AW976/$G$1, 0)</f>
        <v>0</v>
      </c>
      <c r="AP25" s="3">
        <f>ROUNDUP('S27 Material Flow Matrix'!AX976/$G$1, 0)</f>
        <v>0</v>
      </c>
      <c r="AQ25" s="3">
        <f>ROUNDUP('S27 Material Flow Matrix'!AY976/$G$1, 0)</f>
        <v>0</v>
      </c>
      <c r="AR25" s="3">
        <f>ROUNDUP('S27 Material Flow Matrix'!AZ976/$G$1, 0)</f>
        <v>0</v>
      </c>
      <c r="AS25" s="3">
        <f>ROUNDUP('S27 Material Flow Matrix'!BA976/$G$1, 0)</f>
        <v>0</v>
      </c>
    </row>
    <row r="26" spans="1:45">
      <c r="A26" s="288" t="s">
        <v>596</v>
      </c>
      <c r="B26" s="3">
        <f>ROUNDUP('S27 Material Flow Matrix'!J977/$G$1, 0)</f>
        <v>0</v>
      </c>
      <c r="C26" s="3">
        <f>ROUNDUP('S27 Material Flow Matrix'!K977/$G$1, 0)</f>
        <v>0</v>
      </c>
      <c r="D26" s="3">
        <f>ROUNDUP('S27 Material Flow Matrix'!L977/$G$1, 0)</f>
        <v>0</v>
      </c>
      <c r="E26" s="3">
        <f>ROUNDUP('S27 Material Flow Matrix'!M977/$G$1, 0)</f>
        <v>0</v>
      </c>
      <c r="F26" s="3">
        <f>ROUNDUP('S27 Material Flow Matrix'!N977/$G$1, 0)</f>
        <v>0</v>
      </c>
      <c r="G26" s="3">
        <f>ROUNDUP('S27 Material Flow Matrix'!O977/$G$1, 0)</f>
        <v>0</v>
      </c>
      <c r="H26" s="3">
        <f>ROUNDUP('S27 Material Flow Matrix'!P977/$G$1, 0)</f>
        <v>0</v>
      </c>
      <c r="I26" s="3">
        <f>ROUNDUP('S27 Material Flow Matrix'!Q977/$G$1, 0)</f>
        <v>0</v>
      </c>
      <c r="J26" s="3">
        <f>ROUNDUP('S27 Material Flow Matrix'!R977/$G$1, 0)</f>
        <v>0</v>
      </c>
      <c r="K26" s="3">
        <f>ROUNDUP('S27 Material Flow Matrix'!S977/$G$1, 0)</f>
        <v>0</v>
      </c>
      <c r="L26" s="3">
        <f>ROUNDUP('S27 Material Flow Matrix'!T977/$G$1, 0)</f>
        <v>0</v>
      </c>
      <c r="M26" s="3">
        <f>ROUNDUP('S27 Material Flow Matrix'!U977/$G$1, 0)</f>
        <v>0</v>
      </c>
      <c r="N26" s="3">
        <f>ROUNDUP('S27 Material Flow Matrix'!V977/$G$1, 0)</f>
        <v>0</v>
      </c>
      <c r="O26" s="3">
        <f>ROUNDUP('S27 Material Flow Matrix'!W977/$G$1, 0)</f>
        <v>0</v>
      </c>
      <c r="P26" s="3">
        <f>ROUNDUP('S27 Material Flow Matrix'!X977/$G$1, 0)</f>
        <v>0</v>
      </c>
      <c r="Q26" s="3">
        <f>ROUNDUP('S27 Material Flow Matrix'!Y977/$G$1, 0)</f>
        <v>0</v>
      </c>
      <c r="R26" s="3">
        <f>ROUNDUP('S27 Material Flow Matrix'!Z977/$G$1, 0)</f>
        <v>0</v>
      </c>
      <c r="S26" s="3">
        <f>ROUNDUP('S27 Material Flow Matrix'!AA977/$G$1, 0)</f>
        <v>0</v>
      </c>
      <c r="T26" s="3">
        <f>ROUNDUP('S27 Material Flow Matrix'!AB977/$G$1, 0)</f>
        <v>0</v>
      </c>
      <c r="U26" s="3">
        <f>ROUNDUP('S27 Material Flow Matrix'!AC977/$G$1, 0)</f>
        <v>0</v>
      </c>
      <c r="V26" s="3">
        <f>ROUNDUP('S27 Material Flow Matrix'!AD977/$G$1, 0)</f>
        <v>0</v>
      </c>
      <c r="W26" s="3">
        <f>ROUNDUP('S27 Material Flow Matrix'!AE977/$G$1, 0)</f>
        <v>0</v>
      </c>
      <c r="X26" s="3">
        <f>ROUNDUP('S27 Material Flow Matrix'!AF977/$G$1, 0)</f>
        <v>0</v>
      </c>
      <c r="Y26" s="3">
        <f>ROUNDUP('S27 Material Flow Matrix'!AG977/$G$1, 0)</f>
        <v>0</v>
      </c>
      <c r="Z26" s="3">
        <f>ROUNDUP('S27 Material Flow Matrix'!AH977/$G$1, 0)</f>
        <v>0</v>
      </c>
      <c r="AA26" s="3">
        <f>ROUNDUP('S27 Material Flow Matrix'!AI977/$G$1, 0)</f>
        <v>0</v>
      </c>
      <c r="AB26" s="3">
        <f>ROUNDUP('S27 Material Flow Matrix'!AJ977/$G$1, 0)</f>
        <v>0</v>
      </c>
      <c r="AC26" s="3">
        <f>ROUNDUP('S27 Material Flow Matrix'!AK977/$G$1, 0)</f>
        <v>0</v>
      </c>
      <c r="AD26" s="3">
        <f>ROUNDUP('S27 Material Flow Matrix'!AL977/$G$1, 0)</f>
        <v>0</v>
      </c>
      <c r="AE26" s="3">
        <f>ROUNDUP('S27 Material Flow Matrix'!AM977/$G$1, 0)</f>
        <v>0</v>
      </c>
      <c r="AF26" s="3">
        <f>ROUNDUP('S27 Material Flow Matrix'!AN977/$G$1, 0)</f>
        <v>71</v>
      </c>
      <c r="AG26" s="3">
        <f>ROUNDUP('S27 Material Flow Matrix'!AO977/$G$1, 0)</f>
        <v>0</v>
      </c>
      <c r="AH26" s="3">
        <f>ROUNDUP('S27 Material Flow Matrix'!AP977/$G$1, 0)</f>
        <v>0</v>
      </c>
      <c r="AI26" s="3">
        <f>ROUNDUP('S27 Material Flow Matrix'!AQ977/$G$1, 0)</f>
        <v>0</v>
      </c>
      <c r="AJ26" s="3">
        <f>ROUNDUP('S27 Material Flow Matrix'!AR977/$G$1, 0)</f>
        <v>0</v>
      </c>
      <c r="AK26" s="3">
        <f>ROUNDUP('S27 Material Flow Matrix'!AS977/$G$1, 0)</f>
        <v>0</v>
      </c>
      <c r="AL26" s="3">
        <f>ROUNDUP('S27 Material Flow Matrix'!AT977/$G$1, 0)</f>
        <v>0</v>
      </c>
      <c r="AM26" s="3">
        <f>ROUNDUP('S27 Material Flow Matrix'!AU977/$G$1, 0)</f>
        <v>0</v>
      </c>
      <c r="AN26" s="3">
        <f>ROUNDUP('S27 Material Flow Matrix'!AV977/$G$1, 0)</f>
        <v>0</v>
      </c>
      <c r="AO26" s="3">
        <f>ROUNDUP('S27 Material Flow Matrix'!AW977/$G$1, 0)</f>
        <v>0</v>
      </c>
      <c r="AP26" s="3">
        <f>ROUNDUP('S27 Material Flow Matrix'!AX977/$G$1, 0)</f>
        <v>0</v>
      </c>
      <c r="AQ26" s="3">
        <f>ROUNDUP('S27 Material Flow Matrix'!AY977/$G$1, 0)</f>
        <v>0</v>
      </c>
      <c r="AR26" s="3">
        <f>ROUNDUP('S27 Material Flow Matrix'!AZ977/$G$1, 0)</f>
        <v>0</v>
      </c>
      <c r="AS26" s="3">
        <f>ROUNDUP('S27 Material Flow Matrix'!BA977/$G$1, 0)</f>
        <v>0</v>
      </c>
    </row>
    <row r="27" spans="1:45">
      <c r="A27" s="288" t="s">
        <v>597</v>
      </c>
      <c r="B27" s="3">
        <f>ROUNDUP('S27 Material Flow Matrix'!J978/$G$1, 0)</f>
        <v>0</v>
      </c>
      <c r="C27" s="3">
        <f>ROUNDUP('S27 Material Flow Matrix'!K978/$G$1, 0)</f>
        <v>0</v>
      </c>
      <c r="D27" s="3">
        <f>ROUNDUP('S27 Material Flow Matrix'!L978/$G$1, 0)</f>
        <v>0</v>
      </c>
      <c r="E27" s="3">
        <f>ROUNDUP('S27 Material Flow Matrix'!M978/$G$1, 0)</f>
        <v>0</v>
      </c>
      <c r="F27" s="3">
        <f>ROUNDUP('S27 Material Flow Matrix'!N978/$G$1, 0)</f>
        <v>0</v>
      </c>
      <c r="G27" s="3">
        <f>ROUNDUP('S27 Material Flow Matrix'!O978/$G$1, 0)</f>
        <v>0</v>
      </c>
      <c r="H27" s="3">
        <f>ROUNDUP('S27 Material Flow Matrix'!P978/$G$1, 0)</f>
        <v>0</v>
      </c>
      <c r="I27" s="3">
        <f>ROUNDUP('S27 Material Flow Matrix'!Q978/$G$1, 0)</f>
        <v>0</v>
      </c>
      <c r="J27" s="3">
        <f>ROUNDUP('S27 Material Flow Matrix'!R978/$G$1, 0)</f>
        <v>0</v>
      </c>
      <c r="K27" s="3">
        <f>ROUNDUP('S27 Material Flow Matrix'!S978/$G$1, 0)</f>
        <v>0</v>
      </c>
      <c r="L27" s="3">
        <f>ROUNDUP('S27 Material Flow Matrix'!T978/$G$1, 0)</f>
        <v>0</v>
      </c>
      <c r="M27" s="3">
        <f>ROUNDUP('S27 Material Flow Matrix'!U978/$G$1, 0)</f>
        <v>0</v>
      </c>
      <c r="N27" s="3">
        <f>ROUNDUP('S27 Material Flow Matrix'!V978/$G$1, 0)</f>
        <v>0</v>
      </c>
      <c r="O27" s="3">
        <f>ROUNDUP('S27 Material Flow Matrix'!W978/$G$1, 0)</f>
        <v>0</v>
      </c>
      <c r="P27" s="3">
        <f>ROUNDUP('S27 Material Flow Matrix'!X978/$G$1, 0)</f>
        <v>0</v>
      </c>
      <c r="Q27" s="3">
        <f>ROUNDUP('S27 Material Flow Matrix'!Y978/$G$1, 0)</f>
        <v>0</v>
      </c>
      <c r="R27" s="3">
        <f>ROUNDUP('S27 Material Flow Matrix'!Z978/$G$1, 0)</f>
        <v>0</v>
      </c>
      <c r="S27" s="3">
        <f>ROUNDUP('S27 Material Flow Matrix'!AA978/$G$1, 0)</f>
        <v>0</v>
      </c>
      <c r="T27" s="3">
        <f>ROUNDUP('S27 Material Flow Matrix'!AB978/$G$1, 0)</f>
        <v>0</v>
      </c>
      <c r="U27" s="3">
        <f>ROUNDUP('S27 Material Flow Matrix'!AC978/$G$1, 0)</f>
        <v>0</v>
      </c>
      <c r="V27" s="3">
        <f>ROUNDUP('S27 Material Flow Matrix'!AD978/$G$1, 0)</f>
        <v>0</v>
      </c>
      <c r="W27" s="3">
        <f>ROUNDUP('S27 Material Flow Matrix'!AE978/$G$1, 0)</f>
        <v>0</v>
      </c>
      <c r="X27" s="3">
        <f>ROUNDUP('S27 Material Flow Matrix'!AF978/$G$1, 0)</f>
        <v>0</v>
      </c>
      <c r="Y27" s="3">
        <f>ROUNDUP('S27 Material Flow Matrix'!AG978/$G$1, 0)</f>
        <v>0</v>
      </c>
      <c r="Z27" s="3">
        <f>ROUNDUP('S27 Material Flow Matrix'!AH978/$G$1, 0)</f>
        <v>0</v>
      </c>
      <c r="AA27" s="3">
        <f>ROUNDUP('S27 Material Flow Matrix'!AI978/$G$1, 0)</f>
        <v>0</v>
      </c>
      <c r="AB27" s="3">
        <f>ROUNDUP('S27 Material Flow Matrix'!AJ978/$G$1, 0)</f>
        <v>0</v>
      </c>
      <c r="AC27" s="3">
        <f>ROUNDUP('S27 Material Flow Matrix'!AK978/$G$1, 0)</f>
        <v>0</v>
      </c>
      <c r="AD27" s="3">
        <f>ROUNDUP('S27 Material Flow Matrix'!AL978/$G$1, 0)</f>
        <v>151</v>
      </c>
      <c r="AE27" s="3">
        <f>ROUNDUP('S27 Material Flow Matrix'!AM978/$G$1, 0)</f>
        <v>0</v>
      </c>
      <c r="AF27" s="3">
        <f>ROUNDUP('S27 Material Flow Matrix'!AN978/$G$1, 0)</f>
        <v>0</v>
      </c>
      <c r="AG27" s="3">
        <f>ROUNDUP('S27 Material Flow Matrix'!AO978/$G$1, 0)</f>
        <v>0</v>
      </c>
      <c r="AH27" s="3">
        <f>ROUNDUP('S27 Material Flow Matrix'!AP978/$G$1, 0)</f>
        <v>0</v>
      </c>
      <c r="AI27" s="3">
        <f>ROUNDUP('S27 Material Flow Matrix'!AQ978/$G$1, 0)</f>
        <v>0</v>
      </c>
      <c r="AJ27" s="3">
        <f>ROUNDUP('S27 Material Flow Matrix'!AR978/$G$1, 0)</f>
        <v>0</v>
      </c>
      <c r="AK27" s="3">
        <f>ROUNDUP('S27 Material Flow Matrix'!AS978/$G$1, 0)</f>
        <v>0</v>
      </c>
      <c r="AL27" s="3">
        <f>ROUNDUP('S27 Material Flow Matrix'!AT978/$G$1, 0)</f>
        <v>0</v>
      </c>
      <c r="AM27" s="3">
        <f>ROUNDUP('S27 Material Flow Matrix'!AU978/$G$1, 0)</f>
        <v>0</v>
      </c>
      <c r="AN27" s="3">
        <f>ROUNDUP('S27 Material Flow Matrix'!AV978/$G$1, 0)</f>
        <v>0</v>
      </c>
      <c r="AO27" s="3">
        <f>ROUNDUP('S27 Material Flow Matrix'!AW978/$G$1, 0)</f>
        <v>0</v>
      </c>
      <c r="AP27" s="3">
        <f>ROUNDUP('S27 Material Flow Matrix'!AX978/$G$1, 0)</f>
        <v>0</v>
      </c>
      <c r="AQ27" s="3">
        <f>ROUNDUP('S27 Material Flow Matrix'!AY978/$G$1, 0)</f>
        <v>0</v>
      </c>
      <c r="AR27" s="3">
        <f>ROUNDUP('S27 Material Flow Matrix'!AZ978/$G$1, 0)</f>
        <v>0</v>
      </c>
      <c r="AS27" s="3">
        <f>ROUNDUP('S27 Material Flow Matrix'!BA978/$G$1, 0)</f>
        <v>0</v>
      </c>
    </row>
    <row r="28" spans="1:45">
      <c r="A28" s="288" t="s">
        <v>598</v>
      </c>
      <c r="B28" s="3">
        <f>ROUNDUP('S27 Material Flow Matrix'!J979/$G$1, 0)</f>
        <v>0</v>
      </c>
      <c r="C28" s="3">
        <f>ROUNDUP('S27 Material Flow Matrix'!K979/$G$1, 0)</f>
        <v>0</v>
      </c>
      <c r="D28" s="3">
        <f>ROUNDUP('S27 Material Flow Matrix'!L979/$G$1, 0)</f>
        <v>0</v>
      </c>
      <c r="E28" s="3">
        <f>ROUNDUP('S27 Material Flow Matrix'!M979/$G$1, 0)</f>
        <v>0</v>
      </c>
      <c r="F28" s="3">
        <f>ROUNDUP('S27 Material Flow Matrix'!N979/$G$1, 0)</f>
        <v>0</v>
      </c>
      <c r="G28" s="3">
        <f>ROUNDUP('S27 Material Flow Matrix'!O979/$G$1, 0)</f>
        <v>0</v>
      </c>
      <c r="H28" s="3">
        <f>ROUNDUP('S27 Material Flow Matrix'!P979/$G$1, 0)</f>
        <v>0</v>
      </c>
      <c r="I28" s="3">
        <f>ROUNDUP('S27 Material Flow Matrix'!Q979/$G$1, 0)</f>
        <v>0</v>
      </c>
      <c r="J28" s="3">
        <f>ROUNDUP('S27 Material Flow Matrix'!R979/$G$1, 0)</f>
        <v>0</v>
      </c>
      <c r="K28" s="3">
        <f>ROUNDUP('S27 Material Flow Matrix'!S979/$G$1, 0)</f>
        <v>0</v>
      </c>
      <c r="L28" s="3">
        <f>ROUNDUP('S27 Material Flow Matrix'!T979/$G$1, 0)</f>
        <v>0</v>
      </c>
      <c r="M28" s="3">
        <f>ROUNDUP('S27 Material Flow Matrix'!U979/$G$1, 0)</f>
        <v>0</v>
      </c>
      <c r="N28" s="3">
        <f>ROUNDUP('S27 Material Flow Matrix'!V979/$G$1, 0)</f>
        <v>0</v>
      </c>
      <c r="O28" s="3">
        <f>ROUNDUP('S27 Material Flow Matrix'!W979/$G$1, 0)</f>
        <v>0</v>
      </c>
      <c r="P28" s="3">
        <f>ROUNDUP('S27 Material Flow Matrix'!X979/$G$1, 0)</f>
        <v>0</v>
      </c>
      <c r="Q28" s="3">
        <f>ROUNDUP('S27 Material Flow Matrix'!Y979/$G$1, 0)</f>
        <v>0</v>
      </c>
      <c r="R28" s="3">
        <f>ROUNDUP('S27 Material Flow Matrix'!Z979/$G$1, 0)</f>
        <v>0</v>
      </c>
      <c r="S28" s="3">
        <f>ROUNDUP('S27 Material Flow Matrix'!AA979/$G$1, 0)</f>
        <v>0</v>
      </c>
      <c r="T28" s="3">
        <f>ROUNDUP('S27 Material Flow Matrix'!AB979/$G$1, 0)</f>
        <v>0</v>
      </c>
      <c r="U28" s="3">
        <f>ROUNDUP('S27 Material Flow Matrix'!AC979/$G$1, 0)</f>
        <v>0</v>
      </c>
      <c r="V28" s="3">
        <f>ROUNDUP('S27 Material Flow Matrix'!AD979/$G$1, 0)</f>
        <v>0</v>
      </c>
      <c r="W28" s="3">
        <f>ROUNDUP('S27 Material Flow Matrix'!AE979/$G$1, 0)</f>
        <v>0</v>
      </c>
      <c r="X28" s="3">
        <f>ROUNDUP('S27 Material Flow Matrix'!AF979/$G$1, 0)</f>
        <v>0</v>
      </c>
      <c r="Y28" s="3">
        <f>ROUNDUP('S27 Material Flow Matrix'!AG979/$G$1, 0)</f>
        <v>0</v>
      </c>
      <c r="Z28" s="3">
        <f>ROUNDUP('S27 Material Flow Matrix'!AH979/$G$1, 0)</f>
        <v>0</v>
      </c>
      <c r="AA28" s="3">
        <f>ROUNDUP('S27 Material Flow Matrix'!AI979/$G$1, 0)</f>
        <v>0</v>
      </c>
      <c r="AB28" s="3">
        <f>ROUNDUP('S27 Material Flow Matrix'!AJ979/$G$1, 0)</f>
        <v>0</v>
      </c>
      <c r="AC28" s="3">
        <f>ROUNDUP('S27 Material Flow Matrix'!AK979/$G$1, 0)</f>
        <v>0</v>
      </c>
      <c r="AD28" s="3">
        <f>ROUNDUP('S27 Material Flow Matrix'!AL979/$G$1, 0)</f>
        <v>0</v>
      </c>
      <c r="AE28" s="3">
        <f>ROUNDUP('S27 Material Flow Matrix'!AM979/$G$1, 0)</f>
        <v>0</v>
      </c>
      <c r="AF28" s="3">
        <f>ROUNDUP('S27 Material Flow Matrix'!AN979/$G$1, 0)</f>
        <v>0</v>
      </c>
      <c r="AG28" s="3">
        <f>ROUNDUP('S27 Material Flow Matrix'!AO979/$G$1, 0)</f>
        <v>0</v>
      </c>
      <c r="AH28" s="3">
        <f>ROUNDUP('S27 Material Flow Matrix'!AP979/$G$1, 0)</f>
        <v>0</v>
      </c>
      <c r="AI28" s="3">
        <f>ROUNDUP('S27 Material Flow Matrix'!AQ979/$G$1, 0)</f>
        <v>213</v>
      </c>
      <c r="AJ28" s="3">
        <f>ROUNDUP('S27 Material Flow Matrix'!AR979/$G$1, 0)</f>
        <v>0</v>
      </c>
      <c r="AK28" s="3">
        <f>ROUNDUP('S27 Material Flow Matrix'!AS979/$G$1, 0)</f>
        <v>0</v>
      </c>
      <c r="AL28" s="3">
        <f>ROUNDUP('S27 Material Flow Matrix'!AT979/$G$1, 0)</f>
        <v>0</v>
      </c>
      <c r="AM28" s="3">
        <f>ROUNDUP('S27 Material Flow Matrix'!AU979/$G$1, 0)</f>
        <v>0</v>
      </c>
      <c r="AN28" s="3">
        <f>ROUNDUP('S27 Material Flow Matrix'!AV979/$G$1, 0)</f>
        <v>0</v>
      </c>
      <c r="AO28" s="3">
        <f>ROUNDUP('S27 Material Flow Matrix'!AW979/$G$1, 0)</f>
        <v>0</v>
      </c>
      <c r="AP28" s="3">
        <f>ROUNDUP('S27 Material Flow Matrix'!AX979/$G$1, 0)</f>
        <v>0</v>
      </c>
      <c r="AQ28" s="3">
        <f>ROUNDUP('S27 Material Flow Matrix'!AY979/$G$1, 0)</f>
        <v>0</v>
      </c>
      <c r="AR28" s="3">
        <f>ROUNDUP('S27 Material Flow Matrix'!AZ979/$G$1, 0)</f>
        <v>0</v>
      </c>
      <c r="AS28" s="3">
        <f>ROUNDUP('S27 Material Flow Matrix'!BA979/$G$1, 0)</f>
        <v>0</v>
      </c>
    </row>
    <row r="29" spans="1:45">
      <c r="A29" s="288" t="s">
        <v>599</v>
      </c>
      <c r="B29" s="3">
        <f>ROUNDUP('S27 Material Flow Matrix'!J980/$G$1, 0)</f>
        <v>0</v>
      </c>
      <c r="C29" s="3">
        <f>ROUNDUP('S27 Material Flow Matrix'!K980/$G$1, 0)</f>
        <v>0</v>
      </c>
      <c r="D29" s="3">
        <f>ROUNDUP('S27 Material Flow Matrix'!L980/$G$1, 0)</f>
        <v>0</v>
      </c>
      <c r="E29" s="3">
        <f>ROUNDUP('S27 Material Flow Matrix'!M980/$G$1, 0)</f>
        <v>0</v>
      </c>
      <c r="F29" s="3">
        <f>ROUNDUP('S27 Material Flow Matrix'!N980/$G$1, 0)</f>
        <v>0</v>
      </c>
      <c r="G29" s="3">
        <f>ROUNDUP('S27 Material Flow Matrix'!O980/$G$1, 0)</f>
        <v>0</v>
      </c>
      <c r="H29" s="3">
        <f>ROUNDUP('S27 Material Flow Matrix'!P980/$G$1, 0)</f>
        <v>0</v>
      </c>
      <c r="I29" s="3">
        <f>ROUNDUP('S27 Material Flow Matrix'!Q980/$G$1, 0)</f>
        <v>0</v>
      </c>
      <c r="J29" s="3">
        <f>ROUNDUP('S27 Material Flow Matrix'!R980/$G$1, 0)</f>
        <v>0</v>
      </c>
      <c r="K29" s="3">
        <f>ROUNDUP('S27 Material Flow Matrix'!S980/$G$1, 0)</f>
        <v>0</v>
      </c>
      <c r="L29" s="3">
        <f>ROUNDUP('S27 Material Flow Matrix'!T980/$G$1, 0)</f>
        <v>0</v>
      </c>
      <c r="M29" s="3">
        <f>ROUNDUP('S27 Material Flow Matrix'!U980/$G$1, 0)</f>
        <v>0</v>
      </c>
      <c r="N29" s="3">
        <f>ROUNDUP('S27 Material Flow Matrix'!V980/$G$1, 0)</f>
        <v>0</v>
      </c>
      <c r="O29" s="3">
        <f>ROUNDUP('S27 Material Flow Matrix'!W980/$G$1, 0)</f>
        <v>0</v>
      </c>
      <c r="P29" s="3">
        <f>ROUNDUP('S27 Material Flow Matrix'!X980/$G$1, 0)</f>
        <v>0</v>
      </c>
      <c r="Q29" s="3">
        <f>ROUNDUP('S27 Material Flow Matrix'!Y980/$G$1, 0)</f>
        <v>0</v>
      </c>
      <c r="R29" s="3">
        <f>ROUNDUP('S27 Material Flow Matrix'!Z980/$G$1, 0)</f>
        <v>0</v>
      </c>
      <c r="S29" s="3">
        <f>ROUNDUP('S27 Material Flow Matrix'!AA980/$G$1, 0)</f>
        <v>0</v>
      </c>
      <c r="T29" s="3">
        <f>ROUNDUP('S27 Material Flow Matrix'!AB980/$G$1, 0)</f>
        <v>0</v>
      </c>
      <c r="U29" s="3">
        <f>ROUNDUP('S27 Material Flow Matrix'!AC980/$G$1, 0)</f>
        <v>0</v>
      </c>
      <c r="V29" s="3">
        <f>ROUNDUP('S27 Material Flow Matrix'!AD980/$G$1, 0)</f>
        <v>0</v>
      </c>
      <c r="W29" s="3">
        <f>ROUNDUP('S27 Material Flow Matrix'!AE980/$G$1, 0)</f>
        <v>0</v>
      </c>
      <c r="X29" s="3">
        <f>ROUNDUP('S27 Material Flow Matrix'!AF980/$G$1, 0)</f>
        <v>0</v>
      </c>
      <c r="Y29" s="3">
        <f>ROUNDUP('S27 Material Flow Matrix'!AG980/$G$1, 0)</f>
        <v>0</v>
      </c>
      <c r="Z29" s="3">
        <f>ROUNDUP('S27 Material Flow Matrix'!AH980/$G$1, 0)</f>
        <v>0</v>
      </c>
      <c r="AA29" s="3">
        <f>ROUNDUP('S27 Material Flow Matrix'!AI980/$G$1, 0)</f>
        <v>0</v>
      </c>
      <c r="AB29" s="3">
        <f>ROUNDUP('S27 Material Flow Matrix'!AJ980/$G$1, 0)</f>
        <v>0</v>
      </c>
      <c r="AC29" s="3">
        <f>ROUNDUP('S27 Material Flow Matrix'!AK980/$G$1, 0)</f>
        <v>0</v>
      </c>
      <c r="AD29" s="3">
        <f>ROUNDUP('S27 Material Flow Matrix'!AL980/$G$1, 0)</f>
        <v>0</v>
      </c>
      <c r="AE29" s="3">
        <f>ROUNDUP('S27 Material Flow Matrix'!AM980/$G$1, 0)</f>
        <v>0</v>
      </c>
      <c r="AF29" s="3">
        <f>ROUNDUP('S27 Material Flow Matrix'!AN980/$G$1, 0)</f>
        <v>0</v>
      </c>
      <c r="AG29" s="3">
        <f>ROUNDUP('S27 Material Flow Matrix'!AO980/$G$1, 0)</f>
        <v>69</v>
      </c>
      <c r="AH29" s="3">
        <f>ROUNDUP('S27 Material Flow Matrix'!AP980/$G$1, 0)</f>
        <v>0</v>
      </c>
      <c r="AI29" s="3">
        <f>ROUNDUP('S27 Material Flow Matrix'!AQ980/$G$1, 0)</f>
        <v>0</v>
      </c>
      <c r="AJ29" s="3">
        <f>ROUNDUP('S27 Material Flow Matrix'!AR980/$G$1, 0)</f>
        <v>0</v>
      </c>
      <c r="AK29" s="3">
        <f>ROUNDUP('S27 Material Flow Matrix'!AS980/$G$1, 0)</f>
        <v>0</v>
      </c>
      <c r="AL29" s="3">
        <f>ROUNDUP('S27 Material Flow Matrix'!AT980/$G$1, 0)</f>
        <v>0</v>
      </c>
      <c r="AM29" s="3">
        <f>ROUNDUP('S27 Material Flow Matrix'!AU980/$G$1, 0)</f>
        <v>0</v>
      </c>
      <c r="AN29" s="3">
        <f>ROUNDUP('S27 Material Flow Matrix'!AV980/$G$1, 0)</f>
        <v>0</v>
      </c>
      <c r="AO29" s="3">
        <f>ROUNDUP('S27 Material Flow Matrix'!AW980/$G$1, 0)</f>
        <v>0</v>
      </c>
      <c r="AP29" s="3">
        <f>ROUNDUP('S27 Material Flow Matrix'!AX980/$G$1, 0)</f>
        <v>0</v>
      </c>
      <c r="AQ29" s="3">
        <f>ROUNDUP('S27 Material Flow Matrix'!AY980/$G$1, 0)</f>
        <v>0</v>
      </c>
      <c r="AR29" s="3">
        <f>ROUNDUP('S27 Material Flow Matrix'!AZ980/$G$1, 0)</f>
        <v>0</v>
      </c>
      <c r="AS29" s="3">
        <f>ROUNDUP('S27 Material Flow Matrix'!BA980/$G$1, 0)</f>
        <v>0</v>
      </c>
    </row>
    <row r="30" spans="1:45">
      <c r="A30" s="288" t="s">
        <v>600</v>
      </c>
      <c r="B30" s="3">
        <f>ROUNDUP('S27 Material Flow Matrix'!J981/$G$1, 0)</f>
        <v>0</v>
      </c>
      <c r="C30" s="3">
        <f>ROUNDUP('S27 Material Flow Matrix'!K981/$G$1, 0)</f>
        <v>0</v>
      </c>
      <c r="D30" s="3">
        <f>ROUNDUP('S27 Material Flow Matrix'!L981/$G$1, 0)</f>
        <v>0</v>
      </c>
      <c r="E30" s="3">
        <f>ROUNDUP('S27 Material Flow Matrix'!M981/$G$1, 0)</f>
        <v>0</v>
      </c>
      <c r="F30" s="3">
        <f>ROUNDUP('S27 Material Flow Matrix'!N981/$G$1, 0)</f>
        <v>0</v>
      </c>
      <c r="G30" s="3">
        <f>ROUNDUP('S27 Material Flow Matrix'!O981/$G$1, 0)</f>
        <v>0</v>
      </c>
      <c r="H30" s="3">
        <f>ROUNDUP('S27 Material Flow Matrix'!P981/$G$1, 0)</f>
        <v>0</v>
      </c>
      <c r="I30" s="3">
        <f>ROUNDUP('S27 Material Flow Matrix'!Q981/$G$1, 0)</f>
        <v>0</v>
      </c>
      <c r="J30" s="3">
        <f>ROUNDUP('S27 Material Flow Matrix'!R981/$G$1, 0)</f>
        <v>0</v>
      </c>
      <c r="K30" s="3">
        <f>ROUNDUP('S27 Material Flow Matrix'!S981/$G$1, 0)</f>
        <v>0</v>
      </c>
      <c r="L30" s="3">
        <f>ROUNDUP('S27 Material Flow Matrix'!T981/$G$1, 0)</f>
        <v>0</v>
      </c>
      <c r="M30" s="3">
        <f>ROUNDUP('S27 Material Flow Matrix'!U981/$G$1, 0)</f>
        <v>0</v>
      </c>
      <c r="N30" s="3">
        <f>ROUNDUP('S27 Material Flow Matrix'!V981/$G$1, 0)</f>
        <v>0</v>
      </c>
      <c r="O30" s="3">
        <f>ROUNDUP('S27 Material Flow Matrix'!W981/$G$1, 0)</f>
        <v>0</v>
      </c>
      <c r="P30" s="3">
        <f>ROUNDUP('S27 Material Flow Matrix'!X981/$G$1, 0)</f>
        <v>0</v>
      </c>
      <c r="Q30" s="3">
        <f>ROUNDUP('S27 Material Flow Matrix'!Y981/$G$1, 0)</f>
        <v>0</v>
      </c>
      <c r="R30" s="3">
        <f>ROUNDUP('S27 Material Flow Matrix'!Z981/$G$1, 0)</f>
        <v>0</v>
      </c>
      <c r="S30" s="3">
        <f>ROUNDUP('S27 Material Flow Matrix'!AA981/$G$1, 0)</f>
        <v>0</v>
      </c>
      <c r="T30" s="3">
        <f>ROUNDUP('S27 Material Flow Matrix'!AB981/$G$1, 0)</f>
        <v>0</v>
      </c>
      <c r="U30" s="3">
        <f>ROUNDUP('S27 Material Flow Matrix'!AC981/$G$1, 0)</f>
        <v>0</v>
      </c>
      <c r="V30" s="3">
        <f>ROUNDUP('S27 Material Flow Matrix'!AD981/$G$1, 0)</f>
        <v>0</v>
      </c>
      <c r="W30" s="3">
        <f>ROUNDUP('S27 Material Flow Matrix'!AE981/$G$1, 0)</f>
        <v>0</v>
      </c>
      <c r="X30" s="3">
        <f>ROUNDUP('S27 Material Flow Matrix'!AF981/$G$1, 0)</f>
        <v>0</v>
      </c>
      <c r="Y30" s="3">
        <f>ROUNDUP('S27 Material Flow Matrix'!AG981/$G$1, 0)</f>
        <v>0</v>
      </c>
      <c r="Z30" s="3">
        <f>ROUNDUP('S27 Material Flow Matrix'!AH981/$G$1, 0)</f>
        <v>0</v>
      </c>
      <c r="AA30" s="3">
        <f>ROUNDUP('S27 Material Flow Matrix'!AI981/$G$1, 0)</f>
        <v>0</v>
      </c>
      <c r="AB30" s="3">
        <f>ROUNDUP('S27 Material Flow Matrix'!AJ981/$G$1, 0)</f>
        <v>0</v>
      </c>
      <c r="AC30" s="3">
        <f>ROUNDUP('S27 Material Flow Matrix'!AK981/$G$1, 0)</f>
        <v>0</v>
      </c>
      <c r="AD30" s="3">
        <f>ROUNDUP('S27 Material Flow Matrix'!AL981/$G$1, 0)</f>
        <v>0</v>
      </c>
      <c r="AE30" s="3">
        <f>ROUNDUP('S27 Material Flow Matrix'!AM981/$G$1, 0)</f>
        <v>0</v>
      </c>
      <c r="AF30" s="3">
        <f>ROUNDUP('S27 Material Flow Matrix'!AN981/$G$1, 0)</f>
        <v>0</v>
      </c>
      <c r="AG30" s="3">
        <f>ROUNDUP('S27 Material Flow Matrix'!AO981/$G$1, 0)</f>
        <v>89</v>
      </c>
      <c r="AH30" s="3">
        <f>ROUNDUP('S27 Material Flow Matrix'!AP981/$G$1, 0)</f>
        <v>0</v>
      </c>
      <c r="AI30" s="3">
        <f>ROUNDUP('S27 Material Flow Matrix'!AQ981/$G$1, 0)</f>
        <v>0</v>
      </c>
      <c r="AJ30" s="3">
        <f>ROUNDUP('S27 Material Flow Matrix'!AR981/$G$1, 0)</f>
        <v>0</v>
      </c>
      <c r="AK30" s="3">
        <f>ROUNDUP('S27 Material Flow Matrix'!AS981/$G$1, 0)</f>
        <v>0</v>
      </c>
      <c r="AL30" s="3">
        <f>ROUNDUP('S27 Material Flow Matrix'!AT981/$G$1, 0)</f>
        <v>0</v>
      </c>
      <c r="AM30" s="3">
        <f>ROUNDUP('S27 Material Flow Matrix'!AU981/$G$1, 0)</f>
        <v>0</v>
      </c>
      <c r="AN30" s="3">
        <f>ROUNDUP('S27 Material Flow Matrix'!AV981/$G$1, 0)</f>
        <v>0</v>
      </c>
      <c r="AO30" s="3">
        <f>ROUNDUP('S27 Material Flow Matrix'!AW981/$G$1, 0)</f>
        <v>0</v>
      </c>
      <c r="AP30" s="3">
        <f>ROUNDUP('S27 Material Flow Matrix'!AX981/$G$1, 0)</f>
        <v>0</v>
      </c>
      <c r="AQ30" s="3">
        <f>ROUNDUP('S27 Material Flow Matrix'!AY981/$G$1, 0)</f>
        <v>0</v>
      </c>
      <c r="AR30" s="3">
        <f>ROUNDUP('S27 Material Flow Matrix'!AZ981/$G$1, 0)</f>
        <v>0</v>
      </c>
      <c r="AS30" s="3">
        <f>ROUNDUP('S27 Material Flow Matrix'!BA981/$G$1, 0)</f>
        <v>0</v>
      </c>
    </row>
    <row r="31" spans="1:45">
      <c r="A31" s="288" t="s">
        <v>601</v>
      </c>
      <c r="B31" s="3">
        <f>ROUNDUP('S27 Material Flow Matrix'!J982/$G$1, 0)</f>
        <v>0</v>
      </c>
      <c r="C31" s="3">
        <f>ROUNDUP('S27 Material Flow Matrix'!K982/$G$1, 0)</f>
        <v>0</v>
      </c>
      <c r="D31" s="3">
        <f>ROUNDUP('S27 Material Flow Matrix'!L982/$G$1, 0)</f>
        <v>0</v>
      </c>
      <c r="E31" s="3">
        <f>ROUNDUP('S27 Material Flow Matrix'!M982/$G$1, 0)</f>
        <v>0</v>
      </c>
      <c r="F31" s="3">
        <f>ROUNDUP('S27 Material Flow Matrix'!N982/$G$1, 0)</f>
        <v>0</v>
      </c>
      <c r="G31" s="3">
        <f>ROUNDUP('S27 Material Flow Matrix'!O982/$G$1, 0)</f>
        <v>0</v>
      </c>
      <c r="H31" s="3">
        <f>ROUNDUP('S27 Material Flow Matrix'!P982/$G$1, 0)</f>
        <v>0</v>
      </c>
      <c r="I31" s="3">
        <f>ROUNDUP('S27 Material Flow Matrix'!Q982/$G$1, 0)</f>
        <v>0</v>
      </c>
      <c r="J31" s="3">
        <f>ROUNDUP('S27 Material Flow Matrix'!R982/$G$1, 0)</f>
        <v>0</v>
      </c>
      <c r="K31" s="3">
        <f>ROUNDUP('S27 Material Flow Matrix'!S982/$G$1, 0)</f>
        <v>0</v>
      </c>
      <c r="L31" s="3">
        <f>ROUNDUP('S27 Material Flow Matrix'!T982/$G$1, 0)</f>
        <v>0</v>
      </c>
      <c r="M31" s="3">
        <f>ROUNDUP('S27 Material Flow Matrix'!U982/$G$1, 0)</f>
        <v>0</v>
      </c>
      <c r="N31" s="3">
        <f>ROUNDUP('S27 Material Flow Matrix'!V982/$G$1, 0)</f>
        <v>0</v>
      </c>
      <c r="O31" s="3">
        <f>ROUNDUP('S27 Material Flow Matrix'!W982/$G$1, 0)</f>
        <v>0</v>
      </c>
      <c r="P31" s="3">
        <f>ROUNDUP('S27 Material Flow Matrix'!X982/$G$1, 0)</f>
        <v>0</v>
      </c>
      <c r="Q31" s="3">
        <f>ROUNDUP('S27 Material Flow Matrix'!Y982/$G$1, 0)</f>
        <v>0</v>
      </c>
      <c r="R31" s="3">
        <f>ROUNDUP('S27 Material Flow Matrix'!Z982/$G$1, 0)</f>
        <v>0</v>
      </c>
      <c r="S31" s="3">
        <f>ROUNDUP('S27 Material Flow Matrix'!AA982/$G$1, 0)</f>
        <v>0</v>
      </c>
      <c r="T31" s="3">
        <f>ROUNDUP('S27 Material Flow Matrix'!AB982/$G$1, 0)</f>
        <v>0</v>
      </c>
      <c r="U31" s="3">
        <f>ROUNDUP('S27 Material Flow Matrix'!AC982/$G$1, 0)</f>
        <v>0</v>
      </c>
      <c r="V31" s="3">
        <f>ROUNDUP('S27 Material Flow Matrix'!AD982/$G$1, 0)</f>
        <v>0</v>
      </c>
      <c r="W31" s="3">
        <f>ROUNDUP('S27 Material Flow Matrix'!AE982/$G$1, 0)</f>
        <v>0</v>
      </c>
      <c r="X31" s="3">
        <f>ROUNDUP('S27 Material Flow Matrix'!AF982/$G$1, 0)</f>
        <v>0</v>
      </c>
      <c r="Y31" s="3">
        <f>ROUNDUP('S27 Material Flow Matrix'!AG982/$G$1, 0)</f>
        <v>0</v>
      </c>
      <c r="Z31" s="3">
        <f>ROUNDUP('S27 Material Flow Matrix'!AH982/$G$1, 0)</f>
        <v>0</v>
      </c>
      <c r="AA31" s="3">
        <f>ROUNDUP('S27 Material Flow Matrix'!AI982/$G$1, 0)</f>
        <v>0</v>
      </c>
      <c r="AB31" s="3">
        <f>ROUNDUP('S27 Material Flow Matrix'!AJ982/$G$1, 0)</f>
        <v>89</v>
      </c>
      <c r="AC31" s="3">
        <f>ROUNDUP('S27 Material Flow Matrix'!AK982/$G$1, 0)</f>
        <v>0</v>
      </c>
      <c r="AD31" s="3">
        <f>ROUNDUP('S27 Material Flow Matrix'!AL982/$G$1, 0)</f>
        <v>0</v>
      </c>
      <c r="AE31" s="3">
        <f>ROUNDUP('S27 Material Flow Matrix'!AM982/$G$1, 0)</f>
        <v>0</v>
      </c>
      <c r="AF31" s="3">
        <f>ROUNDUP('S27 Material Flow Matrix'!AN982/$G$1, 0)</f>
        <v>0</v>
      </c>
      <c r="AG31" s="3">
        <f>ROUNDUP('S27 Material Flow Matrix'!AO982/$G$1, 0)</f>
        <v>0</v>
      </c>
      <c r="AH31" s="3">
        <f>ROUNDUP('S27 Material Flow Matrix'!AP982/$G$1, 0)</f>
        <v>0</v>
      </c>
      <c r="AI31" s="3">
        <f>ROUNDUP('S27 Material Flow Matrix'!AQ982/$G$1, 0)</f>
        <v>0</v>
      </c>
      <c r="AJ31" s="3">
        <f>ROUNDUP('S27 Material Flow Matrix'!AR982/$G$1, 0)</f>
        <v>0</v>
      </c>
      <c r="AK31" s="3">
        <f>ROUNDUP('S27 Material Flow Matrix'!AS982/$G$1, 0)</f>
        <v>0</v>
      </c>
      <c r="AL31" s="3">
        <f>ROUNDUP('S27 Material Flow Matrix'!AT982/$G$1, 0)</f>
        <v>0</v>
      </c>
      <c r="AM31" s="3">
        <f>ROUNDUP('S27 Material Flow Matrix'!AU982/$G$1, 0)</f>
        <v>0</v>
      </c>
      <c r="AN31" s="3">
        <f>ROUNDUP('S27 Material Flow Matrix'!AV982/$G$1, 0)</f>
        <v>0</v>
      </c>
      <c r="AO31" s="3">
        <f>ROUNDUP('S27 Material Flow Matrix'!AW982/$G$1, 0)</f>
        <v>0</v>
      </c>
      <c r="AP31" s="3">
        <f>ROUNDUP('S27 Material Flow Matrix'!AX982/$G$1, 0)</f>
        <v>0</v>
      </c>
      <c r="AQ31" s="3">
        <f>ROUNDUP('S27 Material Flow Matrix'!AY982/$G$1, 0)</f>
        <v>0</v>
      </c>
      <c r="AR31" s="3">
        <f>ROUNDUP('S27 Material Flow Matrix'!AZ982/$G$1, 0)</f>
        <v>0</v>
      </c>
      <c r="AS31" s="3">
        <f>ROUNDUP('S27 Material Flow Matrix'!BA982/$G$1, 0)</f>
        <v>0</v>
      </c>
    </row>
    <row r="32" spans="1:45">
      <c r="A32" s="288" t="s">
        <v>602</v>
      </c>
      <c r="B32" s="3">
        <f>ROUNDUP('S27 Material Flow Matrix'!J983/$G$1, 0)</f>
        <v>0</v>
      </c>
      <c r="C32" s="3">
        <f>ROUNDUP('S27 Material Flow Matrix'!K983/$G$1, 0)</f>
        <v>0</v>
      </c>
      <c r="D32" s="3">
        <f>ROUNDUP('S27 Material Flow Matrix'!L983/$G$1, 0)</f>
        <v>0</v>
      </c>
      <c r="E32" s="3">
        <f>ROUNDUP('S27 Material Flow Matrix'!M983/$G$1, 0)</f>
        <v>0</v>
      </c>
      <c r="F32" s="3">
        <f>ROUNDUP('S27 Material Flow Matrix'!N983/$G$1, 0)</f>
        <v>0</v>
      </c>
      <c r="G32" s="3">
        <f>ROUNDUP('S27 Material Flow Matrix'!O983/$G$1, 0)</f>
        <v>0</v>
      </c>
      <c r="H32" s="3">
        <f>ROUNDUP('S27 Material Flow Matrix'!P983/$G$1, 0)</f>
        <v>0</v>
      </c>
      <c r="I32" s="3">
        <f>ROUNDUP('S27 Material Flow Matrix'!Q983/$G$1, 0)</f>
        <v>0</v>
      </c>
      <c r="J32" s="3">
        <f>ROUNDUP('S27 Material Flow Matrix'!R983/$G$1, 0)</f>
        <v>0</v>
      </c>
      <c r="K32" s="3">
        <f>ROUNDUP('S27 Material Flow Matrix'!S983/$G$1, 0)</f>
        <v>0</v>
      </c>
      <c r="L32" s="3">
        <f>ROUNDUP('S27 Material Flow Matrix'!T983/$G$1, 0)</f>
        <v>0</v>
      </c>
      <c r="M32" s="3">
        <f>ROUNDUP('S27 Material Flow Matrix'!U983/$G$1, 0)</f>
        <v>0</v>
      </c>
      <c r="N32" s="3">
        <f>ROUNDUP('S27 Material Flow Matrix'!V983/$G$1, 0)</f>
        <v>0</v>
      </c>
      <c r="O32" s="3">
        <f>ROUNDUP('S27 Material Flow Matrix'!W983/$G$1, 0)</f>
        <v>0</v>
      </c>
      <c r="P32" s="3">
        <f>ROUNDUP('S27 Material Flow Matrix'!X983/$G$1, 0)</f>
        <v>0</v>
      </c>
      <c r="Q32" s="3">
        <f>ROUNDUP('S27 Material Flow Matrix'!Y983/$G$1, 0)</f>
        <v>0</v>
      </c>
      <c r="R32" s="3">
        <f>ROUNDUP('S27 Material Flow Matrix'!Z983/$G$1, 0)</f>
        <v>0</v>
      </c>
      <c r="S32" s="3">
        <f>ROUNDUP('S27 Material Flow Matrix'!AA983/$G$1, 0)</f>
        <v>0</v>
      </c>
      <c r="T32" s="3">
        <f>ROUNDUP('S27 Material Flow Matrix'!AB983/$G$1, 0)</f>
        <v>0</v>
      </c>
      <c r="U32" s="3">
        <f>ROUNDUP('S27 Material Flow Matrix'!AC983/$G$1, 0)</f>
        <v>0</v>
      </c>
      <c r="V32" s="3">
        <f>ROUNDUP('S27 Material Flow Matrix'!AD983/$G$1, 0)</f>
        <v>0</v>
      </c>
      <c r="W32" s="3">
        <f>ROUNDUP('S27 Material Flow Matrix'!AE983/$G$1, 0)</f>
        <v>0</v>
      </c>
      <c r="X32" s="3">
        <f>ROUNDUP('S27 Material Flow Matrix'!AF983/$G$1, 0)</f>
        <v>0</v>
      </c>
      <c r="Y32" s="3">
        <f>ROUNDUP('S27 Material Flow Matrix'!AG983/$G$1, 0)</f>
        <v>0</v>
      </c>
      <c r="Z32" s="3">
        <f>ROUNDUP('S27 Material Flow Matrix'!AH983/$G$1, 0)</f>
        <v>0</v>
      </c>
      <c r="AA32" s="3">
        <f>ROUNDUP('S27 Material Flow Matrix'!AI983/$G$1, 0)</f>
        <v>0</v>
      </c>
      <c r="AB32" s="3">
        <f>ROUNDUP('S27 Material Flow Matrix'!AJ983/$G$1, 0)</f>
        <v>0</v>
      </c>
      <c r="AC32" s="3">
        <f>ROUNDUP('S27 Material Flow Matrix'!AK983/$G$1, 0)</f>
        <v>0</v>
      </c>
      <c r="AD32" s="3">
        <f>ROUNDUP('S27 Material Flow Matrix'!AL983/$G$1, 0)</f>
        <v>0</v>
      </c>
      <c r="AE32" s="3">
        <f>ROUNDUP('S27 Material Flow Matrix'!AM983/$G$1, 0)</f>
        <v>0</v>
      </c>
      <c r="AF32" s="3">
        <f>ROUNDUP('S27 Material Flow Matrix'!AN983/$G$1, 0)</f>
        <v>0</v>
      </c>
      <c r="AG32" s="3">
        <f>ROUNDUP('S27 Material Flow Matrix'!AO983/$G$1, 0)</f>
        <v>0</v>
      </c>
      <c r="AH32" s="3">
        <f>ROUNDUP('S27 Material Flow Matrix'!AP983/$G$1, 0)</f>
        <v>151</v>
      </c>
      <c r="AI32" s="3">
        <f>ROUNDUP('S27 Material Flow Matrix'!AQ983/$G$1, 0)</f>
        <v>0</v>
      </c>
      <c r="AJ32" s="3">
        <f>ROUNDUP('S27 Material Flow Matrix'!AR983/$G$1, 0)</f>
        <v>0</v>
      </c>
      <c r="AK32" s="3">
        <f>ROUNDUP('S27 Material Flow Matrix'!AS983/$G$1, 0)</f>
        <v>0</v>
      </c>
      <c r="AL32" s="3">
        <f>ROUNDUP('S27 Material Flow Matrix'!AT983/$G$1, 0)</f>
        <v>0</v>
      </c>
      <c r="AM32" s="3">
        <f>ROUNDUP('S27 Material Flow Matrix'!AU983/$G$1, 0)</f>
        <v>0</v>
      </c>
      <c r="AN32" s="3">
        <f>ROUNDUP('S27 Material Flow Matrix'!AV983/$G$1, 0)</f>
        <v>0</v>
      </c>
      <c r="AO32" s="3">
        <f>ROUNDUP('S27 Material Flow Matrix'!AW983/$G$1, 0)</f>
        <v>0</v>
      </c>
      <c r="AP32" s="3">
        <f>ROUNDUP('S27 Material Flow Matrix'!AX983/$G$1, 0)</f>
        <v>0</v>
      </c>
      <c r="AQ32" s="3">
        <f>ROUNDUP('S27 Material Flow Matrix'!AY983/$G$1, 0)</f>
        <v>0</v>
      </c>
      <c r="AR32" s="3">
        <f>ROUNDUP('S27 Material Flow Matrix'!AZ983/$G$1, 0)</f>
        <v>0</v>
      </c>
      <c r="AS32" s="3">
        <f>ROUNDUP('S27 Material Flow Matrix'!BA983/$G$1, 0)</f>
        <v>0</v>
      </c>
    </row>
    <row r="33" spans="1:45">
      <c r="A33" s="288" t="s">
        <v>603</v>
      </c>
      <c r="B33" s="3">
        <f>ROUNDUP('S27 Material Flow Matrix'!J984/$G$1, 0)</f>
        <v>0</v>
      </c>
      <c r="C33" s="3">
        <f>ROUNDUP('S27 Material Flow Matrix'!K984/$G$1, 0)</f>
        <v>0</v>
      </c>
      <c r="D33" s="3">
        <f>ROUNDUP('S27 Material Flow Matrix'!L984/$G$1, 0)</f>
        <v>0</v>
      </c>
      <c r="E33" s="3">
        <f>ROUNDUP('S27 Material Flow Matrix'!M984/$G$1, 0)</f>
        <v>0</v>
      </c>
      <c r="F33" s="3">
        <f>ROUNDUP('S27 Material Flow Matrix'!N984/$G$1, 0)</f>
        <v>0</v>
      </c>
      <c r="G33" s="3">
        <f>ROUNDUP('S27 Material Flow Matrix'!O984/$G$1, 0)</f>
        <v>0</v>
      </c>
      <c r="H33" s="3">
        <f>ROUNDUP('S27 Material Flow Matrix'!P984/$G$1, 0)</f>
        <v>0</v>
      </c>
      <c r="I33" s="3">
        <f>ROUNDUP('S27 Material Flow Matrix'!Q984/$G$1, 0)</f>
        <v>0</v>
      </c>
      <c r="J33" s="3">
        <f>ROUNDUP('S27 Material Flow Matrix'!R984/$G$1, 0)</f>
        <v>0</v>
      </c>
      <c r="K33" s="3">
        <f>ROUNDUP('S27 Material Flow Matrix'!S984/$G$1, 0)</f>
        <v>0</v>
      </c>
      <c r="L33" s="3">
        <f>ROUNDUP('S27 Material Flow Matrix'!T984/$G$1, 0)</f>
        <v>0</v>
      </c>
      <c r="M33" s="3">
        <f>ROUNDUP('S27 Material Flow Matrix'!U984/$G$1, 0)</f>
        <v>0</v>
      </c>
      <c r="N33" s="3">
        <f>ROUNDUP('S27 Material Flow Matrix'!V984/$G$1, 0)</f>
        <v>0</v>
      </c>
      <c r="O33" s="3">
        <f>ROUNDUP('S27 Material Flow Matrix'!W984/$G$1, 0)</f>
        <v>0</v>
      </c>
      <c r="P33" s="3">
        <f>ROUNDUP('S27 Material Flow Matrix'!X984/$G$1, 0)</f>
        <v>0</v>
      </c>
      <c r="Q33" s="3">
        <f>ROUNDUP('S27 Material Flow Matrix'!Y984/$G$1, 0)</f>
        <v>0</v>
      </c>
      <c r="R33" s="3">
        <f>ROUNDUP('S27 Material Flow Matrix'!Z984/$G$1, 0)</f>
        <v>0</v>
      </c>
      <c r="S33" s="3">
        <f>ROUNDUP('S27 Material Flow Matrix'!AA984/$G$1, 0)</f>
        <v>0</v>
      </c>
      <c r="T33" s="3">
        <f>ROUNDUP('S27 Material Flow Matrix'!AB984/$G$1, 0)</f>
        <v>0</v>
      </c>
      <c r="U33" s="3">
        <f>ROUNDUP('S27 Material Flow Matrix'!AC984/$G$1, 0)</f>
        <v>0</v>
      </c>
      <c r="V33" s="3">
        <f>ROUNDUP('S27 Material Flow Matrix'!AD984/$G$1, 0)</f>
        <v>0</v>
      </c>
      <c r="W33" s="3">
        <f>ROUNDUP('S27 Material Flow Matrix'!AE984/$G$1, 0)</f>
        <v>0</v>
      </c>
      <c r="X33" s="3">
        <f>ROUNDUP('S27 Material Flow Matrix'!AF984/$G$1, 0)</f>
        <v>0</v>
      </c>
      <c r="Y33" s="3">
        <f>ROUNDUP('S27 Material Flow Matrix'!AG984/$G$1, 0)</f>
        <v>0</v>
      </c>
      <c r="Z33" s="3">
        <f>ROUNDUP('S27 Material Flow Matrix'!AH984/$G$1, 0)</f>
        <v>0</v>
      </c>
      <c r="AA33" s="3">
        <f>ROUNDUP('S27 Material Flow Matrix'!AI984/$G$1, 0)</f>
        <v>0</v>
      </c>
      <c r="AB33" s="3">
        <f>ROUNDUP('S27 Material Flow Matrix'!AJ984/$G$1, 0)</f>
        <v>0</v>
      </c>
      <c r="AC33" s="3">
        <f>ROUNDUP('S27 Material Flow Matrix'!AK984/$G$1, 0)</f>
        <v>0</v>
      </c>
      <c r="AD33" s="3">
        <f>ROUNDUP('S27 Material Flow Matrix'!AL984/$G$1, 0)</f>
        <v>0</v>
      </c>
      <c r="AE33" s="3">
        <f>ROUNDUP('S27 Material Flow Matrix'!AM984/$G$1, 0)</f>
        <v>0</v>
      </c>
      <c r="AF33" s="3">
        <f>ROUNDUP('S27 Material Flow Matrix'!AN984/$G$1, 0)</f>
        <v>0</v>
      </c>
      <c r="AG33" s="3">
        <f>ROUNDUP('S27 Material Flow Matrix'!AO984/$G$1, 0)</f>
        <v>0</v>
      </c>
      <c r="AH33" s="3">
        <f>ROUNDUP('S27 Material Flow Matrix'!AP984/$G$1, 0)</f>
        <v>0</v>
      </c>
      <c r="AI33" s="3">
        <f>ROUNDUP('S27 Material Flow Matrix'!AQ984/$G$1, 0)</f>
        <v>0</v>
      </c>
      <c r="AJ33" s="3">
        <f>ROUNDUP('S27 Material Flow Matrix'!AR984/$G$1, 0)</f>
        <v>0</v>
      </c>
      <c r="AK33" s="3">
        <f>ROUNDUP('S27 Material Flow Matrix'!AS984/$G$1, 0)</f>
        <v>0</v>
      </c>
      <c r="AL33" s="3">
        <f>ROUNDUP('S27 Material Flow Matrix'!AT984/$G$1, 0)</f>
        <v>0</v>
      </c>
      <c r="AM33" s="3">
        <f>ROUNDUP('S27 Material Flow Matrix'!AU984/$G$1, 0)</f>
        <v>0</v>
      </c>
      <c r="AN33" s="3">
        <f>ROUNDUP('S27 Material Flow Matrix'!AV984/$G$1, 0)</f>
        <v>0</v>
      </c>
      <c r="AO33" s="3">
        <f>ROUNDUP('S27 Material Flow Matrix'!AW984/$G$1, 0)</f>
        <v>0</v>
      </c>
      <c r="AP33" s="3">
        <f>ROUNDUP('S27 Material Flow Matrix'!AX984/$G$1, 0)</f>
        <v>0</v>
      </c>
      <c r="AQ33" s="3">
        <f>ROUNDUP('S27 Material Flow Matrix'!AY984/$G$1, 0)</f>
        <v>0</v>
      </c>
      <c r="AR33" s="3">
        <f>ROUNDUP('S27 Material Flow Matrix'!AZ984/$G$1, 0)</f>
        <v>0</v>
      </c>
      <c r="AS33" s="3">
        <f>ROUNDUP('S27 Material Flow Matrix'!BA984/$G$1, 0)</f>
        <v>0</v>
      </c>
    </row>
    <row r="34" spans="1:45">
      <c r="A34" s="288" t="s">
        <v>604</v>
      </c>
      <c r="B34" s="3">
        <f>ROUNDUP('S27 Material Flow Matrix'!J985/$G$1, 0)</f>
        <v>0</v>
      </c>
      <c r="C34" s="3">
        <f>ROUNDUP('S27 Material Flow Matrix'!K985/$G$1, 0)</f>
        <v>0</v>
      </c>
      <c r="D34" s="3">
        <f>ROUNDUP('S27 Material Flow Matrix'!L985/$G$1, 0)</f>
        <v>0</v>
      </c>
      <c r="E34" s="3">
        <f>ROUNDUP('S27 Material Flow Matrix'!M985/$G$1, 0)</f>
        <v>0</v>
      </c>
      <c r="F34" s="3">
        <f>ROUNDUP('S27 Material Flow Matrix'!N985/$G$1, 0)</f>
        <v>0</v>
      </c>
      <c r="G34" s="3">
        <f>ROUNDUP('S27 Material Flow Matrix'!O985/$G$1, 0)</f>
        <v>0</v>
      </c>
      <c r="H34" s="3">
        <f>ROUNDUP('S27 Material Flow Matrix'!P985/$G$1, 0)</f>
        <v>0</v>
      </c>
      <c r="I34" s="3">
        <f>ROUNDUP('S27 Material Flow Matrix'!Q985/$G$1, 0)</f>
        <v>0</v>
      </c>
      <c r="J34" s="3">
        <f>ROUNDUP('S27 Material Flow Matrix'!R985/$G$1, 0)</f>
        <v>0</v>
      </c>
      <c r="K34" s="3">
        <f>ROUNDUP('S27 Material Flow Matrix'!S985/$G$1, 0)</f>
        <v>0</v>
      </c>
      <c r="L34" s="3">
        <f>ROUNDUP('S27 Material Flow Matrix'!T985/$G$1, 0)</f>
        <v>0</v>
      </c>
      <c r="M34" s="3">
        <f>ROUNDUP('S27 Material Flow Matrix'!U985/$G$1, 0)</f>
        <v>0</v>
      </c>
      <c r="N34" s="3">
        <f>ROUNDUP('S27 Material Flow Matrix'!V985/$G$1, 0)</f>
        <v>0</v>
      </c>
      <c r="O34" s="3">
        <f>ROUNDUP('S27 Material Flow Matrix'!W985/$G$1, 0)</f>
        <v>0</v>
      </c>
      <c r="P34" s="3">
        <f>ROUNDUP('S27 Material Flow Matrix'!X985/$G$1, 0)</f>
        <v>0</v>
      </c>
      <c r="Q34" s="3">
        <f>ROUNDUP('S27 Material Flow Matrix'!Y985/$G$1, 0)</f>
        <v>0</v>
      </c>
      <c r="R34" s="3">
        <f>ROUNDUP('S27 Material Flow Matrix'!Z985/$G$1, 0)</f>
        <v>0</v>
      </c>
      <c r="S34" s="3">
        <f>ROUNDUP('S27 Material Flow Matrix'!AA985/$G$1, 0)</f>
        <v>0</v>
      </c>
      <c r="T34" s="3">
        <f>ROUNDUP('S27 Material Flow Matrix'!AB985/$G$1, 0)</f>
        <v>0</v>
      </c>
      <c r="U34" s="3">
        <f>ROUNDUP('S27 Material Flow Matrix'!AC985/$G$1, 0)</f>
        <v>0</v>
      </c>
      <c r="V34" s="3">
        <f>ROUNDUP('S27 Material Flow Matrix'!AD985/$G$1, 0)</f>
        <v>0</v>
      </c>
      <c r="W34" s="3">
        <f>ROUNDUP('S27 Material Flow Matrix'!AE985/$G$1, 0)</f>
        <v>0</v>
      </c>
      <c r="X34" s="3">
        <f>ROUNDUP('S27 Material Flow Matrix'!AF985/$G$1, 0)</f>
        <v>0</v>
      </c>
      <c r="Y34" s="3">
        <f>ROUNDUP('S27 Material Flow Matrix'!AG985/$G$1, 0)</f>
        <v>0</v>
      </c>
      <c r="Z34" s="3">
        <f>ROUNDUP('S27 Material Flow Matrix'!AH985/$G$1, 0)</f>
        <v>0</v>
      </c>
      <c r="AA34" s="3">
        <f>ROUNDUP('S27 Material Flow Matrix'!AI985/$G$1, 0)</f>
        <v>0</v>
      </c>
      <c r="AB34" s="3">
        <f>ROUNDUP('S27 Material Flow Matrix'!AJ985/$G$1, 0)</f>
        <v>0</v>
      </c>
      <c r="AC34" s="3">
        <f>ROUNDUP('S27 Material Flow Matrix'!AK985/$G$1, 0)</f>
        <v>0</v>
      </c>
      <c r="AD34" s="3">
        <f>ROUNDUP('S27 Material Flow Matrix'!AL985/$G$1, 0)</f>
        <v>0</v>
      </c>
      <c r="AE34" s="3">
        <f>ROUNDUP('S27 Material Flow Matrix'!AM985/$G$1, 0)</f>
        <v>0</v>
      </c>
      <c r="AF34" s="3">
        <f>ROUNDUP('S27 Material Flow Matrix'!AN985/$G$1, 0)</f>
        <v>0</v>
      </c>
      <c r="AG34" s="3">
        <f>ROUNDUP('S27 Material Flow Matrix'!AO985/$G$1, 0)</f>
        <v>71</v>
      </c>
      <c r="AH34" s="3">
        <f>ROUNDUP('S27 Material Flow Matrix'!AP985/$G$1, 0)</f>
        <v>0</v>
      </c>
      <c r="AI34" s="3">
        <f>ROUNDUP('S27 Material Flow Matrix'!AQ985/$G$1, 0)</f>
        <v>0</v>
      </c>
      <c r="AJ34" s="3">
        <f>ROUNDUP('S27 Material Flow Matrix'!AR985/$G$1, 0)</f>
        <v>0</v>
      </c>
      <c r="AK34" s="3">
        <f>ROUNDUP('S27 Material Flow Matrix'!AS985/$G$1, 0)</f>
        <v>0</v>
      </c>
      <c r="AL34" s="3">
        <f>ROUNDUP('S27 Material Flow Matrix'!AT985/$G$1, 0)</f>
        <v>0</v>
      </c>
      <c r="AM34" s="3">
        <f>ROUNDUP('S27 Material Flow Matrix'!AU985/$G$1, 0)</f>
        <v>0</v>
      </c>
      <c r="AN34" s="3">
        <f>ROUNDUP('S27 Material Flow Matrix'!AV985/$G$1, 0)</f>
        <v>0</v>
      </c>
      <c r="AO34" s="3">
        <f>ROUNDUP('S27 Material Flow Matrix'!AW985/$G$1, 0)</f>
        <v>0</v>
      </c>
      <c r="AP34" s="3">
        <f>ROUNDUP('S27 Material Flow Matrix'!AX985/$G$1, 0)</f>
        <v>0</v>
      </c>
      <c r="AQ34" s="3">
        <f>ROUNDUP('S27 Material Flow Matrix'!AY985/$G$1, 0)</f>
        <v>0</v>
      </c>
      <c r="AR34" s="3">
        <f>ROUNDUP('S27 Material Flow Matrix'!AZ985/$G$1, 0)</f>
        <v>0</v>
      </c>
      <c r="AS34" s="3">
        <f>ROUNDUP('S27 Material Flow Matrix'!BA985/$G$1, 0)</f>
        <v>0</v>
      </c>
    </row>
    <row r="35" spans="1:45">
      <c r="A35" s="288" t="s">
        <v>605</v>
      </c>
      <c r="B35" s="3">
        <f>ROUNDUP('S27 Material Flow Matrix'!J986/$G$1, 0)</f>
        <v>0</v>
      </c>
      <c r="C35" s="3">
        <f>ROUNDUP('S27 Material Flow Matrix'!K986/$G$1, 0)</f>
        <v>0</v>
      </c>
      <c r="D35" s="3">
        <f>ROUNDUP('S27 Material Flow Matrix'!L986/$G$1, 0)</f>
        <v>0</v>
      </c>
      <c r="E35" s="3">
        <f>ROUNDUP('S27 Material Flow Matrix'!M986/$G$1, 0)</f>
        <v>0</v>
      </c>
      <c r="F35" s="3">
        <f>ROUNDUP('S27 Material Flow Matrix'!N986/$G$1, 0)</f>
        <v>0</v>
      </c>
      <c r="G35" s="3">
        <f>ROUNDUP('S27 Material Flow Matrix'!O986/$G$1, 0)</f>
        <v>0</v>
      </c>
      <c r="H35" s="3">
        <f>ROUNDUP('S27 Material Flow Matrix'!P986/$G$1, 0)</f>
        <v>0</v>
      </c>
      <c r="I35" s="3">
        <f>ROUNDUP('S27 Material Flow Matrix'!Q986/$G$1, 0)</f>
        <v>0</v>
      </c>
      <c r="J35" s="3">
        <f>ROUNDUP('S27 Material Flow Matrix'!R986/$G$1, 0)</f>
        <v>0</v>
      </c>
      <c r="K35" s="3">
        <f>ROUNDUP('S27 Material Flow Matrix'!S986/$G$1, 0)</f>
        <v>0</v>
      </c>
      <c r="L35" s="3">
        <f>ROUNDUP('S27 Material Flow Matrix'!T986/$G$1, 0)</f>
        <v>0</v>
      </c>
      <c r="M35" s="3">
        <f>ROUNDUP('S27 Material Flow Matrix'!U986/$G$1, 0)</f>
        <v>0</v>
      </c>
      <c r="N35" s="3">
        <f>ROUNDUP('S27 Material Flow Matrix'!V986/$G$1, 0)</f>
        <v>0</v>
      </c>
      <c r="O35" s="3">
        <f>ROUNDUP('S27 Material Flow Matrix'!W986/$G$1, 0)</f>
        <v>0</v>
      </c>
      <c r="P35" s="3">
        <f>ROUNDUP('S27 Material Flow Matrix'!X986/$G$1, 0)</f>
        <v>0</v>
      </c>
      <c r="Q35" s="3">
        <f>ROUNDUP('S27 Material Flow Matrix'!Y986/$G$1, 0)</f>
        <v>0</v>
      </c>
      <c r="R35" s="3">
        <f>ROUNDUP('S27 Material Flow Matrix'!Z986/$G$1, 0)</f>
        <v>0</v>
      </c>
      <c r="S35" s="3">
        <f>ROUNDUP('S27 Material Flow Matrix'!AA986/$G$1, 0)</f>
        <v>0</v>
      </c>
      <c r="T35" s="3">
        <f>ROUNDUP('S27 Material Flow Matrix'!AB986/$G$1, 0)</f>
        <v>0</v>
      </c>
      <c r="U35" s="3">
        <f>ROUNDUP('S27 Material Flow Matrix'!AC986/$G$1, 0)</f>
        <v>0</v>
      </c>
      <c r="V35" s="3">
        <f>ROUNDUP('S27 Material Flow Matrix'!AD986/$G$1, 0)</f>
        <v>0</v>
      </c>
      <c r="W35" s="3">
        <f>ROUNDUP('S27 Material Flow Matrix'!AE986/$G$1, 0)</f>
        <v>0</v>
      </c>
      <c r="X35" s="3">
        <f>ROUNDUP('S27 Material Flow Matrix'!AF986/$G$1, 0)</f>
        <v>0</v>
      </c>
      <c r="Y35" s="3">
        <f>ROUNDUP('S27 Material Flow Matrix'!AG986/$G$1, 0)</f>
        <v>0</v>
      </c>
      <c r="Z35" s="3">
        <f>ROUNDUP('S27 Material Flow Matrix'!AH986/$G$1, 0)</f>
        <v>0</v>
      </c>
      <c r="AA35" s="3">
        <f>ROUNDUP('S27 Material Flow Matrix'!AI986/$G$1, 0)</f>
        <v>0</v>
      </c>
      <c r="AB35" s="3">
        <f>ROUNDUP('S27 Material Flow Matrix'!AJ986/$G$1, 0)</f>
        <v>0</v>
      </c>
      <c r="AC35" s="3">
        <f>ROUNDUP('S27 Material Flow Matrix'!AK986/$G$1, 0)</f>
        <v>0</v>
      </c>
      <c r="AD35" s="3">
        <f>ROUNDUP('S27 Material Flow Matrix'!AL986/$G$1, 0)</f>
        <v>0</v>
      </c>
      <c r="AE35" s="3">
        <f>ROUNDUP('S27 Material Flow Matrix'!AM986/$G$1, 0)</f>
        <v>0</v>
      </c>
      <c r="AF35" s="3">
        <f>ROUNDUP('S27 Material Flow Matrix'!AN986/$G$1, 0)</f>
        <v>0</v>
      </c>
      <c r="AG35" s="3">
        <f>ROUNDUP('S27 Material Flow Matrix'!AO986/$G$1, 0)</f>
        <v>0</v>
      </c>
      <c r="AH35" s="3">
        <f>ROUNDUP('S27 Material Flow Matrix'!AP986/$G$1, 0)</f>
        <v>0</v>
      </c>
      <c r="AI35" s="3">
        <f>ROUNDUP('S27 Material Flow Matrix'!AQ986/$G$1, 0)</f>
        <v>0</v>
      </c>
      <c r="AJ35" s="3">
        <f>ROUNDUP('S27 Material Flow Matrix'!AR986/$G$1, 0)</f>
        <v>0</v>
      </c>
      <c r="AK35" s="3">
        <f>ROUNDUP('S27 Material Flow Matrix'!AS986/$G$1, 0)</f>
        <v>0</v>
      </c>
      <c r="AL35" s="3">
        <f>ROUNDUP('S27 Material Flow Matrix'!AT986/$G$1, 0)</f>
        <v>0</v>
      </c>
      <c r="AM35" s="3">
        <f>ROUNDUP('S27 Material Flow Matrix'!AU986/$G$1, 0)</f>
        <v>0</v>
      </c>
      <c r="AN35" s="3">
        <f>ROUNDUP('S27 Material Flow Matrix'!AV986/$G$1, 0)</f>
        <v>0</v>
      </c>
      <c r="AO35" s="3">
        <f>ROUNDUP('S27 Material Flow Matrix'!AW986/$G$1, 0)</f>
        <v>0</v>
      </c>
      <c r="AP35" s="3">
        <f>ROUNDUP('S27 Material Flow Matrix'!AX986/$G$1, 0)</f>
        <v>0</v>
      </c>
      <c r="AQ35" s="3">
        <f>ROUNDUP('S27 Material Flow Matrix'!AY986/$G$1, 0)</f>
        <v>44</v>
      </c>
      <c r="AR35" s="3">
        <f>ROUNDUP('S27 Material Flow Matrix'!AZ986/$G$1, 0)</f>
        <v>0</v>
      </c>
      <c r="AS35" s="3">
        <f>ROUNDUP('S27 Material Flow Matrix'!BA986/$G$1, 0)</f>
        <v>184</v>
      </c>
    </row>
    <row r="36" spans="1:45">
      <c r="A36" s="288" t="s">
        <v>606</v>
      </c>
      <c r="B36" s="3">
        <f>ROUNDUP('S27 Material Flow Matrix'!J987/$G$1, 0)</f>
        <v>0</v>
      </c>
      <c r="C36" s="3">
        <f>ROUNDUP('S27 Material Flow Matrix'!K987/$G$1, 0)</f>
        <v>0</v>
      </c>
      <c r="D36" s="3">
        <f>ROUNDUP('S27 Material Flow Matrix'!L987/$G$1, 0)</f>
        <v>0</v>
      </c>
      <c r="E36" s="3">
        <f>ROUNDUP('S27 Material Flow Matrix'!M987/$G$1, 0)</f>
        <v>0</v>
      </c>
      <c r="F36" s="3">
        <f>ROUNDUP('S27 Material Flow Matrix'!N987/$G$1, 0)</f>
        <v>0</v>
      </c>
      <c r="G36" s="3">
        <f>ROUNDUP('S27 Material Flow Matrix'!O987/$G$1, 0)</f>
        <v>0</v>
      </c>
      <c r="H36" s="3">
        <f>ROUNDUP('S27 Material Flow Matrix'!P987/$G$1, 0)</f>
        <v>0</v>
      </c>
      <c r="I36" s="3">
        <f>ROUNDUP('S27 Material Flow Matrix'!Q987/$G$1, 0)</f>
        <v>0</v>
      </c>
      <c r="J36" s="3">
        <f>ROUNDUP('S27 Material Flow Matrix'!R987/$G$1, 0)</f>
        <v>0</v>
      </c>
      <c r="K36" s="3">
        <f>ROUNDUP('S27 Material Flow Matrix'!S987/$G$1, 0)</f>
        <v>0</v>
      </c>
      <c r="L36" s="3">
        <f>ROUNDUP('S27 Material Flow Matrix'!T987/$G$1, 0)</f>
        <v>0</v>
      </c>
      <c r="M36" s="3">
        <f>ROUNDUP('S27 Material Flow Matrix'!U987/$G$1, 0)</f>
        <v>0</v>
      </c>
      <c r="N36" s="3">
        <f>ROUNDUP('S27 Material Flow Matrix'!V987/$G$1, 0)</f>
        <v>0</v>
      </c>
      <c r="O36" s="3">
        <f>ROUNDUP('S27 Material Flow Matrix'!W987/$G$1, 0)</f>
        <v>0</v>
      </c>
      <c r="P36" s="3">
        <f>ROUNDUP('S27 Material Flow Matrix'!X987/$G$1, 0)</f>
        <v>0</v>
      </c>
      <c r="Q36" s="3">
        <f>ROUNDUP('S27 Material Flow Matrix'!Y987/$G$1, 0)</f>
        <v>0</v>
      </c>
      <c r="R36" s="3">
        <f>ROUNDUP('S27 Material Flow Matrix'!Z987/$G$1, 0)</f>
        <v>0</v>
      </c>
      <c r="S36" s="3">
        <f>ROUNDUP('S27 Material Flow Matrix'!AA987/$G$1, 0)</f>
        <v>0</v>
      </c>
      <c r="T36" s="3">
        <f>ROUNDUP('S27 Material Flow Matrix'!AB987/$G$1, 0)</f>
        <v>0</v>
      </c>
      <c r="U36" s="3">
        <f>ROUNDUP('S27 Material Flow Matrix'!AC987/$G$1, 0)</f>
        <v>0</v>
      </c>
      <c r="V36" s="3">
        <f>ROUNDUP('S27 Material Flow Matrix'!AD987/$G$1, 0)</f>
        <v>0</v>
      </c>
      <c r="W36" s="3">
        <f>ROUNDUP('S27 Material Flow Matrix'!AE987/$G$1, 0)</f>
        <v>0</v>
      </c>
      <c r="X36" s="3">
        <f>ROUNDUP('S27 Material Flow Matrix'!AF987/$G$1, 0)</f>
        <v>0</v>
      </c>
      <c r="Y36" s="3">
        <f>ROUNDUP('S27 Material Flow Matrix'!AG987/$G$1, 0)</f>
        <v>0</v>
      </c>
      <c r="Z36" s="3">
        <f>ROUNDUP('S27 Material Flow Matrix'!AH987/$G$1, 0)</f>
        <v>0</v>
      </c>
      <c r="AA36" s="3">
        <f>ROUNDUP('S27 Material Flow Matrix'!AI987/$G$1, 0)</f>
        <v>0</v>
      </c>
      <c r="AB36" s="3">
        <f>ROUNDUP('S27 Material Flow Matrix'!AJ987/$G$1, 0)</f>
        <v>0</v>
      </c>
      <c r="AC36" s="3">
        <f>ROUNDUP('S27 Material Flow Matrix'!AK987/$G$1, 0)</f>
        <v>0</v>
      </c>
      <c r="AD36" s="3">
        <f>ROUNDUP('S27 Material Flow Matrix'!AL987/$G$1, 0)</f>
        <v>0</v>
      </c>
      <c r="AE36" s="3">
        <f>ROUNDUP('S27 Material Flow Matrix'!AM987/$G$1, 0)</f>
        <v>0</v>
      </c>
      <c r="AF36" s="3">
        <f>ROUNDUP('S27 Material Flow Matrix'!AN987/$G$1, 0)</f>
        <v>0</v>
      </c>
      <c r="AG36" s="3">
        <f>ROUNDUP('S27 Material Flow Matrix'!AO987/$G$1, 0)</f>
        <v>0</v>
      </c>
      <c r="AH36" s="3">
        <f>ROUNDUP('S27 Material Flow Matrix'!AP987/$G$1, 0)</f>
        <v>0</v>
      </c>
      <c r="AI36" s="3">
        <f>ROUNDUP('S27 Material Flow Matrix'!AQ987/$G$1, 0)</f>
        <v>0</v>
      </c>
      <c r="AJ36" s="3">
        <f>ROUNDUP('S27 Material Flow Matrix'!AR987/$G$1, 0)</f>
        <v>0</v>
      </c>
      <c r="AK36" s="3">
        <f>ROUNDUP('S27 Material Flow Matrix'!AS987/$G$1, 0)</f>
        <v>0</v>
      </c>
      <c r="AL36" s="3">
        <f>ROUNDUP('S27 Material Flow Matrix'!AT987/$G$1, 0)</f>
        <v>0</v>
      </c>
      <c r="AM36" s="3">
        <f>ROUNDUP('S27 Material Flow Matrix'!AU987/$G$1, 0)</f>
        <v>0</v>
      </c>
      <c r="AN36" s="3">
        <f>ROUNDUP('S27 Material Flow Matrix'!AV987/$G$1, 0)</f>
        <v>0</v>
      </c>
      <c r="AO36" s="3">
        <f>ROUNDUP('S27 Material Flow Matrix'!AW987/$G$1, 0)</f>
        <v>0</v>
      </c>
      <c r="AP36" s="3">
        <f>ROUNDUP('S27 Material Flow Matrix'!AX987/$G$1, 0)</f>
        <v>0</v>
      </c>
      <c r="AQ36" s="3">
        <f>ROUNDUP('S27 Material Flow Matrix'!AY987/$G$1, 0)</f>
        <v>0</v>
      </c>
      <c r="AR36" s="3">
        <f>ROUNDUP('S27 Material Flow Matrix'!AZ987/$G$1, 0)</f>
        <v>0</v>
      </c>
      <c r="AS36" s="3">
        <f>ROUNDUP('S27 Material Flow Matrix'!BA987/$G$1, 0)</f>
        <v>151</v>
      </c>
    </row>
    <row r="37" spans="1:45">
      <c r="A37" s="288" t="s">
        <v>607</v>
      </c>
      <c r="B37" s="3">
        <f>ROUNDUP('S27 Material Flow Matrix'!J988/$G$1, 0)</f>
        <v>0</v>
      </c>
      <c r="C37" s="3">
        <f>ROUNDUP('S27 Material Flow Matrix'!K988/$G$1, 0)</f>
        <v>0</v>
      </c>
      <c r="D37" s="3">
        <f>ROUNDUP('S27 Material Flow Matrix'!L988/$G$1, 0)</f>
        <v>0</v>
      </c>
      <c r="E37" s="3">
        <f>ROUNDUP('S27 Material Flow Matrix'!M988/$G$1, 0)</f>
        <v>0</v>
      </c>
      <c r="F37" s="3">
        <f>ROUNDUP('S27 Material Flow Matrix'!N988/$G$1, 0)</f>
        <v>0</v>
      </c>
      <c r="G37" s="3">
        <f>ROUNDUP('S27 Material Flow Matrix'!O988/$G$1, 0)</f>
        <v>0</v>
      </c>
      <c r="H37" s="3">
        <f>ROUNDUP('S27 Material Flow Matrix'!P988/$G$1, 0)</f>
        <v>0</v>
      </c>
      <c r="I37" s="3">
        <f>ROUNDUP('S27 Material Flow Matrix'!Q988/$G$1, 0)</f>
        <v>0</v>
      </c>
      <c r="J37" s="3">
        <f>ROUNDUP('S27 Material Flow Matrix'!R988/$G$1, 0)</f>
        <v>0</v>
      </c>
      <c r="K37" s="3">
        <f>ROUNDUP('S27 Material Flow Matrix'!S988/$G$1, 0)</f>
        <v>0</v>
      </c>
      <c r="L37" s="3">
        <f>ROUNDUP('S27 Material Flow Matrix'!T988/$G$1, 0)</f>
        <v>0</v>
      </c>
      <c r="M37" s="3">
        <f>ROUNDUP('S27 Material Flow Matrix'!U988/$G$1, 0)</f>
        <v>0</v>
      </c>
      <c r="N37" s="3">
        <f>ROUNDUP('S27 Material Flow Matrix'!V988/$G$1, 0)</f>
        <v>0</v>
      </c>
      <c r="O37" s="3">
        <f>ROUNDUP('S27 Material Flow Matrix'!W988/$G$1, 0)</f>
        <v>0</v>
      </c>
      <c r="P37" s="3">
        <f>ROUNDUP('S27 Material Flow Matrix'!X988/$G$1, 0)</f>
        <v>0</v>
      </c>
      <c r="Q37" s="3">
        <f>ROUNDUP('S27 Material Flow Matrix'!Y988/$G$1, 0)</f>
        <v>0</v>
      </c>
      <c r="R37" s="3">
        <f>ROUNDUP('S27 Material Flow Matrix'!Z988/$G$1, 0)</f>
        <v>0</v>
      </c>
      <c r="S37" s="3">
        <f>ROUNDUP('S27 Material Flow Matrix'!AA988/$G$1, 0)</f>
        <v>0</v>
      </c>
      <c r="T37" s="3">
        <f>ROUNDUP('S27 Material Flow Matrix'!AB988/$G$1, 0)</f>
        <v>0</v>
      </c>
      <c r="U37" s="3">
        <f>ROUNDUP('S27 Material Flow Matrix'!AC988/$G$1, 0)</f>
        <v>0</v>
      </c>
      <c r="V37" s="3">
        <f>ROUNDUP('S27 Material Flow Matrix'!AD988/$G$1, 0)</f>
        <v>0</v>
      </c>
      <c r="W37" s="3">
        <f>ROUNDUP('S27 Material Flow Matrix'!AE988/$G$1, 0)</f>
        <v>0</v>
      </c>
      <c r="X37" s="3">
        <f>ROUNDUP('S27 Material Flow Matrix'!AF988/$G$1, 0)</f>
        <v>0</v>
      </c>
      <c r="Y37" s="3">
        <f>ROUNDUP('S27 Material Flow Matrix'!AG988/$G$1, 0)</f>
        <v>0</v>
      </c>
      <c r="Z37" s="3">
        <f>ROUNDUP('S27 Material Flow Matrix'!AH988/$G$1, 0)</f>
        <v>0</v>
      </c>
      <c r="AA37" s="3">
        <f>ROUNDUP('S27 Material Flow Matrix'!AI988/$G$1, 0)</f>
        <v>0</v>
      </c>
      <c r="AB37" s="3">
        <f>ROUNDUP('S27 Material Flow Matrix'!AJ988/$G$1, 0)</f>
        <v>0</v>
      </c>
      <c r="AC37" s="3">
        <f>ROUNDUP('S27 Material Flow Matrix'!AK988/$G$1, 0)</f>
        <v>0</v>
      </c>
      <c r="AD37" s="3">
        <f>ROUNDUP('S27 Material Flow Matrix'!AL988/$G$1, 0)</f>
        <v>0</v>
      </c>
      <c r="AE37" s="3">
        <f>ROUNDUP('S27 Material Flow Matrix'!AM988/$G$1, 0)</f>
        <v>0</v>
      </c>
      <c r="AF37" s="3">
        <f>ROUNDUP('S27 Material Flow Matrix'!AN988/$G$1, 0)</f>
        <v>0</v>
      </c>
      <c r="AG37" s="3">
        <f>ROUNDUP('S27 Material Flow Matrix'!AO988/$G$1, 0)</f>
        <v>0</v>
      </c>
      <c r="AH37" s="3">
        <f>ROUNDUP('S27 Material Flow Matrix'!AP988/$G$1, 0)</f>
        <v>0</v>
      </c>
      <c r="AI37" s="3">
        <f>ROUNDUP('S27 Material Flow Matrix'!AQ988/$G$1, 0)</f>
        <v>0</v>
      </c>
      <c r="AJ37" s="3">
        <f>ROUNDUP('S27 Material Flow Matrix'!AR988/$G$1, 0)</f>
        <v>0</v>
      </c>
      <c r="AK37" s="3">
        <f>ROUNDUP('S27 Material Flow Matrix'!AS988/$G$1, 0)</f>
        <v>0</v>
      </c>
      <c r="AL37" s="3">
        <f>ROUNDUP('S27 Material Flow Matrix'!AT988/$G$1, 0)</f>
        <v>0</v>
      </c>
      <c r="AM37" s="3">
        <f>ROUNDUP('S27 Material Flow Matrix'!AU988/$G$1, 0)</f>
        <v>0</v>
      </c>
      <c r="AN37" s="3">
        <f>ROUNDUP('S27 Material Flow Matrix'!AV988/$G$1, 0)</f>
        <v>0</v>
      </c>
      <c r="AO37" s="3">
        <f>ROUNDUP('S27 Material Flow Matrix'!AW988/$G$1, 0)</f>
        <v>0</v>
      </c>
      <c r="AP37" s="3">
        <f>ROUNDUP('S27 Material Flow Matrix'!AX988/$G$1, 0)</f>
        <v>0</v>
      </c>
      <c r="AQ37" s="3">
        <f>ROUNDUP('S27 Material Flow Matrix'!AY988/$G$1, 0)</f>
        <v>0</v>
      </c>
      <c r="AR37" s="3">
        <f>ROUNDUP('S27 Material Flow Matrix'!AZ988/$G$1, 0)</f>
        <v>0</v>
      </c>
      <c r="AS37" s="3">
        <f>ROUNDUP('S27 Material Flow Matrix'!BA988/$G$1, 0)</f>
        <v>213</v>
      </c>
    </row>
    <row r="38" spans="1:45">
      <c r="A38" s="288" t="s">
        <v>608</v>
      </c>
      <c r="B38" s="3">
        <f>ROUNDUP('S27 Material Flow Matrix'!J989/$G$1, 0)</f>
        <v>0</v>
      </c>
      <c r="C38" s="3">
        <f>ROUNDUP('S27 Material Flow Matrix'!K989/$G$1, 0)</f>
        <v>0</v>
      </c>
      <c r="D38" s="3">
        <f>ROUNDUP('S27 Material Flow Matrix'!L989/$G$1, 0)</f>
        <v>0</v>
      </c>
      <c r="E38" s="3">
        <f>ROUNDUP('S27 Material Flow Matrix'!M989/$G$1, 0)</f>
        <v>0</v>
      </c>
      <c r="F38" s="3">
        <f>ROUNDUP('S27 Material Flow Matrix'!N989/$G$1, 0)</f>
        <v>0</v>
      </c>
      <c r="G38" s="3">
        <f>ROUNDUP('S27 Material Flow Matrix'!O989/$G$1, 0)</f>
        <v>0</v>
      </c>
      <c r="H38" s="3">
        <f>ROUNDUP('S27 Material Flow Matrix'!P989/$G$1, 0)</f>
        <v>0</v>
      </c>
      <c r="I38" s="3">
        <f>ROUNDUP('S27 Material Flow Matrix'!Q989/$G$1, 0)</f>
        <v>0</v>
      </c>
      <c r="J38" s="3">
        <f>ROUNDUP('S27 Material Flow Matrix'!R989/$G$1, 0)</f>
        <v>0</v>
      </c>
      <c r="K38" s="3">
        <f>ROUNDUP('S27 Material Flow Matrix'!S989/$G$1, 0)</f>
        <v>0</v>
      </c>
      <c r="L38" s="3">
        <f>ROUNDUP('S27 Material Flow Matrix'!T989/$G$1, 0)</f>
        <v>0</v>
      </c>
      <c r="M38" s="3">
        <f>ROUNDUP('S27 Material Flow Matrix'!U989/$G$1, 0)</f>
        <v>0</v>
      </c>
      <c r="N38" s="3">
        <f>ROUNDUP('S27 Material Flow Matrix'!V989/$G$1, 0)</f>
        <v>0</v>
      </c>
      <c r="O38" s="3">
        <f>ROUNDUP('S27 Material Flow Matrix'!W989/$G$1, 0)</f>
        <v>0</v>
      </c>
      <c r="P38" s="3">
        <f>ROUNDUP('S27 Material Flow Matrix'!X989/$G$1, 0)</f>
        <v>0</v>
      </c>
      <c r="Q38" s="3">
        <f>ROUNDUP('S27 Material Flow Matrix'!Y989/$G$1, 0)</f>
        <v>0</v>
      </c>
      <c r="R38" s="3">
        <f>ROUNDUP('S27 Material Flow Matrix'!Z989/$G$1, 0)</f>
        <v>0</v>
      </c>
      <c r="S38" s="3">
        <f>ROUNDUP('S27 Material Flow Matrix'!AA989/$G$1, 0)</f>
        <v>0</v>
      </c>
      <c r="T38" s="3">
        <f>ROUNDUP('S27 Material Flow Matrix'!AB989/$G$1, 0)</f>
        <v>0</v>
      </c>
      <c r="U38" s="3">
        <f>ROUNDUP('S27 Material Flow Matrix'!AC989/$G$1, 0)</f>
        <v>0</v>
      </c>
      <c r="V38" s="3">
        <f>ROUNDUP('S27 Material Flow Matrix'!AD989/$G$1, 0)</f>
        <v>0</v>
      </c>
      <c r="W38" s="3">
        <f>ROUNDUP('S27 Material Flow Matrix'!AE989/$G$1, 0)</f>
        <v>0</v>
      </c>
      <c r="X38" s="3">
        <f>ROUNDUP('S27 Material Flow Matrix'!AF989/$G$1, 0)</f>
        <v>0</v>
      </c>
      <c r="Y38" s="3">
        <f>ROUNDUP('S27 Material Flow Matrix'!AG989/$G$1, 0)</f>
        <v>0</v>
      </c>
      <c r="Z38" s="3">
        <f>ROUNDUP('S27 Material Flow Matrix'!AH989/$G$1, 0)</f>
        <v>0</v>
      </c>
      <c r="AA38" s="3">
        <f>ROUNDUP('S27 Material Flow Matrix'!AI989/$G$1, 0)</f>
        <v>0</v>
      </c>
      <c r="AB38" s="3">
        <f>ROUNDUP('S27 Material Flow Matrix'!AJ989/$G$1, 0)</f>
        <v>0</v>
      </c>
      <c r="AC38" s="3">
        <f>ROUNDUP('S27 Material Flow Matrix'!AK989/$G$1, 0)</f>
        <v>0</v>
      </c>
      <c r="AD38" s="3">
        <f>ROUNDUP('S27 Material Flow Matrix'!AL989/$G$1, 0)</f>
        <v>0</v>
      </c>
      <c r="AE38" s="3">
        <f>ROUNDUP('S27 Material Flow Matrix'!AM989/$G$1, 0)</f>
        <v>0</v>
      </c>
      <c r="AF38" s="3">
        <f>ROUNDUP('S27 Material Flow Matrix'!AN989/$G$1, 0)</f>
        <v>0</v>
      </c>
      <c r="AG38" s="3">
        <f>ROUNDUP('S27 Material Flow Matrix'!AO989/$G$1, 0)</f>
        <v>0</v>
      </c>
      <c r="AH38" s="3">
        <f>ROUNDUP('S27 Material Flow Matrix'!AP989/$G$1, 0)</f>
        <v>0</v>
      </c>
      <c r="AI38" s="3">
        <f>ROUNDUP('S27 Material Flow Matrix'!AQ989/$G$1, 0)</f>
        <v>0</v>
      </c>
      <c r="AJ38" s="3">
        <f>ROUNDUP('S27 Material Flow Matrix'!AR989/$G$1, 0)</f>
        <v>0</v>
      </c>
      <c r="AK38" s="3">
        <f>ROUNDUP('S27 Material Flow Matrix'!AS989/$G$1, 0)</f>
        <v>0</v>
      </c>
      <c r="AL38" s="3">
        <f>ROUNDUP('S27 Material Flow Matrix'!AT989/$G$1, 0)</f>
        <v>0</v>
      </c>
      <c r="AM38" s="3">
        <f>ROUNDUP('S27 Material Flow Matrix'!AU989/$G$1, 0)</f>
        <v>0</v>
      </c>
      <c r="AN38" s="3">
        <f>ROUNDUP('S27 Material Flow Matrix'!AV989/$G$1, 0)</f>
        <v>0</v>
      </c>
      <c r="AO38" s="3">
        <f>ROUNDUP('S27 Material Flow Matrix'!AW989/$G$1, 0)</f>
        <v>0</v>
      </c>
      <c r="AP38" s="3">
        <f>ROUNDUP('S27 Material Flow Matrix'!AX989/$G$1, 0)</f>
        <v>0</v>
      </c>
      <c r="AQ38" s="3">
        <f>ROUNDUP('S27 Material Flow Matrix'!AY989/$G$1, 0)</f>
        <v>0</v>
      </c>
      <c r="AR38" s="3">
        <f>ROUNDUP('S27 Material Flow Matrix'!AZ989/$G$1, 0)</f>
        <v>0</v>
      </c>
      <c r="AS38" s="3">
        <f>ROUNDUP('S27 Material Flow Matrix'!BA989/$G$1, 0)</f>
        <v>0</v>
      </c>
    </row>
    <row r="39" spans="1:45">
      <c r="A39" s="288" t="s">
        <v>609</v>
      </c>
      <c r="B39" s="3">
        <f>ROUNDUP('S27 Material Flow Matrix'!J990/$G$1, 0)</f>
        <v>0</v>
      </c>
      <c r="C39" s="3">
        <f>ROUNDUP('S27 Material Flow Matrix'!K990/$G$1, 0)</f>
        <v>0</v>
      </c>
      <c r="D39" s="3">
        <f>ROUNDUP('S27 Material Flow Matrix'!L990/$G$1, 0)</f>
        <v>0</v>
      </c>
      <c r="E39" s="3">
        <f>ROUNDUP('S27 Material Flow Matrix'!M990/$G$1, 0)</f>
        <v>0</v>
      </c>
      <c r="F39" s="3">
        <f>ROUNDUP('S27 Material Flow Matrix'!N990/$G$1, 0)</f>
        <v>213</v>
      </c>
      <c r="G39" s="3">
        <f>ROUNDUP('S27 Material Flow Matrix'!O990/$G$1, 0)</f>
        <v>0</v>
      </c>
      <c r="H39" s="3">
        <f>ROUNDUP('S27 Material Flow Matrix'!P990/$G$1, 0)</f>
        <v>0</v>
      </c>
      <c r="I39" s="3">
        <f>ROUNDUP('S27 Material Flow Matrix'!Q990/$G$1, 0)</f>
        <v>0</v>
      </c>
      <c r="J39" s="3">
        <f>ROUNDUP('S27 Material Flow Matrix'!R990/$G$1, 0)</f>
        <v>0</v>
      </c>
      <c r="K39" s="3">
        <f>ROUNDUP('S27 Material Flow Matrix'!S990/$G$1, 0)</f>
        <v>0</v>
      </c>
      <c r="L39" s="3">
        <f>ROUNDUP('S27 Material Flow Matrix'!T990/$G$1, 0)</f>
        <v>0</v>
      </c>
      <c r="M39" s="3">
        <f>ROUNDUP('S27 Material Flow Matrix'!U990/$G$1, 0)</f>
        <v>0</v>
      </c>
      <c r="N39" s="3">
        <f>ROUNDUP('S27 Material Flow Matrix'!V990/$G$1, 0)</f>
        <v>0</v>
      </c>
      <c r="O39" s="3">
        <f>ROUNDUP('S27 Material Flow Matrix'!W990/$G$1, 0)</f>
        <v>0</v>
      </c>
      <c r="P39" s="3">
        <f>ROUNDUP('S27 Material Flow Matrix'!X990/$G$1, 0)</f>
        <v>0</v>
      </c>
      <c r="Q39" s="3">
        <f>ROUNDUP('S27 Material Flow Matrix'!Y990/$G$1, 0)</f>
        <v>0</v>
      </c>
      <c r="R39" s="3">
        <f>ROUNDUP('S27 Material Flow Matrix'!Z990/$G$1, 0)</f>
        <v>0</v>
      </c>
      <c r="S39" s="3">
        <f>ROUNDUP('S27 Material Flow Matrix'!AA990/$G$1, 0)</f>
        <v>0</v>
      </c>
      <c r="T39" s="3">
        <f>ROUNDUP('S27 Material Flow Matrix'!AB990/$G$1, 0)</f>
        <v>0</v>
      </c>
      <c r="U39" s="3">
        <f>ROUNDUP('S27 Material Flow Matrix'!AC990/$G$1, 0)</f>
        <v>0</v>
      </c>
      <c r="V39" s="3">
        <f>ROUNDUP('S27 Material Flow Matrix'!AD990/$G$1, 0)</f>
        <v>0</v>
      </c>
      <c r="W39" s="3">
        <f>ROUNDUP('S27 Material Flow Matrix'!AE990/$G$1, 0)</f>
        <v>0</v>
      </c>
      <c r="X39" s="3">
        <f>ROUNDUP('S27 Material Flow Matrix'!AF990/$G$1, 0)</f>
        <v>0</v>
      </c>
      <c r="Y39" s="3">
        <f>ROUNDUP('S27 Material Flow Matrix'!AG990/$G$1, 0)</f>
        <v>0</v>
      </c>
      <c r="Z39" s="3">
        <f>ROUNDUP('S27 Material Flow Matrix'!AH990/$G$1, 0)</f>
        <v>0</v>
      </c>
      <c r="AA39" s="3">
        <f>ROUNDUP('S27 Material Flow Matrix'!AI990/$G$1, 0)</f>
        <v>0</v>
      </c>
      <c r="AB39" s="3">
        <f>ROUNDUP('S27 Material Flow Matrix'!AJ990/$G$1, 0)</f>
        <v>0</v>
      </c>
      <c r="AC39" s="3">
        <f>ROUNDUP('S27 Material Flow Matrix'!AK990/$G$1, 0)</f>
        <v>0</v>
      </c>
      <c r="AD39" s="3">
        <f>ROUNDUP('S27 Material Flow Matrix'!AL990/$G$1, 0)</f>
        <v>0</v>
      </c>
      <c r="AE39" s="3">
        <f>ROUNDUP('S27 Material Flow Matrix'!AM990/$G$1, 0)</f>
        <v>0</v>
      </c>
      <c r="AF39" s="3">
        <f>ROUNDUP('S27 Material Flow Matrix'!AN990/$G$1, 0)</f>
        <v>0</v>
      </c>
      <c r="AG39" s="3">
        <f>ROUNDUP('S27 Material Flow Matrix'!AO990/$G$1, 0)</f>
        <v>0</v>
      </c>
      <c r="AH39" s="3">
        <f>ROUNDUP('S27 Material Flow Matrix'!AP990/$G$1, 0)</f>
        <v>0</v>
      </c>
      <c r="AI39" s="3">
        <f>ROUNDUP('S27 Material Flow Matrix'!AQ990/$G$1, 0)</f>
        <v>0</v>
      </c>
      <c r="AJ39" s="3">
        <f>ROUNDUP('S27 Material Flow Matrix'!AR990/$G$1, 0)</f>
        <v>0</v>
      </c>
      <c r="AK39" s="3">
        <f>ROUNDUP('S27 Material Flow Matrix'!AS990/$G$1, 0)</f>
        <v>0</v>
      </c>
      <c r="AL39" s="3">
        <f>ROUNDUP('S27 Material Flow Matrix'!AT990/$G$1, 0)</f>
        <v>0</v>
      </c>
      <c r="AM39" s="3">
        <f>ROUNDUP('S27 Material Flow Matrix'!AU990/$G$1, 0)</f>
        <v>0</v>
      </c>
      <c r="AN39" s="3">
        <f>ROUNDUP('S27 Material Flow Matrix'!AV990/$G$1, 0)</f>
        <v>0</v>
      </c>
      <c r="AO39" s="3">
        <f>ROUNDUP('S27 Material Flow Matrix'!AW990/$G$1, 0)</f>
        <v>0</v>
      </c>
      <c r="AP39" s="3">
        <f>ROUNDUP('S27 Material Flow Matrix'!AX990/$G$1, 0)</f>
        <v>0</v>
      </c>
      <c r="AQ39" s="3">
        <f>ROUNDUP('S27 Material Flow Matrix'!AY990/$G$1, 0)</f>
        <v>0</v>
      </c>
      <c r="AR39" s="3">
        <f>ROUNDUP('S27 Material Flow Matrix'!AZ990/$G$1, 0)</f>
        <v>0</v>
      </c>
      <c r="AS39" s="3">
        <f>ROUNDUP('S27 Material Flow Matrix'!BA990/$G$1, 0)</f>
        <v>0</v>
      </c>
    </row>
    <row r="40" spans="1:45">
      <c r="A40" s="288" t="s">
        <v>610</v>
      </c>
      <c r="B40" s="3">
        <f>ROUNDUP('S27 Material Flow Matrix'!J991/$G$1, 0)</f>
        <v>0</v>
      </c>
      <c r="C40" s="3">
        <f>ROUNDUP('S27 Material Flow Matrix'!K991/$G$1, 0)</f>
        <v>0</v>
      </c>
      <c r="D40" s="3">
        <f>ROUNDUP('S27 Material Flow Matrix'!L991/$G$1, 0)</f>
        <v>0</v>
      </c>
      <c r="E40" s="3">
        <f>ROUNDUP('S27 Material Flow Matrix'!M991/$G$1, 0)</f>
        <v>0</v>
      </c>
      <c r="F40" s="3">
        <f>ROUNDUP('S27 Material Flow Matrix'!N991/$G$1, 0)</f>
        <v>0</v>
      </c>
      <c r="G40" s="3">
        <f>ROUNDUP('S27 Material Flow Matrix'!O991/$G$1, 0)</f>
        <v>0</v>
      </c>
      <c r="H40" s="3">
        <f>ROUNDUP('S27 Material Flow Matrix'!P991/$G$1, 0)</f>
        <v>0</v>
      </c>
      <c r="I40" s="3">
        <f>ROUNDUP('S27 Material Flow Matrix'!Q991/$G$1, 0)</f>
        <v>0</v>
      </c>
      <c r="J40" s="3">
        <f>ROUNDUP('S27 Material Flow Matrix'!R991/$G$1, 0)</f>
        <v>0</v>
      </c>
      <c r="K40" s="3">
        <f>ROUNDUP('S27 Material Flow Matrix'!S991/$G$1, 0)</f>
        <v>0</v>
      </c>
      <c r="L40" s="3">
        <f>ROUNDUP('S27 Material Flow Matrix'!T991/$G$1, 0)</f>
        <v>0</v>
      </c>
      <c r="M40" s="3">
        <f>ROUNDUP('S27 Material Flow Matrix'!U991/$G$1, 0)</f>
        <v>0</v>
      </c>
      <c r="N40" s="3">
        <f>ROUNDUP('S27 Material Flow Matrix'!V991/$G$1, 0)</f>
        <v>0</v>
      </c>
      <c r="O40" s="3">
        <f>ROUNDUP('S27 Material Flow Matrix'!W991/$G$1, 0)</f>
        <v>0</v>
      </c>
      <c r="P40" s="3">
        <f>ROUNDUP('S27 Material Flow Matrix'!X991/$G$1, 0)</f>
        <v>0</v>
      </c>
      <c r="Q40" s="3">
        <f>ROUNDUP('S27 Material Flow Matrix'!Y991/$G$1, 0)</f>
        <v>0</v>
      </c>
      <c r="R40" s="3">
        <f>ROUNDUP('S27 Material Flow Matrix'!Z991/$G$1, 0)</f>
        <v>0</v>
      </c>
      <c r="S40" s="3">
        <f>ROUNDUP('S27 Material Flow Matrix'!AA991/$G$1, 0)</f>
        <v>0</v>
      </c>
      <c r="T40" s="3">
        <f>ROUNDUP('S27 Material Flow Matrix'!AB991/$G$1, 0)</f>
        <v>0</v>
      </c>
      <c r="U40" s="3">
        <f>ROUNDUP('S27 Material Flow Matrix'!AC991/$G$1, 0)</f>
        <v>0</v>
      </c>
      <c r="V40" s="3">
        <f>ROUNDUP('S27 Material Flow Matrix'!AD991/$G$1, 0)</f>
        <v>0</v>
      </c>
      <c r="W40" s="3">
        <f>ROUNDUP('S27 Material Flow Matrix'!AE991/$G$1, 0)</f>
        <v>0</v>
      </c>
      <c r="X40" s="3">
        <f>ROUNDUP('S27 Material Flow Matrix'!AF991/$G$1, 0)</f>
        <v>0</v>
      </c>
      <c r="Y40" s="3">
        <f>ROUNDUP('S27 Material Flow Matrix'!AG991/$G$1, 0)</f>
        <v>0</v>
      </c>
      <c r="Z40" s="3">
        <f>ROUNDUP('S27 Material Flow Matrix'!AH991/$G$1, 0)</f>
        <v>0</v>
      </c>
      <c r="AA40" s="3">
        <f>ROUNDUP('S27 Material Flow Matrix'!AI991/$G$1, 0)</f>
        <v>0</v>
      </c>
      <c r="AB40" s="3">
        <f>ROUNDUP('S27 Material Flow Matrix'!AJ991/$G$1, 0)</f>
        <v>0</v>
      </c>
      <c r="AC40" s="3">
        <f>ROUNDUP('S27 Material Flow Matrix'!AK991/$G$1, 0)</f>
        <v>0</v>
      </c>
      <c r="AD40" s="3">
        <f>ROUNDUP('S27 Material Flow Matrix'!AL991/$G$1, 0)</f>
        <v>0</v>
      </c>
      <c r="AE40" s="3">
        <f>ROUNDUP('S27 Material Flow Matrix'!AM991/$G$1, 0)</f>
        <v>0</v>
      </c>
      <c r="AF40" s="3">
        <f>ROUNDUP('S27 Material Flow Matrix'!AN991/$G$1, 0)</f>
        <v>0</v>
      </c>
      <c r="AG40" s="3">
        <f>ROUNDUP('S27 Material Flow Matrix'!AO991/$G$1, 0)</f>
        <v>0</v>
      </c>
      <c r="AH40" s="3">
        <f>ROUNDUP('S27 Material Flow Matrix'!AP991/$G$1, 0)</f>
        <v>0</v>
      </c>
      <c r="AI40" s="3">
        <f>ROUNDUP('S27 Material Flow Matrix'!AQ991/$G$1, 0)</f>
        <v>0</v>
      </c>
      <c r="AJ40" s="3">
        <f>ROUNDUP('S27 Material Flow Matrix'!AR991/$G$1, 0)</f>
        <v>0</v>
      </c>
      <c r="AK40" s="3">
        <f>ROUNDUP('S27 Material Flow Matrix'!AS991/$G$1, 0)</f>
        <v>0</v>
      </c>
      <c r="AL40" s="3">
        <f>ROUNDUP('S27 Material Flow Matrix'!AT991/$G$1, 0)</f>
        <v>0</v>
      </c>
      <c r="AM40" s="3">
        <f>ROUNDUP('S27 Material Flow Matrix'!AU991/$G$1, 0)</f>
        <v>0</v>
      </c>
      <c r="AN40" s="3">
        <f>ROUNDUP('S27 Material Flow Matrix'!AV991/$G$1, 0)</f>
        <v>0</v>
      </c>
      <c r="AO40" s="3">
        <f>ROUNDUP('S27 Material Flow Matrix'!AW991/$G$1, 0)</f>
        <v>0</v>
      </c>
      <c r="AP40" s="3">
        <f>ROUNDUP('S27 Material Flow Matrix'!AX991/$G$1, 0)</f>
        <v>0</v>
      </c>
      <c r="AQ40" s="3">
        <f>ROUNDUP('S27 Material Flow Matrix'!AY991/$G$1, 0)</f>
        <v>0</v>
      </c>
      <c r="AR40" s="3">
        <f>ROUNDUP('S27 Material Flow Matrix'!AZ991/$G$1, 0)</f>
        <v>0</v>
      </c>
      <c r="AS40" s="3">
        <f>ROUNDUP('S27 Material Flow Matrix'!BA991/$G$1, 0)</f>
        <v>0</v>
      </c>
    </row>
    <row r="41" spans="1:45">
      <c r="A41" s="288" t="s">
        <v>611</v>
      </c>
      <c r="B41" s="3">
        <f>ROUNDUP('S27 Material Flow Matrix'!J992/$G$1, 0)</f>
        <v>0</v>
      </c>
      <c r="C41" s="3">
        <f>ROUNDUP('S27 Material Flow Matrix'!K992/$G$1, 0)</f>
        <v>0</v>
      </c>
      <c r="D41" s="3">
        <f>ROUNDUP('S27 Material Flow Matrix'!L992/$G$1, 0)</f>
        <v>0</v>
      </c>
      <c r="E41" s="3">
        <f>ROUNDUP('S27 Material Flow Matrix'!M992/$G$1, 0)</f>
        <v>0</v>
      </c>
      <c r="F41" s="3">
        <f>ROUNDUP('S27 Material Flow Matrix'!N992/$G$1, 0)</f>
        <v>0</v>
      </c>
      <c r="G41" s="3">
        <f>ROUNDUP('S27 Material Flow Matrix'!O992/$G$1, 0)</f>
        <v>0</v>
      </c>
      <c r="H41" s="3">
        <f>ROUNDUP('S27 Material Flow Matrix'!P992/$G$1, 0)</f>
        <v>89</v>
      </c>
      <c r="I41" s="3">
        <f>ROUNDUP('S27 Material Flow Matrix'!Q992/$G$1, 0)</f>
        <v>0</v>
      </c>
      <c r="J41" s="3">
        <f>ROUNDUP('S27 Material Flow Matrix'!R992/$G$1, 0)</f>
        <v>0</v>
      </c>
      <c r="K41" s="3">
        <f>ROUNDUP('S27 Material Flow Matrix'!S992/$G$1, 0)</f>
        <v>0</v>
      </c>
      <c r="L41" s="3">
        <f>ROUNDUP('S27 Material Flow Matrix'!T992/$G$1, 0)</f>
        <v>0</v>
      </c>
      <c r="M41" s="3">
        <f>ROUNDUP('S27 Material Flow Matrix'!U992/$G$1, 0)</f>
        <v>0</v>
      </c>
      <c r="N41" s="3">
        <f>ROUNDUP('S27 Material Flow Matrix'!V992/$G$1, 0)</f>
        <v>0</v>
      </c>
      <c r="O41" s="3">
        <f>ROUNDUP('S27 Material Flow Matrix'!W992/$G$1, 0)</f>
        <v>0</v>
      </c>
      <c r="P41" s="3">
        <f>ROUNDUP('S27 Material Flow Matrix'!X992/$G$1, 0)</f>
        <v>0</v>
      </c>
      <c r="Q41" s="3">
        <f>ROUNDUP('S27 Material Flow Matrix'!Y992/$G$1, 0)</f>
        <v>0</v>
      </c>
      <c r="R41" s="3">
        <f>ROUNDUP('S27 Material Flow Matrix'!Z992/$G$1, 0)</f>
        <v>0</v>
      </c>
      <c r="S41" s="3">
        <f>ROUNDUP('S27 Material Flow Matrix'!AA992/$G$1, 0)</f>
        <v>0</v>
      </c>
      <c r="T41" s="3">
        <f>ROUNDUP('S27 Material Flow Matrix'!AB992/$G$1, 0)</f>
        <v>0</v>
      </c>
      <c r="U41" s="3">
        <f>ROUNDUP('S27 Material Flow Matrix'!AC992/$G$1, 0)</f>
        <v>0</v>
      </c>
      <c r="V41" s="3">
        <f>ROUNDUP('S27 Material Flow Matrix'!AD992/$G$1, 0)</f>
        <v>0</v>
      </c>
      <c r="W41" s="3">
        <f>ROUNDUP('S27 Material Flow Matrix'!AE992/$G$1, 0)</f>
        <v>0</v>
      </c>
      <c r="X41" s="3">
        <f>ROUNDUP('S27 Material Flow Matrix'!AF992/$G$1, 0)</f>
        <v>0</v>
      </c>
      <c r="Y41" s="3">
        <f>ROUNDUP('S27 Material Flow Matrix'!AG992/$G$1, 0)</f>
        <v>0</v>
      </c>
      <c r="Z41" s="3">
        <f>ROUNDUP('S27 Material Flow Matrix'!AH992/$G$1, 0)</f>
        <v>0</v>
      </c>
      <c r="AA41" s="3">
        <f>ROUNDUP('S27 Material Flow Matrix'!AI992/$G$1, 0)</f>
        <v>0</v>
      </c>
      <c r="AB41" s="3">
        <f>ROUNDUP('S27 Material Flow Matrix'!AJ992/$G$1, 0)</f>
        <v>0</v>
      </c>
      <c r="AC41" s="3">
        <f>ROUNDUP('S27 Material Flow Matrix'!AK992/$G$1, 0)</f>
        <v>0</v>
      </c>
      <c r="AD41" s="3">
        <f>ROUNDUP('S27 Material Flow Matrix'!AL992/$G$1, 0)</f>
        <v>0</v>
      </c>
      <c r="AE41" s="3">
        <f>ROUNDUP('S27 Material Flow Matrix'!AM992/$G$1, 0)</f>
        <v>0</v>
      </c>
      <c r="AF41" s="3">
        <f>ROUNDUP('S27 Material Flow Matrix'!AN992/$G$1, 0)</f>
        <v>0</v>
      </c>
      <c r="AG41" s="3">
        <f>ROUNDUP('S27 Material Flow Matrix'!AO992/$G$1, 0)</f>
        <v>0</v>
      </c>
      <c r="AH41" s="3">
        <f>ROUNDUP('S27 Material Flow Matrix'!AP992/$G$1, 0)</f>
        <v>0</v>
      </c>
      <c r="AI41" s="3">
        <f>ROUNDUP('S27 Material Flow Matrix'!AQ992/$G$1, 0)</f>
        <v>0</v>
      </c>
      <c r="AJ41" s="3">
        <f>ROUNDUP('S27 Material Flow Matrix'!AR992/$G$1, 0)</f>
        <v>0</v>
      </c>
      <c r="AK41" s="3">
        <f>ROUNDUP('S27 Material Flow Matrix'!AS992/$G$1, 0)</f>
        <v>0</v>
      </c>
      <c r="AL41" s="3">
        <f>ROUNDUP('S27 Material Flow Matrix'!AT992/$G$1, 0)</f>
        <v>0</v>
      </c>
      <c r="AM41" s="3">
        <f>ROUNDUP('S27 Material Flow Matrix'!AU992/$G$1, 0)</f>
        <v>0</v>
      </c>
      <c r="AN41" s="3">
        <f>ROUNDUP('S27 Material Flow Matrix'!AV992/$G$1, 0)</f>
        <v>0</v>
      </c>
      <c r="AO41" s="3">
        <f>ROUNDUP('S27 Material Flow Matrix'!AW992/$G$1, 0)</f>
        <v>0</v>
      </c>
      <c r="AP41" s="3">
        <f>ROUNDUP('S27 Material Flow Matrix'!AX992/$G$1, 0)</f>
        <v>0</v>
      </c>
      <c r="AQ41" s="3">
        <f>ROUNDUP('S27 Material Flow Matrix'!AY992/$G$1, 0)</f>
        <v>0</v>
      </c>
      <c r="AR41" s="3">
        <f>ROUNDUP('S27 Material Flow Matrix'!AZ992/$G$1, 0)</f>
        <v>0</v>
      </c>
      <c r="AS41" s="3">
        <f>ROUNDUP('S27 Material Flow Matrix'!BA992/$G$1, 0)</f>
        <v>0</v>
      </c>
    </row>
    <row r="42" spans="1:45">
      <c r="A42" s="288" t="s">
        <v>612</v>
      </c>
      <c r="B42" s="3">
        <f>ROUNDUP('S27 Material Flow Matrix'!J993/$G$1, 0)</f>
        <v>0</v>
      </c>
      <c r="C42" s="3">
        <f>ROUNDUP('S27 Material Flow Matrix'!K993/$G$1, 0)</f>
        <v>0</v>
      </c>
      <c r="D42" s="3">
        <f>ROUNDUP('S27 Material Flow Matrix'!L993/$G$1, 0)</f>
        <v>0</v>
      </c>
      <c r="E42" s="3">
        <f>ROUNDUP('S27 Material Flow Matrix'!M993/$G$1, 0)</f>
        <v>0</v>
      </c>
      <c r="F42" s="3">
        <f>ROUNDUP('S27 Material Flow Matrix'!N993/$G$1, 0)</f>
        <v>0</v>
      </c>
      <c r="G42" s="3">
        <f>ROUNDUP('S27 Material Flow Matrix'!O993/$G$1, 0)</f>
        <v>0</v>
      </c>
      <c r="H42" s="3">
        <f>ROUNDUP('S27 Material Flow Matrix'!P993/$G$1, 0)</f>
        <v>0</v>
      </c>
      <c r="I42" s="3">
        <f>ROUNDUP('S27 Material Flow Matrix'!Q993/$G$1, 0)</f>
        <v>0</v>
      </c>
      <c r="J42" s="3">
        <f>ROUNDUP('S27 Material Flow Matrix'!R993/$G$1, 0)</f>
        <v>0</v>
      </c>
      <c r="K42" s="3">
        <f>ROUNDUP('S27 Material Flow Matrix'!S993/$G$1, 0)</f>
        <v>0</v>
      </c>
      <c r="L42" s="3">
        <f>ROUNDUP('S27 Material Flow Matrix'!T993/$G$1, 0)</f>
        <v>0</v>
      </c>
      <c r="M42" s="3">
        <f>ROUNDUP('S27 Material Flow Matrix'!U993/$G$1, 0)</f>
        <v>0</v>
      </c>
      <c r="N42" s="3">
        <f>ROUNDUP('S27 Material Flow Matrix'!V993/$G$1, 0)</f>
        <v>0</v>
      </c>
      <c r="O42" s="3">
        <f>ROUNDUP('S27 Material Flow Matrix'!W993/$G$1, 0)</f>
        <v>0</v>
      </c>
      <c r="P42" s="3">
        <f>ROUNDUP('S27 Material Flow Matrix'!X993/$G$1, 0)</f>
        <v>0</v>
      </c>
      <c r="Q42" s="3">
        <f>ROUNDUP('S27 Material Flow Matrix'!Y993/$G$1, 0)</f>
        <v>0</v>
      </c>
      <c r="R42" s="3">
        <f>ROUNDUP('S27 Material Flow Matrix'!Z993/$G$1, 0)</f>
        <v>0</v>
      </c>
      <c r="S42" s="3">
        <f>ROUNDUP('S27 Material Flow Matrix'!AA993/$G$1, 0)</f>
        <v>0</v>
      </c>
      <c r="T42" s="3">
        <f>ROUNDUP('S27 Material Flow Matrix'!AB993/$G$1, 0)</f>
        <v>0</v>
      </c>
      <c r="U42" s="3">
        <f>ROUNDUP('S27 Material Flow Matrix'!AC993/$G$1, 0)</f>
        <v>0</v>
      </c>
      <c r="V42" s="3">
        <f>ROUNDUP('S27 Material Flow Matrix'!AD993/$G$1, 0)</f>
        <v>0</v>
      </c>
      <c r="W42" s="3">
        <f>ROUNDUP('S27 Material Flow Matrix'!AE993/$G$1, 0)</f>
        <v>0</v>
      </c>
      <c r="X42" s="3">
        <f>ROUNDUP('S27 Material Flow Matrix'!AF993/$G$1, 0)</f>
        <v>0</v>
      </c>
      <c r="Y42" s="3">
        <f>ROUNDUP('S27 Material Flow Matrix'!AG993/$G$1, 0)</f>
        <v>0</v>
      </c>
      <c r="Z42" s="3">
        <f>ROUNDUP('S27 Material Flow Matrix'!AH993/$G$1, 0)</f>
        <v>0</v>
      </c>
      <c r="AA42" s="3">
        <f>ROUNDUP('S27 Material Flow Matrix'!AI993/$G$1, 0)</f>
        <v>0</v>
      </c>
      <c r="AB42" s="3">
        <f>ROUNDUP('S27 Material Flow Matrix'!AJ993/$G$1, 0)</f>
        <v>0</v>
      </c>
      <c r="AC42" s="3">
        <f>ROUNDUP('S27 Material Flow Matrix'!AK993/$G$1, 0)</f>
        <v>0</v>
      </c>
      <c r="AD42" s="3">
        <f>ROUNDUP('S27 Material Flow Matrix'!AL993/$G$1, 0)</f>
        <v>0</v>
      </c>
      <c r="AE42" s="3">
        <f>ROUNDUP('S27 Material Flow Matrix'!AM993/$G$1, 0)</f>
        <v>0</v>
      </c>
      <c r="AF42" s="3">
        <f>ROUNDUP('S27 Material Flow Matrix'!AN993/$G$1, 0)</f>
        <v>0</v>
      </c>
      <c r="AG42" s="3">
        <f>ROUNDUP('S27 Material Flow Matrix'!AO993/$G$1, 0)</f>
        <v>0</v>
      </c>
      <c r="AH42" s="3">
        <f>ROUNDUP('S27 Material Flow Matrix'!AP993/$G$1, 0)</f>
        <v>0</v>
      </c>
      <c r="AI42" s="3">
        <f>ROUNDUP('S27 Material Flow Matrix'!AQ993/$G$1, 0)</f>
        <v>0</v>
      </c>
      <c r="AJ42" s="3">
        <f>ROUNDUP('S27 Material Flow Matrix'!AR993/$G$1, 0)</f>
        <v>0</v>
      </c>
      <c r="AK42" s="3">
        <f>ROUNDUP('S27 Material Flow Matrix'!AS993/$G$1, 0)</f>
        <v>0</v>
      </c>
      <c r="AL42" s="3">
        <f>ROUNDUP('S27 Material Flow Matrix'!AT993/$G$1, 0)</f>
        <v>0</v>
      </c>
      <c r="AM42" s="3">
        <f>ROUNDUP('S27 Material Flow Matrix'!AU993/$G$1, 0)</f>
        <v>0</v>
      </c>
      <c r="AN42" s="3">
        <f>ROUNDUP('S27 Material Flow Matrix'!AV993/$G$1, 0)</f>
        <v>0</v>
      </c>
      <c r="AO42" s="3">
        <f>ROUNDUP('S27 Material Flow Matrix'!AW993/$G$1, 0)</f>
        <v>0</v>
      </c>
      <c r="AP42" s="3">
        <f>ROUNDUP('S27 Material Flow Matrix'!AX993/$G$1, 0)</f>
        <v>0</v>
      </c>
      <c r="AQ42" s="3">
        <f>ROUNDUP('S27 Material Flow Matrix'!AY993/$G$1, 0)</f>
        <v>0</v>
      </c>
      <c r="AR42" s="3">
        <f>ROUNDUP('S27 Material Flow Matrix'!AZ993/$G$1, 0)</f>
        <v>0</v>
      </c>
      <c r="AS42" s="3">
        <f>ROUNDUP('S27 Material Flow Matrix'!BA993/$G$1, 0)</f>
        <v>0</v>
      </c>
    </row>
    <row r="43" spans="1:45">
      <c r="A43" s="288" t="s">
        <v>613</v>
      </c>
      <c r="B43" s="3">
        <f>ROUNDUP('S27 Material Flow Matrix'!J994/$G$1, 0)</f>
        <v>0</v>
      </c>
      <c r="C43" s="3">
        <f>ROUNDUP('S27 Material Flow Matrix'!K994/$G$1, 0)</f>
        <v>151</v>
      </c>
      <c r="D43" s="3">
        <f>ROUNDUP('S27 Material Flow Matrix'!L994/$G$1, 0)</f>
        <v>0</v>
      </c>
      <c r="E43" s="3">
        <f>ROUNDUP('S27 Material Flow Matrix'!M994/$G$1, 0)</f>
        <v>71</v>
      </c>
      <c r="F43" s="3">
        <f>ROUNDUP('S27 Material Flow Matrix'!N994/$G$1, 0)</f>
        <v>0</v>
      </c>
      <c r="G43" s="3">
        <f>ROUNDUP('S27 Material Flow Matrix'!O994/$G$1, 0)</f>
        <v>0</v>
      </c>
      <c r="H43" s="3">
        <f>ROUNDUP('S27 Material Flow Matrix'!P994/$G$1, 0)</f>
        <v>69</v>
      </c>
      <c r="I43" s="3">
        <f>ROUNDUP('S27 Material Flow Matrix'!Q994/$G$1, 0)</f>
        <v>0</v>
      </c>
      <c r="J43" s="3">
        <f>ROUNDUP('S27 Material Flow Matrix'!R994/$G$1, 0)</f>
        <v>0</v>
      </c>
      <c r="K43" s="3">
        <f>ROUNDUP('S27 Material Flow Matrix'!S994/$G$1, 0)</f>
        <v>0</v>
      </c>
      <c r="L43" s="3">
        <f>ROUNDUP('S27 Material Flow Matrix'!T994/$G$1, 0)</f>
        <v>0</v>
      </c>
      <c r="M43" s="3">
        <f>ROUNDUP('S27 Material Flow Matrix'!U994/$G$1, 0)</f>
        <v>0</v>
      </c>
      <c r="N43" s="3">
        <f>ROUNDUP('S27 Material Flow Matrix'!V994/$G$1, 0)</f>
        <v>0</v>
      </c>
      <c r="O43" s="3">
        <f>ROUNDUP('S27 Material Flow Matrix'!W994/$G$1, 0)</f>
        <v>0</v>
      </c>
      <c r="P43" s="3">
        <f>ROUNDUP('S27 Material Flow Matrix'!X994/$G$1, 0)</f>
        <v>0</v>
      </c>
      <c r="Q43" s="3">
        <f>ROUNDUP('S27 Material Flow Matrix'!Y994/$G$1, 0)</f>
        <v>0</v>
      </c>
      <c r="R43" s="3">
        <f>ROUNDUP('S27 Material Flow Matrix'!Z994/$G$1, 0)</f>
        <v>0</v>
      </c>
      <c r="S43" s="3">
        <f>ROUNDUP('S27 Material Flow Matrix'!AA994/$G$1, 0)</f>
        <v>0</v>
      </c>
      <c r="T43" s="3">
        <f>ROUNDUP('S27 Material Flow Matrix'!AB994/$G$1, 0)</f>
        <v>0</v>
      </c>
      <c r="U43" s="3">
        <f>ROUNDUP('S27 Material Flow Matrix'!AC994/$G$1, 0)</f>
        <v>0</v>
      </c>
      <c r="V43" s="3">
        <f>ROUNDUP('S27 Material Flow Matrix'!AD994/$G$1, 0)</f>
        <v>0</v>
      </c>
      <c r="W43" s="3">
        <f>ROUNDUP('S27 Material Flow Matrix'!AE994/$G$1, 0)</f>
        <v>0</v>
      </c>
      <c r="X43" s="3">
        <f>ROUNDUP('S27 Material Flow Matrix'!AF994/$G$1, 0)</f>
        <v>0</v>
      </c>
      <c r="Y43" s="3">
        <f>ROUNDUP('S27 Material Flow Matrix'!AG994/$G$1, 0)</f>
        <v>0</v>
      </c>
      <c r="Z43" s="3">
        <f>ROUNDUP('S27 Material Flow Matrix'!AH994/$G$1, 0)</f>
        <v>0</v>
      </c>
      <c r="AA43" s="3">
        <f>ROUNDUP('S27 Material Flow Matrix'!AI994/$G$1, 0)</f>
        <v>0</v>
      </c>
      <c r="AB43" s="3">
        <f>ROUNDUP('S27 Material Flow Matrix'!AJ994/$G$1, 0)</f>
        <v>0</v>
      </c>
      <c r="AC43" s="3">
        <f>ROUNDUP('S27 Material Flow Matrix'!AK994/$G$1, 0)</f>
        <v>0</v>
      </c>
      <c r="AD43" s="3">
        <f>ROUNDUP('S27 Material Flow Matrix'!AL994/$G$1, 0)</f>
        <v>0</v>
      </c>
      <c r="AE43" s="3">
        <f>ROUNDUP('S27 Material Flow Matrix'!AM994/$G$1, 0)</f>
        <v>0</v>
      </c>
      <c r="AF43" s="3">
        <f>ROUNDUP('S27 Material Flow Matrix'!AN994/$G$1, 0)</f>
        <v>0</v>
      </c>
      <c r="AG43" s="3">
        <f>ROUNDUP('S27 Material Flow Matrix'!AO994/$G$1, 0)</f>
        <v>0</v>
      </c>
      <c r="AH43" s="3">
        <f>ROUNDUP('S27 Material Flow Matrix'!AP994/$G$1, 0)</f>
        <v>0</v>
      </c>
      <c r="AI43" s="3">
        <f>ROUNDUP('S27 Material Flow Matrix'!AQ994/$G$1, 0)</f>
        <v>0</v>
      </c>
      <c r="AJ43" s="3">
        <f>ROUNDUP('S27 Material Flow Matrix'!AR994/$G$1, 0)</f>
        <v>0</v>
      </c>
      <c r="AK43" s="3">
        <f>ROUNDUP('S27 Material Flow Matrix'!AS994/$G$1, 0)</f>
        <v>0</v>
      </c>
      <c r="AL43" s="3">
        <f>ROUNDUP('S27 Material Flow Matrix'!AT994/$G$1, 0)</f>
        <v>0</v>
      </c>
      <c r="AM43" s="3">
        <f>ROUNDUP('S27 Material Flow Matrix'!AU994/$G$1, 0)</f>
        <v>0</v>
      </c>
      <c r="AN43" s="3">
        <f>ROUNDUP('S27 Material Flow Matrix'!AV994/$G$1, 0)</f>
        <v>0</v>
      </c>
      <c r="AO43" s="3">
        <f>ROUNDUP('S27 Material Flow Matrix'!AW994/$G$1, 0)</f>
        <v>0</v>
      </c>
      <c r="AP43" s="3">
        <f>ROUNDUP('S27 Material Flow Matrix'!AX994/$G$1, 0)</f>
        <v>0</v>
      </c>
      <c r="AQ43" s="3">
        <f>ROUNDUP('S27 Material Flow Matrix'!AY994/$G$1, 0)</f>
        <v>0</v>
      </c>
      <c r="AR43" s="3">
        <f>ROUNDUP('S27 Material Flow Matrix'!AZ994/$G$1, 0)</f>
        <v>0</v>
      </c>
      <c r="AS43" s="3">
        <f>ROUNDUP('S27 Material Flow Matrix'!BA994/$G$1, 0)</f>
        <v>0</v>
      </c>
    </row>
    <row r="44" spans="1:45">
      <c r="A44" s="288" t="s">
        <v>614</v>
      </c>
      <c r="B44" s="3">
        <f>ROUNDUP('S27 Material Flow Matrix'!J995/$G$1, 0)</f>
        <v>0</v>
      </c>
      <c r="C44" s="3">
        <f>ROUNDUP('S27 Material Flow Matrix'!K995/$G$1, 0)</f>
        <v>0</v>
      </c>
      <c r="D44" s="3">
        <f>ROUNDUP('S27 Material Flow Matrix'!L995/$G$1, 0)</f>
        <v>0</v>
      </c>
      <c r="E44" s="3">
        <f>ROUNDUP('S27 Material Flow Matrix'!M995/$G$1, 0)</f>
        <v>0</v>
      </c>
      <c r="F44" s="3">
        <f>ROUNDUP('S27 Material Flow Matrix'!N995/$G$1, 0)</f>
        <v>0</v>
      </c>
      <c r="G44" s="3">
        <f>ROUNDUP('S27 Material Flow Matrix'!O995/$G$1, 0)</f>
        <v>0</v>
      </c>
      <c r="H44" s="3">
        <f>ROUNDUP('S27 Material Flow Matrix'!P995/$G$1, 0)</f>
        <v>0</v>
      </c>
      <c r="I44" s="3">
        <f>ROUNDUP('S27 Material Flow Matrix'!Q995/$G$1, 0)</f>
        <v>0</v>
      </c>
      <c r="J44" s="3">
        <f>ROUNDUP('S27 Material Flow Matrix'!R995/$G$1, 0)</f>
        <v>0</v>
      </c>
      <c r="K44" s="3">
        <f>ROUNDUP('S27 Material Flow Matrix'!S995/$G$1, 0)</f>
        <v>0</v>
      </c>
      <c r="L44" s="3">
        <f>ROUNDUP('S27 Material Flow Matrix'!T995/$G$1, 0)</f>
        <v>0</v>
      </c>
      <c r="M44" s="3">
        <f>ROUNDUP('S27 Material Flow Matrix'!U995/$G$1, 0)</f>
        <v>0</v>
      </c>
      <c r="N44" s="3">
        <f>ROUNDUP('S27 Material Flow Matrix'!V995/$G$1, 0)</f>
        <v>0</v>
      </c>
      <c r="O44" s="3">
        <f>ROUNDUP('S27 Material Flow Matrix'!W995/$G$1, 0)</f>
        <v>0</v>
      </c>
      <c r="P44" s="3">
        <f>ROUNDUP('S27 Material Flow Matrix'!X995/$G$1, 0)</f>
        <v>0</v>
      </c>
      <c r="Q44" s="3">
        <f>ROUNDUP('S27 Material Flow Matrix'!Y995/$G$1, 0)</f>
        <v>0</v>
      </c>
      <c r="R44" s="3">
        <f>ROUNDUP('S27 Material Flow Matrix'!Z995/$G$1, 0)</f>
        <v>0</v>
      </c>
      <c r="S44" s="3">
        <f>ROUNDUP('S27 Material Flow Matrix'!AA995/$G$1, 0)</f>
        <v>0</v>
      </c>
      <c r="T44" s="3">
        <f>ROUNDUP('S27 Material Flow Matrix'!AB995/$G$1, 0)</f>
        <v>0</v>
      </c>
      <c r="U44" s="3">
        <f>ROUNDUP('S27 Material Flow Matrix'!AC995/$G$1, 0)</f>
        <v>0</v>
      </c>
      <c r="V44" s="3">
        <f>ROUNDUP('S27 Material Flow Matrix'!AD995/$G$1, 0)</f>
        <v>0</v>
      </c>
      <c r="W44" s="3">
        <f>ROUNDUP('S27 Material Flow Matrix'!AE995/$G$1, 0)</f>
        <v>0</v>
      </c>
      <c r="X44" s="3">
        <f>ROUNDUP('S27 Material Flow Matrix'!AF995/$G$1, 0)</f>
        <v>0</v>
      </c>
      <c r="Y44" s="3">
        <f>ROUNDUP('S27 Material Flow Matrix'!AG995/$G$1, 0)</f>
        <v>0</v>
      </c>
      <c r="Z44" s="3">
        <f>ROUNDUP('S27 Material Flow Matrix'!AH995/$G$1, 0)</f>
        <v>0</v>
      </c>
      <c r="AA44" s="3">
        <f>ROUNDUP('S27 Material Flow Matrix'!AI995/$G$1, 0)</f>
        <v>0</v>
      </c>
      <c r="AB44" s="3">
        <f>ROUNDUP('S27 Material Flow Matrix'!AJ995/$G$1, 0)</f>
        <v>0</v>
      </c>
      <c r="AC44" s="3">
        <f>ROUNDUP('S27 Material Flow Matrix'!AK995/$G$1, 0)</f>
        <v>0</v>
      </c>
      <c r="AD44" s="3">
        <f>ROUNDUP('S27 Material Flow Matrix'!AL995/$G$1, 0)</f>
        <v>0</v>
      </c>
      <c r="AE44" s="3">
        <f>ROUNDUP('S27 Material Flow Matrix'!AM995/$G$1, 0)</f>
        <v>0</v>
      </c>
      <c r="AF44" s="3">
        <f>ROUNDUP('S27 Material Flow Matrix'!AN995/$G$1, 0)</f>
        <v>0</v>
      </c>
      <c r="AG44" s="3">
        <f>ROUNDUP('S27 Material Flow Matrix'!AO995/$G$1, 0)</f>
        <v>0</v>
      </c>
      <c r="AH44" s="3">
        <f>ROUNDUP('S27 Material Flow Matrix'!AP995/$G$1, 0)</f>
        <v>0</v>
      </c>
      <c r="AI44" s="3">
        <f>ROUNDUP('S27 Material Flow Matrix'!AQ995/$G$1, 0)</f>
        <v>0</v>
      </c>
      <c r="AJ44" s="3">
        <f>ROUNDUP('S27 Material Flow Matrix'!AR995/$G$1, 0)</f>
        <v>0</v>
      </c>
      <c r="AK44" s="3">
        <f>ROUNDUP('S27 Material Flow Matrix'!AS995/$G$1, 0)</f>
        <v>0</v>
      </c>
      <c r="AL44" s="3">
        <f>ROUNDUP('S27 Material Flow Matrix'!AT995/$G$1, 0)</f>
        <v>0</v>
      </c>
      <c r="AM44" s="3">
        <f>ROUNDUP('S27 Material Flow Matrix'!AU995/$G$1, 0)</f>
        <v>0</v>
      </c>
      <c r="AN44" s="3">
        <f>ROUNDUP('S27 Material Flow Matrix'!AV995/$G$1, 0)</f>
        <v>0</v>
      </c>
      <c r="AO44" s="3">
        <f>ROUNDUP('S27 Material Flow Matrix'!AW995/$G$1, 0)</f>
        <v>0</v>
      </c>
      <c r="AP44" s="3">
        <f>ROUNDUP('S27 Material Flow Matrix'!AX995/$G$1, 0)</f>
        <v>0</v>
      </c>
      <c r="AQ44" s="3">
        <f>ROUNDUP('S27 Material Flow Matrix'!AY995/$G$1, 0)</f>
        <v>0</v>
      </c>
      <c r="AR44" s="3">
        <f>ROUNDUP('S27 Material Flow Matrix'!AZ995/$G$1, 0)</f>
        <v>0</v>
      </c>
      <c r="AS44" s="3">
        <f>ROUNDUP('S27 Material Flow Matrix'!BA995/$G$1, 0)</f>
        <v>0</v>
      </c>
    </row>
    <row r="45" spans="1:45">
      <c r="A45" s="288" t="s">
        <v>615</v>
      </c>
      <c r="B45" s="3">
        <f>ROUNDUP('S27 Material Flow Matrix'!J996/$G$1, 0)</f>
        <v>0</v>
      </c>
      <c r="C45" s="3">
        <f>ROUNDUP('S27 Material Flow Matrix'!K996/$G$1, 0)</f>
        <v>0</v>
      </c>
      <c r="D45" s="3">
        <f>ROUNDUP('S27 Material Flow Matrix'!L996/$G$1, 0)</f>
        <v>0</v>
      </c>
      <c r="E45" s="3">
        <f>ROUNDUP('S27 Material Flow Matrix'!M996/$G$1, 0)</f>
        <v>0</v>
      </c>
      <c r="F45" s="3">
        <f>ROUNDUP('S27 Material Flow Matrix'!N996/$G$1, 0)</f>
        <v>0</v>
      </c>
      <c r="G45" s="3">
        <f>ROUNDUP('S27 Material Flow Matrix'!O996/$G$1, 0)</f>
        <v>0</v>
      </c>
      <c r="H45" s="3">
        <f>ROUNDUP('S27 Material Flow Matrix'!P996/$G$1, 0)</f>
        <v>0</v>
      </c>
      <c r="I45" s="3">
        <f>ROUNDUP('S27 Material Flow Matrix'!Q996/$G$1, 0)</f>
        <v>0</v>
      </c>
      <c r="J45" s="3">
        <f>ROUNDUP('S27 Material Flow Matrix'!R996/$G$1, 0)</f>
        <v>0</v>
      </c>
      <c r="K45" s="3">
        <f>ROUNDUP('S27 Material Flow Matrix'!S996/$G$1, 0)</f>
        <v>0</v>
      </c>
      <c r="L45" s="3">
        <f>ROUNDUP('S27 Material Flow Matrix'!T996/$G$1, 0)</f>
        <v>0</v>
      </c>
      <c r="M45" s="3">
        <f>ROUNDUP('S27 Material Flow Matrix'!U996/$G$1, 0)</f>
        <v>0</v>
      </c>
      <c r="N45" s="3">
        <f>ROUNDUP('S27 Material Flow Matrix'!V996/$G$1, 0)</f>
        <v>0</v>
      </c>
      <c r="O45" s="3">
        <f>ROUNDUP('S27 Material Flow Matrix'!W996/$G$1, 0)</f>
        <v>0</v>
      </c>
      <c r="P45" s="3">
        <f>ROUNDUP('S27 Material Flow Matrix'!X996/$G$1, 0)</f>
        <v>0</v>
      </c>
      <c r="Q45" s="3">
        <f>ROUNDUP('S27 Material Flow Matrix'!Y996/$G$1, 0)</f>
        <v>0</v>
      </c>
      <c r="R45" s="3">
        <f>ROUNDUP('S27 Material Flow Matrix'!Z996/$G$1, 0)</f>
        <v>0</v>
      </c>
      <c r="S45" s="3">
        <f>ROUNDUP('S27 Material Flow Matrix'!AA996/$G$1, 0)</f>
        <v>0</v>
      </c>
      <c r="T45" s="3">
        <f>ROUNDUP('S27 Material Flow Matrix'!AB996/$G$1, 0)</f>
        <v>0</v>
      </c>
      <c r="U45" s="3">
        <f>ROUNDUP('S27 Material Flow Matrix'!AC996/$G$1, 0)</f>
        <v>0</v>
      </c>
      <c r="V45" s="3">
        <f>ROUNDUP('S27 Material Flow Matrix'!AD996/$G$1, 0)</f>
        <v>0</v>
      </c>
      <c r="W45" s="3">
        <f>ROUNDUP('S27 Material Flow Matrix'!AE996/$G$1, 0)</f>
        <v>0</v>
      </c>
      <c r="X45" s="3">
        <f>ROUNDUP('S27 Material Flow Matrix'!AF996/$G$1, 0)</f>
        <v>0</v>
      </c>
      <c r="Y45" s="3">
        <f>ROUNDUP('S27 Material Flow Matrix'!AG996/$G$1, 0)</f>
        <v>0</v>
      </c>
      <c r="Z45" s="3">
        <f>ROUNDUP('S27 Material Flow Matrix'!AH996/$G$1, 0)</f>
        <v>0</v>
      </c>
      <c r="AA45" s="3">
        <f>ROUNDUP('S27 Material Flow Matrix'!AI996/$G$1, 0)</f>
        <v>0</v>
      </c>
      <c r="AB45" s="3">
        <f>ROUNDUP('S27 Material Flow Matrix'!AJ996/$G$1, 0)</f>
        <v>0</v>
      </c>
      <c r="AC45" s="3">
        <f>ROUNDUP('S27 Material Flow Matrix'!AK996/$G$1, 0)</f>
        <v>0</v>
      </c>
      <c r="AD45" s="3">
        <f>ROUNDUP('S27 Material Flow Matrix'!AL996/$G$1, 0)</f>
        <v>0</v>
      </c>
      <c r="AE45" s="3">
        <f>ROUNDUP('S27 Material Flow Matrix'!AM996/$G$1, 0)</f>
        <v>0</v>
      </c>
      <c r="AF45" s="3">
        <f>ROUNDUP('S27 Material Flow Matrix'!AN996/$G$1, 0)</f>
        <v>0</v>
      </c>
      <c r="AG45" s="3">
        <f>ROUNDUP('S27 Material Flow Matrix'!AO996/$G$1, 0)</f>
        <v>0</v>
      </c>
      <c r="AH45" s="3">
        <f>ROUNDUP('S27 Material Flow Matrix'!AP996/$G$1, 0)</f>
        <v>0</v>
      </c>
      <c r="AI45" s="3">
        <f>ROUNDUP('S27 Material Flow Matrix'!AQ996/$G$1, 0)</f>
        <v>0</v>
      </c>
      <c r="AJ45" s="3">
        <f>ROUNDUP('S27 Material Flow Matrix'!AR996/$G$1, 0)</f>
        <v>0</v>
      </c>
      <c r="AK45" s="3">
        <f>ROUNDUP('S27 Material Flow Matrix'!AS996/$G$1, 0)</f>
        <v>0</v>
      </c>
      <c r="AL45" s="3">
        <f>ROUNDUP('S27 Material Flow Matrix'!AT996/$G$1, 0)</f>
        <v>0</v>
      </c>
      <c r="AM45" s="3">
        <f>ROUNDUP('S27 Material Flow Matrix'!AU996/$G$1, 0)</f>
        <v>0</v>
      </c>
      <c r="AN45" s="3">
        <f>ROUNDUP('S27 Material Flow Matrix'!AV996/$G$1, 0)</f>
        <v>0</v>
      </c>
      <c r="AO45" s="3">
        <f>ROUNDUP('S27 Material Flow Matrix'!AW996/$G$1, 0)</f>
        <v>0</v>
      </c>
      <c r="AP45" s="3">
        <f>ROUNDUP('S27 Material Flow Matrix'!AX996/$G$1, 0)</f>
        <v>0</v>
      </c>
      <c r="AQ45" s="3">
        <f>ROUNDUP('S27 Material Flow Matrix'!AY996/$G$1, 0)</f>
        <v>0</v>
      </c>
      <c r="AR45" s="3">
        <f>ROUNDUP('S27 Material Flow Matrix'!AZ996/$G$1, 0)</f>
        <v>0</v>
      </c>
      <c r="AS45" s="3">
        <f>ROUNDUP('S27 Material Flow Matrix'!BA996/$G$1, 0)</f>
        <v>0</v>
      </c>
    </row>
    <row r="46" spans="1:45">
      <c r="A46" s="288" t="s">
        <v>616</v>
      </c>
      <c r="B46" s="3">
        <f>ROUNDUP('S27 Material Flow Matrix'!J997/$G$1, 0)</f>
        <v>0</v>
      </c>
      <c r="C46" s="3">
        <f>ROUNDUP('S27 Material Flow Matrix'!K997/$G$1, 0)</f>
        <v>0</v>
      </c>
      <c r="D46" s="3">
        <f>ROUNDUP('S27 Material Flow Matrix'!L997/$G$1, 0)</f>
        <v>0</v>
      </c>
      <c r="E46" s="3">
        <f>ROUNDUP('S27 Material Flow Matrix'!M997/$G$1, 0)</f>
        <v>0</v>
      </c>
      <c r="F46" s="3">
        <f>ROUNDUP('S27 Material Flow Matrix'!N997/$G$1, 0)</f>
        <v>0</v>
      </c>
      <c r="G46" s="3">
        <f>ROUNDUP('S27 Material Flow Matrix'!O997/$G$1, 0)</f>
        <v>0</v>
      </c>
      <c r="H46" s="3">
        <f>ROUNDUP('S27 Material Flow Matrix'!P997/$G$1, 0)</f>
        <v>0</v>
      </c>
      <c r="I46" s="3">
        <f>ROUNDUP('S27 Material Flow Matrix'!Q997/$G$1, 0)</f>
        <v>0</v>
      </c>
      <c r="J46" s="3">
        <f>ROUNDUP('S27 Material Flow Matrix'!R997/$G$1, 0)</f>
        <v>0</v>
      </c>
      <c r="K46" s="3">
        <f>ROUNDUP('S27 Material Flow Matrix'!S997/$G$1, 0)</f>
        <v>0</v>
      </c>
      <c r="L46" s="3">
        <f>ROUNDUP('S27 Material Flow Matrix'!T997/$G$1, 0)</f>
        <v>0</v>
      </c>
      <c r="M46" s="3">
        <f>ROUNDUP('S27 Material Flow Matrix'!U997/$G$1, 0)</f>
        <v>0</v>
      </c>
      <c r="N46" s="3">
        <f>ROUNDUP('S27 Material Flow Matrix'!V997/$G$1, 0)</f>
        <v>0</v>
      </c>
      <c r="O46" s="3">
        <f>ROUNDUP('S27 Material Flow Matrix'!W997/$G$1, 0)</f>
        <v>0</v>
      </c>
      <c r="P46" s="3">
        <f>ROUNDUP('S27 Material Flow Matrix'!X997/$G$1, 0)</f>
        <v>0</v>
      </c>
      <c r="Q46" s="3">
        <f>ROUNDUP('S27 Material Flow Matrix'!Y997/$G$1, 0)</f>
        <v>0</v>
      </c>
      <c r="R46" s="3">
        <f>ROUNDUP('S27 Material Flow Matrix'!Z997/$G$1, 0)</f>
        <v>0</v>
      </c>
      <c r="S46" s="3">
        <f>ROUNDUP('S27 Material Flow Matrix'!AA997/$G$1, 0)</f>
        <v>0</v>
      </c>
      <c r="T46" s="3">
        <f>ROUNDUP('S27 Material Flow Matrix'!AB997/$G$1, 0)</f>
        <v>0</v>
      </c>
      <c r="U46" s="3">
        <f>ROUNDUP('S27 Material Flow Matrix'!AC997/$G$1, 0)</f>
        <v>0</v>
      </c>
      <c r="V46" s="3">
        <f>ROUNDUP('S27 Material Flow Matrix'!AD997/$G$1, 0)</f>
        <v>0</v>
      </c>
      <c r="W46" s="3">
        <f>ROUNDUP('S27 Material Flow Matrix'!AE997/$G$1, 0)</f>
        <v>0</v>
      </c>
      <c r="X46" s="3">
        <f>ROUNDUP('S27 Material Flow Matrix'!AF997/$G$1, 0)</f>
        <v>0</v>
      </c>
      <c r="Y46" s="3">
        <f>ROUNDUP('S27 Material Flow Matrix'!AG997/$G$1, 0)</f>
        <v>0</v>
      </c>
      <c r="Z46" s="3">
        <f>ROUNDUP('S27 Material Flow Matrix'!AH997/$G$1, 0)</f>
        <v>0</v>
      </c>
      <c r="AA46" s="3">
        <f>ROUNDUP('S27 Material Flow Matrix'!AI997/$G$1, 0)</f>
        <v>0</v>
      </c>
      <c r="AB46" s="3">
        <f>ROUNDUP('S27 Material Flow Matrix'!AJ997/$G$1, 0)</f>
        <v>0</v>
      </c>
      <c r="AC46" s="3">
        <f>ROUNDUP('S27 Material Flow Matrix'!AK997/$G$1, 0)</f>
        <v>0</v>
      </c>
      <c r="AD46" s="3">
        <f>ROUNDUP('S27 Material Flow Matrix'!AL997/$G$1, 0)</f>
        <v>0</v>
      </c>
      <c r="AE46" s="3">
        <f>ROUNDUP('S27 Material Flow Matrix'!AM997/$G$1, 0)</f>
        <v>0</v>
      </c>
      <c r="AF46" s="3">
        <f>ROUNDUP('S27 Material Flow Matrix'!AN997/$G$1, 0)</f>
        <v>0</v>
      </c>
      <c r="AG46" s="3">
        <f>ROUNDUP('S27 Material Flow Matrix'!AO997/$G$1, 0)</f>
        <v>0</v>
      </c>
      <c r="AH46" s="3">
        <f>ROUNDUP('S27 Material Flow Matrix'!AP997/$G$1, 0)</f>
        <v>0</v>
      </c>
      <c r="AI46" s="3">
        <f>ROUNDUP('S27 Material Flow Matrix'!AQ997/$G$1, 0)</f>
        <v>0</v>
      </c>
      <c r="AJ46" s="3">
        <f>ROUNDUP('S27 Material Flow Matrix'!AR997/$G$1, 0)</f>
        <v>0</v>
      </c>
      <c r="AK46" s="3">
        <f>ROUNDUP('S27 Material Flow Matrix'!AS997/$G$1, 0)</f>
        <v>213</v>
      </c>
      <c r="AL46" s="3">
        <f>ROUNDUP('S27 Material Flow Matrix'!AT997/$G$1, 0)</f>
        <v>0</v>
      </c>
      <c r="AM46" s="3">
        <f>ROUNDUP('S27 Material Flow Matrix'!AU997/$G$1, 0)</f>
        <v>89</v>
      </c>
      <c r="AN46" s="3">
        <f>ROUNDUP('S27 Material Flow Matrix'!AV997/$G$1, 0)</f>
        <v>0</v>
      </c>
      <c r="AO46" s="3">
        <f>ROUNDUP('S27 Material Flow Matrix'!AW997/$G$1, 0)</f>
        <v>290</v>
      </c>
      <c r="AP46" s="3">
        <f>ROUNDUP('S27 Material Flow Matrix'!AX997/$G$1, 0)</f>
        <v>0</v>
      </c>
      <c r="AQ46" s="3">
        <f>ROUNDUP('S27 Material Flow Matrix'!AY997/$G$1, 0)</f>
        <v>0</v>
      </c>
      <c r="AR46" s="3">
        <f>ROUNDUP('S27 Material Flow Matrix'!AZ997/$G$1, 0)</f>
        <v>0</v>
      </c>
      <c r="AS46" s="3">
        <f>ROUNDUP('S27 Material Flow Matrix'!BA997/$G$1, 0)</f>
        <v>0</v>
      </c>
    </row>
    <row r="47" spans="1:45">
      <c r="A47" s="288" t="s">
        <v>617</v>
      </c>
      <c r="B47" s="3">
        <f>ROUNDUP('S27 Material Flow Matrix'!J998/$G$1, 0)</f>
        <v>0</v>
      </c>
      <c r="C47" s="3">
        <f>ROUNDUP('S27 Material Flow Matrix'!K998/$G$1, 0)</f>
        <v>0</v>
      </c>
      <c r="D47" s="3">
        <f>ROUNDUP('S27 Material Flow Matrix'!L998/$G$1, 0)</f>
        <v>0</v>
      </c>
      <c r="E47" s="3">
        <f>ROUNDUP('S27 Material Flow Matrix'!M998/$G$1, 0)</f>
        <v>0</v>
      </c>
      <c r="F47" s="3">
        <f>ROUNDUP('S27 Material Flow Matrix'!N998/$G$1, 0)</f>
        <v>0</v>
      </c>
      <c r="G47" s="3">
        <f>ROUNDUP('S27 Material Flow Matrix'!O998/$G$1, 0)</f>
        <v>0</v>
      </c>
      <c r="H47" s="3">
        <f>ROUNDUP('S27 Material Flow Matrix'!P998/$G$1, 0)</f>
        <v>0</v>
      </c>
      <c r="I47" s="3">
        <f>ROUNDUP('S27 Material Flow Matrix'!Q998/$G$1, 0)</f>
        <v>0</v>
      </c>
      <c r="J47" s="3">
        <f>ROUNDUP('S27 Material Flow Matrix'!R998/$G$1, 0)</f>
        <v>0</v>
      </c>
      <c r="K47" s="3">
        <f>ROUNDUP('S27 Material Flow Matrix'!S998/$G$1, 0)</f>
        <v>0</v>
      </c>
      <c r="L47" s="3">
        <f>ROUNDUP('S27 Material Flow Matrix'!T998/$G$1, 0)</f>
        <v>0</v>
      </c>
      <c r="M47" s="3">
        <f>ROUNDUP('S27 Material Flow Matrix'!U998/$G$1, 0)</f>
        <v>0</v>
      </c>
      <c r="N47" s="3">
        <f>ROUNDUP('S27 Material Flow Matrix'!V998/$G$1, 0)</f>
        <v>0</v>
      </c>
      <c r="O47" s="3">
        <f>ROUNDUP('S27 Material Flow Matrix'!W998/$G$1, 0)</f>
        <v>0</v>
      </c>
      <c r="P47" s="3">
        <f>ROUNDUP('S27 Material Flow Matrix'!X998/$G$1, 0)</f>
        <v>0</v>
      </c>
      <c r="Q47" s="3">
        <f>ROUNDUP('S27 Material Flow Matrix'!Y998/$G$1, 0)</f>
        <v>0</v>
      </c>
      <c r="R47" s="3">
        <f>ROUNDUP('S27 Material Flow Matrix'!Z998/$G$1, 0)</f>
        <v>0</v>
      </c>
      <c r="S47" s="3">
        <f>ROUNDUP('S27 Material Flow Matrix'!AA998/$G$1, 0)</f>
        <v>0</v>
      </c>
      <c r="T47" s="3">
        <f>ROUNDUP('S27 Material Flow Matrix'!AB998/$G$1, 0)</f>
        <v>0</v>
      </c>
      <c r="U47" s="3">
        <f>ROUNDUP('S27 Material Flow Matrix'!AC998/$G$1, 0)</f>
        <v>0</v>
      </c>
      <c r="V47" s="3">
        <f>ROUNDUP('S27 Material Flow Matrix'!AD998/$G$1, 0)</f>
        <v>0</v>
      </c>
      <c r="W47" s="3">
        <f>ROUNDUP('S27 Material Flow Matrix'!AE998/$G$1, 0)</f>
        <v>0</v>
      </c>
      <c r="X47" s="3">
        <f>ROUNDUP('S27 Material Flow Matrix'!AF998/$G$1, 0)</f>
        <v>0</v>
      </c>
      <c r="Y47" s="3">
        <f>ROUNDUP('S27 Material Flow Matrix'!AG998/$G$1, 0)</f>
        <v>0</v>
      </c>
      <c r="Z47" s="3">
        <f>ROUNDUP('S27 Material Flow Matrix'!AH998/$G$1, 0)</f>
        <v>0</v>
      </c>
      <c r="AA47" s="3">
        <f>ROUNDUP('S27 Material Flow Matrix'!AI998/$G$1, 0)</f>
        <v>0</v>
      </c>
      <c r="AB47" s="3">
        <f>ROUNDUP('S27 Material Flow Matrix'!AJ998/$G$1, 0)</f>
        <v>0</v>
      </c>
      <c r="AC47" s="3">
        <f>ROUNDUP('S27 Material Flow Matrix'!AK998/$G$1, 0)</f>
        <v>0</v>
      </c>
      <c r="AD47" s="3">
        <f>ROUNDUP('S27 Material Flow Matrix'!AL998/$G$1, 0)</f>
        <v>0</v>
      </c>
      <c r="AE47" s="3">
        <f>ROUNDUP('S27 Material Flow Matrix'!AM998/$G$1, 0)</f>
        <v>0</v>
      </c>
      <c r="AF47" s="3">
        <f>ROUNDUP('S27 Material Flow Matrix'!AN998/$G$1, 0)</f>
        <v>0</v>
      </c>
      <c r="AG47" s="3">
        <f>ROUNDUP('S27 Material Flow Matrix'!AO998/$G$1, 0)</f>
        <v>0</v>
      </c>
      <c r="AH47" s="3">
        <f>ROUNDUP('S27 Material Flow Matrix'!AP998/$G$1, 0)</f>
        <v>0</v>
      </c>
      <c r="AI47" s="3">
        <f>ROUNDUP('S27 Material Flow Matrix'!AQ998/$G$1, 0)</f>
        <v>0</v>
      </c>
      <c r="AJ47" s="3">
        <f>ROUNDUP('S27 Material Flow Matrix'!AR998/$G$1, 0)</f>
        <v>0</v>
      </c>
      <c r="AK47" s="3">
        <f>ROUNDUP('S27 Material Flow Matrix'!AS998/$G$1, 0)</f>
        <v>0</v>
      </c>
      <c r="AL47" s="3">
        <f>ROUNDUP('S27 Material Flow Matrix'!AT998/$G$1, 0)</f>
        <v>0</v>
      </c>
      <c r="AM47" s="3">
        <f>ROUNDUP('S27 Material Flow Matrix'!AU998/$G$1, 0)</f>
        <v>0</v>
      </c>
      <c r="AN47" s="3">
        <f>ROUNDUP('S27 Material Flow Matrix'!AV998/$G$1, 0)</f>
        <v>0</v>
      </c>
      <c r="AO47" s="3">
        <f>ROUNDUP('S27 Material Flow Matrix'!AW998/$G$1, 0)</f>
        <v>0</v>
      </c>
      <c r="AP47" s="3">
        <f>ROUNDUP('S27 Material Flow Matrix'!AX998/$G$1, 0)</f>
        <v>0</v>
      </c>
      <c r="AQ47" s="3">
        <f>ROUNDUP('S27 Material Flow Matrix'!AY998/$G$1, 0)</f>
        <v>0</v>
      </c>
      <c r="AR47" s="3">
        <f>ROUNDUP('S27 Material Flow Matrix'!AZ998/$G$1, 0)</f>
        <v>0</v>
      </c>
      <c r="AS47" s="3">
        <f>ROUNDUP('S27 Material Flow Matrix'!BA998/$G$1, 0)</f>
        <v>0</v>
      </c>
    </row>
  </sheetData>
  <conditionalFormatting sqref="B4:AS47">
    <cfRule type="cellIs" dxfId="2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2134D-4339-AF4C-B43F-EF80B9E0888B}">
  <sheetPr codeName="Sheet30"/>
  <dimension ref="A1:AS48"/>
  <sheetViews>
    <sheetView zoomScale="75" zoomScaleNormal="91" workbookViewId="0">
      <selection activeCell="D7" sqref="D7"/>
    </sheetView>
  </sheetViews>
  <sheetFormatPr baseColWidth="10" defaultColWidth="11" defaultRowHeight="16"/>
  <cols>
    <col min="2" max="26" width="6.1640625" bestFit="1" customWidth="1"/>
    <col min="27" max="28" width="6.1640625" customWidth="1"/>
    <col min="29" max="45" width="6.1640625" bestFit="1" customWidth="1"/>
  </cols>
  <sheetData>
    <row r="1" spans="1:45">
      <c r="A1" t="s">
        <v>1102</v>
      </c>
      <c r="B1" t="s">
        <v>1103</v>
      </c>
    </row>
    <row r="3" spans="1:45">
      <c r="A3" s="290"/>
      <c r="B3" s="288" t="str">
        <f t="array" ref="B3:AS3">TRANSPOSE(A4:A47)</f>
        <v>WS-01</v>
      </c>
      <c r="C3" s="288" t="str">
        <v>WS-02</v>
      </c>
      <c r="D3" s="288" t="str">
        <v>WS-03</v>
      </c>
      <c r="E3" s="288" t="str">
        <v>WS-04</v>
      </c>
      <c r="F3" s="288" t="str">
        <v>WS-05</v>
      </c>
      <c r="G3" s="288" t="str">
        <v>WS-06</v>
      </c>
      <c r="H3" s="288" t="str">
        <v>WS-07</v>
      </c>
      <c r="I3" s="288" t="str">
        <v>WS-08</v>
      </c>
      <c r="J3" s="288" t="str">
        <v>WS-09</v>
      </c>
      <c r="K3" s="288" t="str">
        <v>WS-10</v>
      </c>
      <c r="L3" s="288" t="str">
        <v>WS-11</v>
      </c>
      <c r="M3" s="288" t="str">
        <v>WS-12</v>
      </c>
      <c r="N3" s="288" t="str">
        <v>WS-13</v>
      </c>
      <c r="O3" s="288" t="str">
        <v>WS-14</v>
      </c>
      <c r="P3" s="288" t="str">
        <v>WS-15</v>
      </c>
      <c r="Q3" s="288" t="str">
        <v>WS-16</v>
      </c>
      <c r="R3" s="288" t="str">
        <v>WS-17</v>
      </c>
      <c r="S3" s="288" t="str">
        <v>WS-18</v>
      </c>
      <c r="T3" s="288" t="str">
        <v>WS-19</v>
      </c>
      <c r="U3" s="288" t="str">
        <v>WS-20</v>
      </c>
      <c r="V3" s="288" t="str">
        <v>WS-21</v>
      </c>
      <c r="W3" s="288" t="str">
        <v>WS-22</v>
      </c>
      <c r="X3" s="288" t="str">
        <v>WS-23</v>
      </c>
      <c r="Y3" s="288" t="str">
        <v>WS-24</v>
      </c>
      <c r="Z3" s="288" t="str">
        <v>WS-25</v>
      </c>
      <c r="AA3" s="288" t="str">
        <v>WS-26</v>
      </c>
      <c r="AB3" s="288" t="str">
        <v>WS-27</v>
      </c>
      <c r="AC3" s="288" t="str">
        <v>WS-28</v>
      </c>
      <c r="AD3" s="288" t="str">
        <v>WS-29</v>
      </c>
      <c r="AE3" s="288" t="str">
        <v>WS-30</v>
      </c>
      <c r="AF3" s="288" t="str">
        <v>WS-31</v>
      </c>
      <c r="AG3" s="288" t="str">
        <v>WS-32</v>
      </c>
      <c r="AH3" s="288" t="str">
        <v>WS-33</v>
      </c>
      <c r="AI3" s="288" t="str">
        <v>WS-34</v>
      </c>
      <c r="AJ3" s="288" t="str">
        <v>WS-35</v>
      </c>
      <c r="AK3" s="288" t="str">
        <v>WS-36</v>
      </c>
      <c r="AL3" s="288" t="str">
        <v>WS-37</v>
      </c>
      <c r="AM3" s="288" t="str">
        <v>WS-38</v>
      </c>
      <c r="AN3" s="288" t="str">
        <v>WS-39</v>
      </c>
      <c r="AO3" s="288" t="str">
        <v>WS-40</v>
      </c>
      <c r="AP3" s="288" t="str">
        <v>WS-41</v>
      </c>
      <c r="AQ3" s="288" t="str">
        <v>WS-42</v>
      </c>
      <c r="AR3" s="288" t="str">
        <v>WS-43</v>
      </c>
      <c r="AS3" s="288" t="str">
        <v>WS-44</v>
      </c>
    </row>
    <row r="4" spans="1:45">
      <c r="A4" s="288" t="s">
        <v>574</v>
      </c>
      <c r="B4" s="291"/>
      <c r="C4" s="3">
        <v>30</v>
      </c>
      <c r="D4" s="3">
        <v>21</v>
      </c>
      <c r="E4" s="3">
        <v>28</v>
      </c>
      <c r="F4" s="3">
        <v>18</v>
      </c>
      <c r="G4" s="3">
        <v>35</v>
      </c>
      <c r="H4" s="3">
        <v>44</v>
      </c>
      <c r="I4" s="3">
        <v>40</v>
      </c>
      <c r="J4" s="3">
        <v>39</v>
      </c>
      <c r="K4" s="3">
        <v>0</v>
      </c>
      <c r="L4" s="3">
        <v>40</v>
      </c>
      <c r="M4" s="3">
        <v>40</v>
      </c>
      <c r="N4" s="3">
        <v>41</v>
      </c>
      <c r="O4" s="3">
        <v>24</v>
      </c>
      <c r="P4" s="3">
        <v>23</v>
      </c>
      <c r="Q4" s="3">
        <v>49</v>
      </c>
      <c r="R4" s="3">
        <v>9</v>
      </c>
      <c r="S4" s="3">
        <v>43</v>
      </c>
      <c r="T4" s="3">
        <v>54</v>
      </c>
      <c r="U4" s="3">
        <v>41</v>
      </c>
      <c r="V4" s="3">
        <v>16</v>
      </c>
      <c r="W4" s="3">
        <v>41</v>
      </c>
      <c r="X4" s="3">
        <v>32</v>
      </c>
      <c r="Y4" s="3">
        <v>15</v>
      </c>
      <c r="Z4" s="3">
        <v>24</v>
      </c>
      <c r="AA4" s="3">
        <v>8</v>
      </c>
      <c r="AB4" s="3">
        <v>25</v>
      </c>
      <c r="AC4" s="3">
        <v>37</v>
      </c>
      <c r="AD4" s="3">
        <v>49</v>
      </c>
      <c r="AE4" s="3">
        <v>52</v>
      </c>
      <c r="AF4" s="3">
        <v>14</v>
      </c>
      <c r="AG4" s="3">
        <v>2</v>
      </c>
      <c r="AH4" s="3">
        <v>51</v>
      </c>
      <c r="AI4" s="3">
        <v>45</v>
      </c>
      <c r="AJ4" s="3">
        <v>36</v>
      </c>
      <c r="AK4" s="3">
        <v>19</v>
      </c>
      <c r="AL4" s="3">
        <v>22</v>
      </c>
      <c r="AM4" s="3">
        <v>34</v>
      </c>
      <c r="AN4" s="3">
        <v>11</v>
      </c>
      <c r="AO4" s="3">
        <v>27</v>
      </c>
      <c r="AP4" s="3">
        <v>26</v>
      </c>
      <c r="AQ4" s="3">
        <v>49</v>
      </c>
      <c r="AR4" s="3">
        <v>38</v>
      </c>
      <c r="AS4" s="3">
        <v>20</v>
      </c>
    </row>
    <row r="5" spans="1:45">
      <c r="A5" s="288" t="s">
        <v>575</v>
      </c>
      <c r="B5" s="3">
        <v>30</v>
      </c>
      <c r="C5" s="291"/>
      <c r="D5" s="3">
        <v>30</v>
      </c>
      <c r="E5" s="3">
        <v>17</v>
      </c>
      <c r="F5" s="3">
        <v>8</v>
      </c>
      <c r="G5" s="3">
        <v>55</v>
      </c>
      <c r="H5" s="3">
        <v>13</v>
      </c>
      <c r="I5" s="3">
        <v>42</v>
      </c>
      <c r="J5" s="3">
        <v>21</v>
      </c>
      <c r="K5" s="3">
        <v>26</v>
      </c>
      <c r="L5" s="3">
        <v>17</v>
      </c>
      <c r="M5" s="3">
        <v>44</v>
      </c>
      <c r="N5" s="3">
        <v>11</v>
      </c>
      <c r="O5" s="3">
        <v>50</v>
      </c>
      <c r="P5" s="3">
        <v>25</v>
      </c>
      <c r="Q5" s="3">
        <v>44</v>
      </c>
      <c r="R5" s="3">
        <v>42</v>
      </c>
      <c r="S5" s="3">
        <v>16</v>
      </c>
      <c r="T5" s="3">
        <v>14</v>
      </c>
      <c r="U5" s="3">
        <v>14</v>
      </c>
      <c r="V5" s="3">
        <v>49</v>
      </c>
      <c r="W5" s="3">
        <v>15</v>
      </c>
      <c r="X5" s="3">
        <v>52</v>
      </c>
      <c r="Y5" s="3">
        <v>49</v>
      </c>
      <c r="Z5" s="3">
        <v>36</v>
      </c>
      <c r="AA5" s="3">
        <v>15</v>
      </c>
      <c r="AB5" s="3">
        <v>17</v>
      </c>
      <c r="AC5" s="3">
        <v>8</v>
      </c>
      <c r="AD5" s="3">
        <v>26</v>
      </c>
      <c r="AE5" s="3">
        <v>41</v>
      </c>
      <c r="AF5" s="3">
        <v>39</v>
      </c>
      <c r="AG5" s="3">
        <v>20</v>
      </c>
      <c r="AH5" s="3">
        <v>26</v>
      </c>
      <c r="AI5" s="3">
        <v>49</v>
      </c>
      <c r="AJ5" s="3">
        <v>11</v>
      </c>
      <c r="AK5" s="3">
        <v>50</v>
      </c>
      <c r="AL5" s="3">
        <v>56</v>
      </c>
      <c r="AM5" s="3">
        <v>48</v>
      </c>
      <c r="AN5" s="3">
        <v>50</v>
      </c>
      <c r="AO5" s="3">
        <v>16</v>
      </c>
      <c r="AP5" s="3">
        <v>24</v>
      </c>
      <c r="AQ5" s="3">
        <v>37</v>
      </c>
      <c r="AR5" s="3">
        <v>18</v>
      </c>
      <c r="AS5" s="3">
        <v>2</v>
      </c>
    </row>
    <row r="6" spans="1:45">
      <c r="A6" s="288" t="s">
        <v>576</v>
      </c>
      <c r="B6" s="3">
        <v>21</v>
      </c>
      <c r="C6" s="3">
        <v>30</v>
      </c>
      <c r="D6" s="291"/>
      <c r="E6" s="3">
        <v>49</v>
      </c>
      <c r="F6" s="3">
        <v>9</v>
      </c>
      <c r="G6" s="3">
        <v>53</v>
      </c>
      <c r="H6" s="3">
        <v>26</v>
      </c>
      <c r="I6" s="3">
        <v>53</v>
      </c>
      <c r="J6" s="3">
        <v>28</v>
      </c>
      <c r="K6" s="3">
        <v>9</v>
      </c>
      <c r="L6" s="3">
        <v>39</v>
      </c>
      <c r="M6" s="3">
        <v>26</v>
      </c>
      <c r="N6" s="3">
        <v>11</v>
      </c>
      <c r="O6" s="3">
        <v>19</v>
      </c>
      <c r="P6" s="3">
        <v>20</v>
      </c>
      <c r="Q6" s="3">
        <v>44</v>
      </c>
      <c r="R6" s="3">
        <v>54</v>
      </c>
      <c r="S6" s="3">
        <v>18</v>
      </c>
      <c r="T6" s="3">
        <v>53</v>
      </c>
      <c r="U6" s="3">
        <v>44</v>
      </c>
      <c r="V6" s="3">
        <v>16</v>
      </c>
      <c r="W6" s="3">
        <v>30</v>
      </c>
      <c r="X6" s="3">
        <v>20</v>
      </c>
      <c r="Y6" s="3">
        <v>15</v>
      </c>
      <c r="Z6" s="3">
        <v>16</v>
      </c>
      <c r="AA6" s="3">
        <v>34</v>
      </c>
      <c r="AB6" s="3">
        <v>28</v>
      </c>
      <c r="AC6" s="3">
        <v>19</v>
      </c>
      <c r="AD6" s="3">
        <v>7</v>
      </c>
      <c r="AE6" s="3">
        <v>25</v>
      </c>
      <c r="AF6" s="3">
        <v>37</v>
      </c>
      <c r="AG6" s="3">
        <v>46</v>
      </c>
      <c r="AH6" s="3">
        <v>52</v>
      </c>
      <c r="AI6" s="3">
        <v>56</v>
      </c>
      <c r="AJ6" s="3">
        <v>48</v>
      </c>
      <c r="AK6" s="3">
        <v>4</v>
      </c>
      <c r="AL6" s="3">
        <v>12</v>
      </c>
      <c r="AM6" s="3">
        <v>40</v>
      </c>
      <c r="AN6" s="3">
        <v>59</v>
      </c>
      <c r="AO6" s="3">
        <v>24</v>
      </c>
      <c r="AP6" s="3">
        <v>35</v>
      </c>
      <c r="AQ6" s="3">
        <v>17</v>
      </c>
      <c r="AR6" s="3">
        <v>16</v>
      </c>
      <c r="AS6" s="3">
        <v>28</v>
      </c>
    </row>
    <row r="7" spans="1:45">
      <c r="A7" s="288" t="s">
        <v>577</v>
      </c>
      <c r="B7" s="3">
        <v>28</v>
      </c>
      <c r="C7" s="3">
        <v>17</v>
      </c>
      <c r="D7" s="3">
        <v>49</v>
      </c>
      <c r="E7" s="291"/>
      <c r="F7" s="3">
        <v>20</v>
      </c>
      <c r="G7" s="3">
        <v>50</v>
      </c>
      <c r="H7" s="3">
        <v>20</v>
      </c>
      <c r="I7" s="3">
        <v>39</v>
      </c>
      <c r="J7" s="3">
        <v>24</v>
      </c>
      <c r="K7" s="3">
        <v>7</v>
      </c>
      <c r="L7" s="3">
        <v>45</v>
      </c>
      <c r="M7" s="3">
        <v>32</v>
      </c>
      <c r="N7" s="3">
        <v>14</v>
      </c>
      <c r="O7" s="3">
        <v>13</v>
      </c>
      <c r="P7" s="3">
        <v>9</v>
      </c>
      <c r="Q7" s="3">
        <v>8</v>
      </c>
      <c r="R7" s="3">
        <v>3</v>
      </c>
      <c r="S7" s="3">
        <v>46</v>
      </c>
      <c r="T7" s="3">
        <v>5</v>
      </c>
      <c r="U7" s="3">
        <v>18</v>
      </c>
      <c r="V7" s="3">
        <v>7</v>
      </c>
      <c r="W7" s="3">
        <v>43</v>
      </c>
      <c r="X7" s="3">
        <v>40</v>
      </c>
      <c r="Y7" s="3">
        <v>16</v>
      </c>
      <c r="Z7" s="3">
        <v>25</v>
      </c>
      <c r="AA7" s="3">
        <v>18</v>
      </c>
      <c r="AB7" s="3">
        <v>3</v>
      </c>
      <c r="AC7" s="3">
        <v>45</v>
      </c>
      <c r="AD7" s="3">
        <v>4</v>
      </c>
      <c r="AE7" s="3">
        <v>48</v>
      </c>
      <c r="AF7" s="3">
        <v>18</v>
      </c>
      <c r="AG7" s="3">
        <v>56</v>
      </c>
      <c r="AH7" s="3">
        <v>51</v>
      </c>
      <c r="AI7" s="3">
        <v>42</v>
      </c>
      <c r="AJ7" s="3">
        <v>53</v>
      </c>
      <c r="AK7" s="3">
        <v>16</v>
      </c>
      <c r="AL7" s="3">
        <v>49</v>
      </c>
      <c r="AM7" s="3">
        <v>15</v>
      </c>
      <c r="AN7" s="3">
        <v>27</v>
      </c>
      <c r="AO7" s="3">
        <v>36</v>
      </c>
      <c r="AP7" s="3">
        <v>10</v>
      </c>
      <c r="AQ7" s="3">
        <v>40</v>
      </c>
      <c r="AR7" s="3">
        <v>5</v>
      </c>
      <c r="AS7" s="3">
        <v>14</v>
      </c>
    </row>
    <row r="8" spans="1:45">
      <c r="A8" s="288" t="s">
        <v>578</v>
      </c>
      <c r="B8" s="3">
        <v>18</v>
      </c>
      <c r="C8" s="3">
        <v>8</v>
      </c>
      <c r="D8" s="3">
        <v>9</v>
      </c>
      <c r="E8" s="3">
        <v>20</v>
      </c>
      <c r="F8" s="291"/>
      <c r="G8" s="3">
        <v>11</v>
      </c>
      <c r="H8" s="3">
        <v>0</v>
      </c>
      <c r="I8" s="3">
        <v>47</v>
      </c>
      <c r="J8" s="3">
        <v>52</v>
      </c>
      <c r="K8" s="3">
        <v>12</v>
      </c>
      <c r="L8" s="3">
        <v>25</v>
      </c>
      <c r="M8" s="3">
        <v>30</v>
      </c>
      <c r="N8" s="3">
        <v>1</v>
      </c>
      <c r="O8" s="3">
        <v>49</v>
      </c>
      <c r="P8" s="3">
        <v>42</v>
      </c>
      <c r="Q8" s="3">
        <v>47</v>
      </c>
      <c r="R8" s="3">
        <v>2</v>
      </c>
      <c r="S8" s="3">
        <v>23</v>
      </c>
      <c r="T8" s="3">
        <v>20</v>
      </c>
      <c r="U8" s="3">
        <v>9</v>
      </c>
      <c r="V8" s="3">
        <v>11</v>
      </c>
      <c r="W8" s="3">
        <v>15</v>
      </c>
      <c r="X8" s="3">
        <v>25</v>
      </c>
      <c r="Y8" s="3">
        <v>36</v>
      </c>
      <c r="Z8" s="3">
        <v>19</v>
      </c>
      <c r="AA8" s="3">
        <v>48</v>
      </c>
      <c r="AB8" s="3">
        <v>7</v>
      </c>
      <c r="AC8" s="3">
        <v>12</v>
      </c>
      <c r="AD8" s="3">
        <v>35</v>
      </c>
      <c r="AE8" s="3">
        <v>43</v>
      </c>
      <c r="AF8" s="3">
        <v>19</v>
      </c>
      <c r="AG8" s="3">
        <v>20</v>
      </c>
      <c r="AH8" s="3">
        <v>15</v>
      </c>
      <c r="AI8" s="3">
        <v>46</v>
      </c>
      <c r="AJ8" s="3">
        <v>20</v>
      </c>
      <c r="AK8" s="3">
        <v>16</v>
      </c>
      <c r="AL8" s="3">
        <v>5</v>
      </c>
      <c r="AM8" s="3">
        <v>37</v>
      </c>
      <c r="AN8" s="3">
        <v>46</v>
      </c>
      <c r="AO8" s="3">
        <v>16</v>
      </c>
      <c r="AP8" s="3">
        <v>11</v>
      </c>
      <c r="AQ8" s="3">
        <v>23</v>
      </c>
      <c r="AR8" s="3">
        <v>40</v>
      </c>
      <c r="AS8" s="3">
        <v>52</v>
      </c>
    </row>
    <row r="9" spans="1:45">
      <c r="A9" s="288" t="s">
        <v>579</v>
      </c>
      <c r="B9" s="3">
        <v>35</v>
      </c>
      <c r="C9" s="3">
        <v>55</v>
      </c>
      <c r="D9" s="3">
        <v>53</v>
      </c>
      <c r="E9" s="3">
        <v>50</v>
      </c>
      <c r="F9" s="3">
        <v>11</v>
      </c>
      <c r="G9" s="291"/>
      <c r="H9" s="3">
        <v>1</v>
      </c>
      <c r="I9" s="3">
        <v>52</v>
      </c>
      <c r="J9" s="3">
        <v>33</v>
      </c>
      <c r="K9" s="3">
        <v>54</v>
      </c>
      <c r="L9" s="3">
        <v>18</v>
      </c>
      <c r="M9" s="3">
        <v>24</v>
      </c>
      <c r="N9" s="3">
        <v>16</v>
      </c>
      <c r="O9" s="3">
        <v>44</v>
      </c>
      <c r="P9" s="3">
        <v>43</v>
      </c>
      <c r="Q9" s="3">
        <v>38</v>
      </c>
      <c r="R9" s="3">
        <v>48</v>
      </c>
      <c r="S9" s="3">
        <v>14</v>
      </c>
      <c r="T9" s="3">
        <v>4</v>
      </c>
      <c r="U9" s="3">
        <v>42</v>
      </c>
      <c r="V9" s="3">
        <v>22</v>
      </c>
      <c r="W9" s="3">
        <v>7</v>
      </c>
      <c r="X9" s="3">
        <v>26</v>
      </c>
      <c r="Y9" s="3">
        <v>24</v>
      </c>
      <c r="Z9" s="3">
        <v>46</v>
      </c>
      <c r="AA9" s="3">
        <v>24</v>
      </c>
      <c r="AB9" s="3">
        <v>20</v>
      </c>
      <c r="AC9" s="3">
        <v>16</v>
      </c>
      <c r="AD9" s="3">
        <v>19</v>
      </c>
      <c r="AE9" s="3">
        <v>45</v>
      </c>
      <c r="AF9" s="3">
        <v>7</v>
      </c>
      <c r="AG9" s="3">
        <v>13</v>
      </c>
      <c r="AH9" s="3">
        <v>36</v>
      </c>
      <c r="AI9" s="3">
        <v>38</v>
      </c>
      <c r="AJ9" s="3">
        <v>25</v>
      </c>
      <c r="AK9" s="3">
        <v>16</v>
      </c>
      <c r="AL9" s="3">
        <v>14</v>
      </c>
      <c r="AM9" s="3">
        <v>10</v>
      </c>
      <c r="AN9" s="3">
        <v>20</v>
      </c>
      <c r="AO9" s="3">
        <v>51</v>
      </c>
      <c r="AP9" s="3">
        <v>46</v>
      </c>
      <c r="AQ9" s="3">
        <v>50</v>
      </c>
      <c r="AR9" s="3">
        <v>58</v>
      </c>
      <c r="AS9" s="3">
        <v>12</v>
      </c>
    </row>
    <row r="10" spans="1:45">
      <c r="A10" s="288" t="s">
        <v>580</v>
      </c>
      <c r="B10" s="3">
        <v>44</v>
      </c>
      <c r="C10" s="3">
        <v>13</v>
      </c>
      <c r="D10" s="3">
        <v>26</v>
      </c>
      <c r="E10" s="3">
        <v>20</v>
      </c>
      <c r="F10" s="3">
        <v>0</v>
      </c>
      <c r="G10" s="3">
        <v>1</v>
      </c>
      <c r="H10" s="291"/>
      <c r="I10" s="3">
        <v>0</v>
      </c>
      <c r="J10" s="3">
        <v>52</v>
      </c>
      <c r="K10" s="3">
        <v>47</v>
      </c>
      <c r="L10" s="3">
        <v>3</v>
      </c>
      <c r="M10" s="3">
        <v>54</v>
      </c>
      <c r="N10" s="3">
        <v>50</v>
      </c>
      <c r="O10" s="3">
        <v>50</v>
      </c>
      <c r="P10" s="3">
        <v>50</v>
      </c>
      <c r="Q10" s="3">
        <v>2</v>
      </c>
      <c r="R10" s="3">
        <v>15</v>
      </c>
      <c r="S10" s="3">
        <v>36</v>
      </c>
      <c r="T10" s="3">
        <v>27</v>
      </c>
      <c r="U10" s="3">
        <v>52</v>
      </c>
      <c r="V10" s="3">
        <v>26</v>
      </c>
      <c r="W10" s="3">
        <v>22</v>
      </c>
      <c r="X10" s="3">
        <v>51</v>
      </c>
      <c r="Y10" s="3">
        <v>46</v>
      </c>
      <c r="Z10" s="3">
        <v>18</v>
      </c>
      <c r="AA10" s="3">
        <v>35</v>
      </c>
      <c r="AB10" s="3">
        <v>16</v>
      </c>
      <c r="AC10" s="3">
        <v>42</v>
      </c>
      <c r="AD10" s="3">
        <v>18</v>
      </c>
      <c r="AE10" s="3">
        <v>27</v>
      </c>
      <c r="AF10" s="3">
        <v>6</v>
      </c>
      <c r="AG10" s="3">
        <v>54</v>
      </c>
      <c r="AH10" s="3">
        <v>16</v>
      </c>
      <c r="AI10" s="3">
        <v>24</v>
      </c>
      <c r="AJ10" s="3">
        <v>25</v>
      </c>
      <c r="AK10" s="3">
        <v>36</v>
      </c>
      <c r="AL10" s="3">
        <v>19</v>
      </c>
      <c r="AM10" s="3">
        <v>37</v>
      </c>
      <c r="AN10" s="3">
        <v>25</v>
      </c>
      <c r="AO10" s="3">
        <v>16</v>
      </c>
      <c r="AP10" s="3">
        <v>20</v>
      </c>
      <c r="AQ10" s="3">
        <v>14</v>
      </c>
      <c r="AR10" s="3">
        <v>2</v>
      </c>
      <c r="AS10" s="3">
        <v>16</v>
      </c>
    </row>
    <row r="11" spans="1:45">
      <c r="A11" s="288" t="s">
        <v>581</v>
      </c>
      <c r="B11" s="3">
        <v>40</v>
      </c>
      <c r="C11" s="3">
        <v>42</v>
      </c>
      <c r="D11" s="3">
        <v>53</v>
      </c>
      <c r="E11" s="3">
        <v>39</v>
      </c>
      <c r="F11" s="3">
        <v>47</v>
      </c>
      <c r="G11" s="3">
        <v>52</v>
      </c>
      <c r="H11" s="3">
        <v>0</v>
      </c>
      <c r="I11" s="291"/>
      <c r="J11" s="3">
        <v>28</v>
      </c>
      <c r="K11" s="3">
        <v>6</v>
      </c>
      <c r="L11" s="3">
        <v>19</v>
      </c>
      <c r="M11" s="3">
        <v>4</v>
      </c>
      <c r="N11" s="3">
        <v>34</v>
      </c>
      <c r="O11" s="3">
        <v>46</v>
      </c>
      <c r="P11" s="3">
        <v>55</v>
      </c>
      <c r="Q11" s="3">
        <v>23</v>
      </c>
      <c r="R11" s="3">
        <v>43</v>
      </c>
      <c r="S11" s="3">
        <v>5</v>
      </c>
      <c r="T11" s="3">
        <v>35</v>
      </c>
      <c r="U11" s="3">
        <v>2</v>
      </c>
      <c r="V11" s="3">
        <v>22</v>
      </c>
      <c r="W11" s="3">
        <v>39</v>
      </c>
      <c r="X11" s="3">
        <v>24</v>
      </c>
      <c r="Y11" s="3">
        <v>16</v>
      </c>
      <c r="Z11" s="3">
        <v>34</v>
      </c>
      <c r="AA11" s="3">
        <v>56</v>
      </c>
      <c r="AB11" s="3">
        <v>24</v>
      </c>
      <c r="AC11" s="3">
        <v>16</v>
      </c>
      <c r="AD11" s="3">
        <v>25</v>
      </c>
      <c r="AE11" s="3">
        <v>9</v>
      </c>
      <c r="AF11" s="3">
        <v>15</v>
      </c>
      <c r="AG11" s="3">
        <v>6</v>
      </c>
      <c r="AH11" s="3">
        <v>48</v>
      </c>
      <c r="AI11" s="3">
        <v>52</v>
      </c>
      <c r="AJ11" s="3">
        <v>8</v>
      </c>
      <c r="AK11" s="3">
        <v>58</v>
      </c>
      <c r="AL11" s="3">
        <v>40</v>
      </c>
      <c r="AM11" s="3">
        <v>13</v>
      </c>
      <c r="AN11" s="3">
        <v>6</v>
      </c>
      <c r="AO11" s="3">
        <v>8</v>
      </c>
      <c r="AP11" s="3">
        <v>15</v>
      </c>
      <c r="AQ11" s="3">
        <v>49</v>
      </c>
      <c r="AR11" s="3">
        <v>38</v>
      </c>
      <c r="AS11" s="3">
        <v>33</v>
      </c>
    </row>
    <row r="12" spans="1:45">
      <c r="A12" s="288" t="s">
        <v>582</v>
      </c>
      <c r="B12" s="3">
        <v>39</v>
      </c>
      <c r="C12" s="3">
        <v>21</v>
      </c>
      <c r="D12" s="3">
        <v>28</v>
      </c>
      <c r="E12" s="3">
        <v>24</v>
      </c>
      <c r="F12" s="3">
        <v>52</v>
      </c>
      <c r="G12" s="3">
        <v>33</v>
      </c>
      <c r="H12" s="3">
        <v>52</v>
      </c>
      <c r="I12" s="3">
        <v>28</v>
      </c>
      <c r="J12" s="291"/>
      <c r="K12" s="3">
        <v>31</v>
      </c>
      <c r="L12" s="3">
        <v>48</v>
      </c>
      <c r="M12" s="3">
        <v>47</v>
      </c>
      <c r="N12" s="3">
        <v>31</v>
      </c>
      <c r="O12" s="3">
        <v>0</v>
      </c>
      <c r="P12" s="3">
        <v>36</v>
      </c>
      <c r="Q12" s="3">
        <v>34</v>
      </c>
      <c r="R12" s="3">
        <v>41</v>
      </c>
      <c r="S12" s="3">
        <v>49</v>
      </c>
      <c r="T12" s="3">
        <v>54</v>
      </c>
      <c r="U12" s="3">
        <v>8</v>
      </c>
      <c r="V12" s="3">
        <v>43</v>
      </c>
      <c r="W12" s="3">
        <v>20</v>
      </c>
      <c r="X12" s="3">
        <v>34</v>
      </c>
      <c r="Y12" s="3">
        <v>16</v>
      </c>
      <c r="Z12" s="3">
        <v>29</v>
      </c>
      <c r="AA12" s="3">
        <v>38</v>
      </c>
      <c r="AB12" s="3">
        <v>17</v>
      </c>
      <c r="AC12" s="3">
        <v>26</v>
      </c>
      <c r="AD12" s="3">
        <v>24</v>
      </c>
      <c r="AE12" s="3">
        <v>19</v>
      </c>
      <c r="AF12" s="3">
        <v>5</v>
      </c>
      <c r="AG12" s="3">
        <v>34</v>
      </c>
      <c r="AH12" s="3">
        <v>18</v>
      </c>
      <c r="AI12" s="3">
        <v>45</v>
      </c>
      <c r="AJ12" s="3">
        <v>52</v>
      </c>
      <c r="AK12" s="3">
        <v>16</v>
      </c>
      <c r="AL12" s="3">
        <v>42</v>
      </c>
      <c r="AM12" s="3">
        <v>57</v>
      </c>
      <c r="AN12" s="3">
        <v>13</v>
      </c>
      <c r="AO12" s="3">
        <v>36</v>
      </c>
      <c r="AP12" s="3">
        <v>6</v>
      </c>
      <c r="AQ12" s="3">
        <v>14</v>
      </c>
      <c r="AR12" s="3">
        <v>52</v>
      </c>
      <c r="AS12" s="3">
        <v>1</v>
      </c>
    </row>
    <row r="13" spans="1:45">
      <c r="A13" s="288" t="s">
        <v>583</v>
      </c>
      <c r="B13" s="3">
        <v>0</v>
      </c>
      <c r="C13" s="3">
        <v>26</v>
      </c>
      <c r="D13" s="3">
        <v>9</v>
      </c>
      <c r="E13" s="3">
        <v>7</v>
      </c>
      <c r="F13" s="3">
        <v>12</v>
      </c>
      <c r="G13" s="3">
        <v>54</v>
      </c>
      <c r="H13" s="3">
        <v>47</v>
      </c>
      <c r="I13" s="3">
        <v>6</v>
      </c>
      <c r="J13" s="3">
        <v>31</v>
      </c>
      <c r="K13" s="291"/>
      <c r="L13" s="3">
        <v>3</v>
      </c>
      <c r="M13" s="3">
        <v>20</v>
      </c>
      <c r="N13" s="3">
        <v>12</v>
      </c>
      <c r="O13" s="3">
        <v>45</v>
      </c>
      <c r="P13" s="3">
        <v>33</v>
      </c>
      <c r="Q13" s="3">
        <v>40</v>
      </c>
      <c r="R13" s="3">
        <v>49</v>
      </c>
      <c r="S13" s="3">
        <v>35</v>
      </c>
      <c r="T13" s="3">
        <v>27</v>
      </c>
      <c r="U13" s="3">
        <v>40</v>
      </c>
      <c r="V13" s="3">
        <v>26</v>
      </c>
      <c r="W13" s="3">
        <v>53</v>
      </c>
      <c r="X13" s="3">
        <v>36</v>
      </c>
      <c r="Y13" s="3">
        <v>15</v>
      </c>
      <c r="Z13" s="3">
        <v>45</v>
      </c>
      <c r="AA13" s="3">
        <v>7</v>
      </c>
      <c r="AB13" s="3">
        <v>26</v>
      </c>
      <c r="AC13" s="3">
        <v>38</v>
      </c>
      <c r="AD13" s="3">
        <v>15</v>
      </c>
      <c r="AE13" s="3">
        <v>49</v>
      </c>
      <c r="AF13" s="3">
        <v>53</v>
      </c>
      <c r="AG13" s="3">
        <v>16</v>
      </c>
      <c r="AH13" s="3">
        <v>14</v>
      </c>
      <c r="AI13" s="3">
        <v>25</v>
      </c>
      <c r="AJ13" s="3">
        <v>36</v>
      </c>
      <c r="AK13" s="3">
        <v>8</v>
      </c>
      <c r="AL13" s="3">
        <v>6</v>
      </c>
      <c r="AM13" s="3">
        <v>13</v>
      </c>
      <c r="AN13" s="3">
        <v>46</v>
      </c>
      <c r="AO13" s="3">
        <v>56</v>
      </c>
      <c r="AP13" s="3">
        <v>23</v>
      </c>
      <c r="AQ13" s="3">
        <v>12</v>
      </c>
      <c r="AR13" s="3">
        <v>45</v>
      </c>
      <c r="AS13" s="3">
        <v>23</v>
      </c>
    </row>
    <row r="14" spans="1:45">
      <c r="A14" s="288" t="s">
        <v>584</v>
      </c>
      <c r="B14" s="3">
        <v>40</v>
      </c>
      <c r="C14" s="3">
        <v>17</v>
      </c>
      <c r="D14" s="3">
        <v>39</v>
      </c>
      <c r="E14" s="3">
        <v>45</v>
      </c>
      <c r="F14" s="3">
        <v>25</v>
      </c>
      <c r="G14" s="3">
        <v>18</v>
      </c>
      <c r="H14" s="3">
        <v>3</v>
      </c>
      <c r="I14" s="3">
        <v>19</v>
      </c>
      <c r="J14" s="3">
        <v>48</v>
      </c>
      <c r="K14" s="3">
        <v>3</v>
      </c>
      <c r="L14" s="291"/>
      <c r="M14" s="3">
        <v>7</v>
      </c>
      <c r="N14" s="3">
        <v>10</v>
      </c>
      <c r="O14" s="3">
        <v>21</v>
      </c>
      <c r="P14" s="3">
        <v>44</v>
      </c>
      <c r="Q14" s="3">
        <v>30</v>
      </c>
      <c r="R14" s="3">
        <v>29</v>
      </c>
      <c r="S14" s="3">
        <v>22</v>
      </c>
      <c r="T14" s="3">
        <v>5</v>
      </c>
      <c r="U14" s="3">
        <v>34</v>
      </c>
      <c r="V14" s="3">
        <v>50</v>
      </c>
      <c r="W14" s="3">
        <v>3</v>
      </c>
      <c r="X14" s="3">
        <v>16</v>
      </c>
      <c r="Y14" s="3">
        <v>46</v>
      </c>
      <c r="Z14" s="3">
        <v>56</v>
      </c>
      <c r="AA14" s="3">
        <v>23</v>
      </c>
      <c r="AB14" s="3">
        <v>15</v>
      </c>
      <c r="AC14" s="3">
        <v>14</v>
      </c>
      <c r="AD14" s="3">
        <v>26</v>
      </c>
      <c r="AE14" s="3">
        <v>35</v>
      </c>
      <c r="AF14" s="3">
        <v>52</v>
      </c>
      <c r="AG14" s="3">
        <v>6</v>
      </c>
      <c r="AH14" s="3">
        <v>15</v>
      </c>
      <c r="AI14" s="3">
        <v>13</v>
      </c>
      <c r="AJ14" s="3">
        <v>42</v>
      </c>
      <c r="AK14" s="3">
        <v>54</v>
      </c>
      <c r="AL14" s="3">
        <v>13</v>
      </c>
      <c r="AM14" s="3">
        <v>46</v>
      </c>
      <c r="AN14" s="3">
        <v>56</v>
      </c>
      <c r="AO14" s="3">
        <v>23</v>
      </c>
      <c r="AP14" s="3">
        <v>12</v>
      </c>
      <c r="AQ14" s="3">
        <v>42</v>
      </c>
      <c r="AR14" s="3">
        <v>15</v>
      </c>
      <c r="AS14" s="3">
        <v>5</v>
      </c>
    </row>
    <row r="15" spans="1:45">
      <c r="A15" s="288" t="s">
        <v>585</v>
      </c>
      <c r="B15" s="3">
        <v>40</v>
      </c>
      <c r="C15" s="3">
        <v>44</v>
      </c>
      <c r="D15" s="3">
        <v>26</v>
      </c>
      <c r="E15" s="3">
        <v>32</v>
      </c>
      <c r="F15" s="3">
        <v>30</v>
      </c>
      <c r="G15" s="3">
        <v>24</v>
      </c>
      <c r="H15" s="3">
        <v>54</v>
      </c>
      <c r="I15" s="3">
        <v>4</v>
      </c>
      <c r="J15" s="3">
        <v>47</v>
      </c>
      <c r="K15" s="3">
        <v>20</v>
      </c>
      <c r="L15" s="3">
        <v>7</v>
      </c>
      <c r="M15" s="291"/>
      <c r="N15" s="3">
        <v>1</v>
      </c>
      <c r="O15" s="3">
        <v>20</v>
      </c>
      <c r="P15" s="3">
        <v>53</v>
      </c>
      <c r="Q15" s="3">
        <v>29</v>
      </c>
      <c r="R15" s="3">
        <v>18</v>
      </c>
      <c r="S15" s="3">
        <v>27</v>
      </c>
      <c r="T15" s="3">
        <v>52</v>
      </c>
      <c r="U15" s="3">
        <v>44</v>
      </c>
      <c r="V15" s="3">
        <v>29</v>
      </c>
      <c r="W15" s="3">
        <v>20</v>
      </c>
      <c r="X15" s="3">
        <v>36</v>
      </c>
      <c r="Y15" s="3">
        <v>5</v>
      </c>
      <c r="Z15" s="3">
        <v>42</v>
      </c>
      <c r="AA15" s="3">
        <v>36</v>
      </c>
      <c r="AB15" s="3">
        <v>56</v>
      </c>
      <c r="AC15" s="3">
        <v>23</v>
      </c>
      <c r="AD15" s="3">
        <v>45</v>
      </c>
      <c r="AE15" s="3">
        <v>16</v>
      </c>
      <c r="AF15" s="3">
        <v>2</v>
      </c>
      <c r="AG15" s="3">
        <v>53</v>
      </c>
      <c r="AH15" s="3">
        <v>42</v>
      </c>
      <c r="AI15" s="3">
        <v>16</v>
      </c>
      <c r="AJ15" s="3">
        <v>43</v>
      </c>
      <c r="AK15" s="3">
        <v>16</v>
      </c>
      <c r="AL15" s="3">
        <v>52</v>
      </c>
      <c r="AM15" s="3">
        <v>6</v>
      </c>
      <c r="AN15" s="3">
        <v>15</v>
      </c>
      <c r="AO15" s="3">
        <v>2</v>
      </c>
      <c r="AP15" s="3">
        <v>13</v>
      </c>
      <c r="AQ15" s="3">
        <v>15</v>
      </c>
      <c r="AR15" s="3">
        <v>56</v>
      </c>
      <c r="AS15" s="3">
        <v>29</v>
      </c>
    </row>
    <row r="16" spans="1:45">
      <c r="A16" s="288" t="s">
        <v>586</v>
      </c>
      <c r="B16" s="3">
        <v>41</v>
      </c>
      <c r="C16" s="3">
        <v>11</v>
      </c>
      <c r="D16" s="3">
        <v>11</v>
      </c>
      <c r="E16" s="3">
        <v>14</v>
      </c>
      <c r="F16" s="3">
        <v>1</v>
      </c>
      <c r="G16" s="3">
        <v>16</v>
      </c>
      <c r="H16" s="3">
        <v>50</v>
      </c>
      <c r="I16" s="3">
        <v>34</v>
      </c>
      <c r="J16" s="3">
        <v>31</v>
      </c>
      <c r="K16" s="3">
        <v>12</v>
      </c>
      <c r="L16" s="3">
        <v>10</v>
      </c>
      <c r="M16" s="3">
        <v>1</v>
      </c>
      <c r="N16" s="291"/>
      <c r="O16" s="3">
        <v>23</v>
      </c>
      <c r="P16" s="3">
        <v>10</v>
      </c>
      <c r="Q16" s="3">
        <v>49</v>
      </c>
      <c r="R16" s="3">
        <v>49</v>
      </c>
      <c r="S16" s="3">
        <v>4</v>
      </c>
      <c r="T16" s="3">
        <v>46</v>
      </c>
      <c r="U16" s="3">
        <v>38</v>
      </c>
      <c r="V16" s="3">
        <v>43</v>
      </c>
      <c r="W16" s="3">
        <v>6</v>
      </c>
      <c r="X16" s="3">
        <v>28</v>
      </c>
      <c r="Y16" s="3">
        <v>36</v>
      </c>
      <c r="Z16" s="3">
        <v>14</v>
      </c>
      <c r="AA16" s="3">
        <v>26</v>
      </c>
      <c r="AB16" s="3">
        <v>56</v>
      </c>
      <c r="AC16" s="3">
        <v>51</v>
      </c>
      <c r="AD16" s="3">
        <v>42</v>
      </c>
      <c r="AE16" s="3">
        <v>16</v>
      </c>
      <c r="AF16" s="3">
        <v>35</v>
      </c>
      <c r="AG16" s="3">
        <v>15</v>
      </c>
      <c r="AH16" s="3">
        <v>14</v>
      </c>
      <c r="AI16" s="3">
        <v>52</v>
      </c>
      <c r="AJ16" s="3">
        <v>13</v>
      </c>
      <c r="AK16" s="3">
        <v>46</v>
      </c>
      <c r="AL16" s="3">
        <v>51</v>
      </c>
      <c r="AM16" s="3">
        <v>5</v>
      </c>
      <c r="AN16" s="3">
        <v>19</v>
      </c>
      <c r="AO16" s="3">
        <v>27</v>
      </c>
      <c r="AP16" s="3">
        <v>38</v>
      </c>
      <c r="AQ16" s="3">
        <v>39</v>
      </c>
      <c r="AR16" s="3">
        <v>42</v>
      </c>
      <c r="AS16" s="3">
        <v>51</v>
      </c>
    </row>
    <row r="17" spans="1:45">
      <c r="A17" s="288" t="s">
        <v>587</v>
      </c>
      <c r="B17" s="3">
        <v>24</v>
      </c>
      <c r="C17" s="3">
        <v>50</v>
      </c>
      <c r="D17" s="3">
        <v>19</v>
      </c>
      <c r="E17" s="3">
        <v>13</v>
      </c>
      <c r="F17" s="3">
        <v>49</v>
      </c>
      <c r="G17" s="3">
        <v>44</v>
      </c>
      <c r="H17" s="3">
        <v>50</v>
      </c>
      <c r="I17" s="3">
        <v>46</v>
      </c>
      <c r="J17" s="3">
        <v>0</v>
      </c>
      <c r="K17" s="3">
        <v>45</v>
      </c>
      <c r="L17" s="3">
        <v>21</v>
      </c>
      <c r="M17" s="3">
        <v>20</v>
      </c>
      <c r="N17" s="3">
        <v>23</v>
      </c>
      <c r="O17" s="291"/>
      <c r="P17" s="3">
        <v>51</v>
      </c>
      <c r="Q17" s="3">
        <v>37</v>
      </c>
      <c r="R17" s="3">
        <v>45</v>
      </c>
      <c r="S17" s="3">
        <v>0</v>
      </c>
      <c r="T17" s="3">
        <v>48</v>
      </c>
      <c r="U17" s="3">
        <v>34</v>
      </c>
      <c r="V17" s="3">
        <v>2</v>
      </c>
      <c r="W17" s="3">
        <v>20</v>
      </c>
      <c r="X17" s="3">
        <v>53</v>
      </c>
      <c r="Y17" s="3">
        <v>14</v>
      </c>
      <c r="Z17" s="3">
        <v>25</v>
      </c>
      <c r="AA17" s="3">
        <v>36</v>
      </c>
      <c r="AB17" s="3">
        <v>51</v>
      </c>
      <c r="AC17" s="3">
        <v>42</v>
      </c>
      <c r="AD17" s="3">
        <v>15</v>
      </c>
      <c r="AE17" s="3">
        <v>46</v>
      </c>
      <c r="AF17" s="3">
        <v>15</v>
      </c>
      <c r="AG17" s="3">
        <v>32</v>
      </c>
      <c r="AH17" s="3">
        <v>35</v>
      </c>
      <c r="AI17" s="3">
        <v>24</v>
      </c>
      <c r="AJ17" s="3">
        <v>51</v>
      </c>
      <c r="AK17" s="3">
        <v>26</v>
      </c>
      <c r="AL17" s="3">
        <v>18</v>
      </c>
      <c r="AM17" s="3">
        <v>28</v>
      </c>
      <c r="AN17" s="3">
        <v>39</v>
      </c>
      <c r="AO17" s="3">
        <v>35</v>
      </c>
      <c r="AP17" s="3">
        <v>46</v>
      </c>
      <c r="AQ17" s="3">
        <v>15</v>
      </c>
      <c r="AR17" s="3">
        <v>51</v>
      </c>
      <c r="AS17" s="3">
        <v>59</v>
      </c>
    </row>
    <row r="18" spans="1:45">
      <c r="A18" s="288" t="s">
        <v>588</v>
      </c>
      <c r="B18" s="3">
        <v>23</v>
      </c>
      <c r="C18" s="3">
        <v>25</v>
      </c>
      <c r="D18" s="3">
        <v>20</v>
      </c>
      <c r="E18" s="3">
        <v>9</v>
      </c>
      <c r="F18" s="3">
        <v>42</v>
      </c>
      <c r="G18" s="3">
        <v>43</v>
      </c>
      <c r="H18" s="3">
        <v>50</v>
      </c>
      <c r="I18" s="3">
        <v>55</v>
      </c>
      <c r="J18" s="3">
        <v>36</v>
      </c>
      <c r="K18" s="3">
        <v>33</v>
      </c>
      <c r="L18" s="3">
        <v>44</v>
      </c>
      <c r="M18" s="3">
        <v>53</v>
      </c>
      <c r="N18" s="3">
        <v>10</v>
      </c>
      <c r="O18" s="3">
        <v>51</v>
      </c>
      <c r="P18" s="291"/>
      <c r="Q18" s="3">
        <v>18</v>
      </c>
      <c r="R18" s="3">
        <v>6</v>
      </c>
      <c r="S18" s="3">
        <v>32</v>
      </c>
      <c r="T18" s="3">
        <v>45</v>
      </c>
      <c r="U18" s="3">
        <v>29</v>
      </c>
      <c r="V18" s="3">
        <v>2</v>
      </c>
      <c r="W18" s="3">
        <v>44</v>
      </c>
      <c r="X18" s="3">
        <v>28</v>
      </c>
      <c r="Y18" s="3">
        <v>14</v>
      </c>
      <c r="Z18" s="3">
        <v>16</v>
      </c>
      <c r="AA18" s="3">
        <v>25</v>
      </c>
      <c r="AB18" s="3">
        <v>29</v>
      </c>
      <c r="AC18" s="3">
        <v>37</v>
      </c>
      <c r="AD18" s="3">
        <v>5</v>
      </c>
      <c r="AE18" s="3">
        <v>16</v>
      </c>
      <c r="AF18" s="3">
        <v>2</v>
      </c>
      <c r="AG18" s="3">
        <v>42</v>
      </c>
      <c r="AH18" s="3">
        <v>35</v>
      </c>
      <c r="AI18" s="3">
        <v>12</v>
      </c>
      <c r="AJ18" s="3">
        <v>30</v>
      </c>
      <c r="AK18" s="3">
        <v>51</v>
      </c>
      <c r="AL18" s="3">
        <v>20</v>
      </c>
      <c r="AM18" s="3">
        <v>42</v>
      </c>
      <c r="AN18" s="3">
        <v>60</v>
      </c>
      <c r="AO18" s="3">
        <v>15</v>
      </c>
      <c r="AP18" s="3">
        <v>28</v>
      </c>
      <c r="AQ18" s="3">
        <v>5</v>
      </c>
      <c r="AR18" s="3">
        <v>34</v>
      </c>
      <c r="AS18" s="3">
        <v>16</v>
      </c>
    </row>
    <row r="19" spans="1:45">
      <c r="A19" s="288" t="s">
        <v>589</v>
      </c>
      <c r="B19" s="3">
        <v>49</v>
      </c>
      <c r="C19" s="3">
        <v>44</v>
      </c>
      <c r="D19" s="3">
        <v>44</v>
      </c>
      <c r="E19" s="3">
        <v>8</v>
      </c>
      <c r="F19" s="3">
        <v>47</v>
      </c>
      <c r="G19" s="3">
        <v>38</v>
      </c>
      <c r="H19" s="3">
        <v>2</v>
      </c>
      <c r="I19" s="3">
        <v>23</v>
      </c>
      <c r="J19" s="3">
        <v>34</v>
      </c>
      <c r="K19" s="3">
        <v>40</v>
      </c>
      <c r="L19" s="3">
        <v>30</v>
      </c>
      <c r="M19" s="3">
        <v>29</v>
      </c>
      <c r="N19" s="3">
        <v>49</v>
      </c>
      <c r="O19" s="3">
        <v>37</v>
      </c>
      <c r="P19" s="3">
        <v>18</v>
      </c>
      <c r="Q19" s="291"/>
      <c r="R19" s="3">
        <v>12</v>
      </c>
      <c r="S19" s="3">
        <v>49</v>
      </c>
      <c r="T19" s="3">
        <v>46</v>
      </c>
      <c r="U19" s="3">
        <v>39</v>
      </c>
      <c r="V19" s="3">
        <v>2</v>
      </c>
      <c r="W19" s="3">
        <v>26</v>
      </c>
      <c r="X19" s="3">
        <v>36</v>
      </c>
      <c r="Y19" s="3">
        <v>15</v>
      </c>
      <c r="Z19" s="3">
        <v>42</v>
      </c>
      <c r="AA19" s="3">
        <v>26</v>
      </c>
      <c r="AB19" s="3">
        <v>45</v>
      </c>
      <c r="AC19" s="3">
        <v>8</v>
      </c>
      <c r="AD19" s="3">
        <v>10</v>
      </c>
      <c r="AE19" s="3">
        <v>34</v>
      </c>
      <c r="AF19" s="3">
        <v>25</v>
      </c>
      <c r="AG19" s="3">
        <v>6</v>
      </c>
      <c r="AH19" s="3">
        <v>14</v>
      </c>
      <c r="AI19" s="3">
        <v>24</v>
      </c>
      <c r="AJ19" s="3">
        <v>18</v>
      </c>
      <c r="AK19" s="3">
        <v>39</v>
      </c>
      <c r="AL19" s="3">
        <v>42</v>
      </c>
      <c r="AM19" s="3">
        <v>15</v>
      </c>
      <c r="AN19" s="3">
        <v>48</v>
      </c>
      <c r="AO19" s="3">
        <v>35</v>
      </c>
      <c r="AP19" s="3">
        <v>20</v>
      </c>
      <c r="AQ19" s="3">
        <v>31</v>
      </c>
      <c r="AR19" s="3">
        <v>45</v>
      </c>
      <c r="AS19" s="3">
        <v>6</v>
      </c>
    </row>
    <row r="20" spans="1:45">
      <c r="A20" s="288" t="s">
        <v>590</v>
      </c>
      <c r="B20" s="3">
        <v>9</v>
      </c>
      <c r="C20" s="3">
        <v>42</v>
      </c>
      <c r="D20" s="3">
        <v>54</v>
      </c>
      <c r="E20" s="3">
        <v>3</v>
      </c>
      <c r="F20" s="3">
        <v>2</v>
      </c>
      <c r="G20" s="3">
        <v>48</v>
      </c>
      <c r="H20" s="3">
        <v>15</v>
      </c>
      <c r="I20" s="3">
        <v>43</v>
      </c>
      <c r="J20" s="3">
        <v>41</v>
      </c>
      <c r="K20" s="3">
        <v>49</v>
      </c>
      <c r="L20" s="3">
        <v>29</v>
      </c>
      <c r="M20" s="3">
        <v>18</v>
      </c>
      <c r="N20" s="3">
        <v>49</v>
      </c>
      <c r="O20" s="3">
        <v>45</v>
      </c>
      <c r="P20" s="3">
        <v>6</v>
      </c>
      <c r="Q20" s="3">
        <v>12</v>
      </c>
      <c r="R20" s="291"/>
      <c r="S20" s="3">
        <v>30</v>
      </c>
      <c r="T20" s="3">
        <v>15</v>
      </c>
      <c r="U20" s="3">
        <v>17</v>
      </c>
      <c r="V20" s="3">
        <v>53</v>
      </c>
      <c r="W20" s="3">
        <v>54</v>
      </c>
      <c r="X20" s="3">
        <v>27</v>
      </c>
      <c r="Y20" s="3">
        <v>35</v>
      </c>
      <c r="Z20" s="3">
        <v>24</v>
      </c>
      <c r="AA20" s="3">
        <v>56</v>
      </c>
      <c r="AB20" s="3">
        <v>23</v>
      </c>
      <c r="AC20" s="3">
        <v>41</v>
      </c>
      <c r="AD20" s="3">
        <v>52</v>
      </c>
      <c r="AE20" s="3">
        <v>5</v>
      </c>
      <c r="AF20" s="3">
        <v>20</v>
      </c>
      <c r="AG20" s="3">
        <v>16</v>
      </c>
      <c r="AH20" s="3">
        <v>39</v>
      </c>
      <c r="AI20" s="3">
        <v>28</v>
      </c>
      <c r="AJ20" s="3">
        <v>1</v>
      </c>
      <c r="AK20" s="3">
        <v>33</v>
      </c>
      <c r="AL20" s="3">
        <v>15</v>
      </c>
      <c r="AM20" s="3">
        <v>24</v>
      </c>
      <c r="AN20" s="3">
        <v>16</v>
      </c>
      <c r="AO20" s="3">
        <v>42</v>
      </c>
      <c r="AP20" s="3">
        <v>51</v>
      </c>
      <c r="AQ20" s="3">
        <v>26</v>
      </c>
      <c r="AR20" s="3">
        <v>49</v>
      </c>
      <c r="AS20" s="3">
        <v>48</v>
      </c>
    </row>
    <row r="21" spans="1:45">
      <c r="A21" s="288" t="s">
        <v>591</v>
      </c>
      <c r="B21" s="3">
        <v>43</v>
      </c>
      <c r="C21" s="3">
        <v>16</v>
      </c>
      <c r="D21" s="3">
        <v>18</v>
      </c>
      <c r="E21" s="3">
        <v>46</v>
      </c>
      <c r="F21" s="3">
        <v>23</v>
      </c>
      <c r="G21" s="3">
        <v>14</v>
      </c>
      <c r="H21" s="3">
        <v>36</v>
      </c>
      <c r="I21" s="3">
        <v>5</v>
      </c>
      <c r="J21" s="3">
        <v>49</v>
      </c>
      <c r="K21" s="3">
        <v>35</v>
      </c>
      <c r="L21" s="3">
        <v>22</v>
      </c>
      <c r="M21" s="3">
        <v>27</v>
      </c>
      <c r="N21" s="3">
        <v>4</v>
      </c>
      <c r="O21" s="3">
        <v>0</v>
      </c>
      <c r="P21" s="3">
        <v>32</v>
      </c>
      <c r="Q21" s="3">
        <v>49</v>
      </c>
      <c r="R21" s="3">
        <v>30</v>
      </c>
      <c r="S21" s="291"/>
      <c r="T21" s="3">
        <v>12</v>
      </c>
      <c r="U21" s="3">
        <v>48</v>
      </c>
      <c r="V21" s="3">
        <v>13</v>
      </c>
      <c r="W21" s="3">
        <v>35</v>
      </c>
      <c r="X21" s="3">
        <v>34</v>
      </c>
      <c r="Y21" s="3">
        <v>15</v>
      </c>
      <c r="Z21" s="3">
        <v>29</v>
      </c>
      <c r="AA21" s="3">
        <v>41</v>
      </c>
      <c r="AB21" s="3">
        <v>6</v>
      </c>
      <c r="AC21" s="3">
        <v>25</v>
      </c>
      <c r="AD21" s="3">
        <v>34</v>
      </c>
      <c r="AE21" s="3">
        <v>18</v>
      </c>
      <c r="AF21" s="3">
        <v>29</v>
      </c>
      <c r="AG21" s="3">
        <v>24</v>
      </c>
      <c r="AH21" s="3">
        <v>53</v>
      </c>
      <c r="AI21" s="3">
        <v>42</v>
      </c>
      <c r="AJ21" s="3">
        <v>38</v>
      </c>
      <c r="AK21" s="3">
        <v>22</v>
      </c>
      <c r="AL21" s="3">
        <v>15</v>
      </c>
      <c r="AM21" s="3">
        <v>27</v>
      </c>
      <c r="AN21" s="3">
        <v>44</v>
      </c>
      <c r="AO21" s="3">
        <v>50</v>
      </c>
      <c r="AP21" s="3">
        <v>18</v>
      </c>
      <c r="AQ21" s="3">
        <v>19</v>
      </c>
      <c r="AR21" s="3">
        <v>35</v>
      </c>
      <c r="AS21" s="3">
        <v>25</v>
      </c>
    </row>
    <row r="22" spans="1:45">
      <c r="A22" s="288" t="s">
        <v>592</v>
      </c>
      <c r="B22" s="3">
        <v>54</v>
      </c>
      <c r="C22" s="3">
        <v>14</v>
      </c>
      <c r="D22" s="3">
        <v>53</v>
      </c>
      <c r="E22" s="3">
        <v>5</v>
      </c>
      <c r="F22" s="3">
        <v>20</v>
      </c>
      <c r="G22" s="3">
        <v>4</v>
      </c>
      <c r="H22" s="3">
        <v>27</v>
      </c>
      <c r="I22" s="3">
        <v>35</v>
      </c>
      <c r="J22" s="3">
        <v>54</v>
      </c>
      <c r="K22" s="3">
        <v>27</v>
      </c>
      <c r="L22" s="3">
        <v>5</v>
      </c>
      <c r="M22" s="3">
        <v>52</v>
      </c>
      <c r="N22" s="3">
        <v>46</v>
      </c>
      <c r="O22" s="3">
        <v>48</v>
      </c>
      <c r="P22" s="3">
        <v>45</v>
      </c>
      <c r="Q22" s="3">
        <v>46</v>
      </c>
      <c r="R22" s="3">
        <v>15</v>
      </c>
      <c r="S22" s="3">
        <v>12</v>
      </c>
      <c r="T22" s="291"/>
      <c r="U22" s="3">
        <v>20</v>
      </c>
      <c r="V22" s="3">
        <v>35</v>
      </c>
      <c r="W22" s="3">
        <v>48</v>
      </c>
      <c r="X22" s="3">
        <v>2</v>
      </c>
      <c r="Y22" s="3">
        <v>16</v>
      </c>
      <c r="Z22" s="3">
        <v>42</v>
      </c>
      <c r="AA22" s="3">
        <v>51</v>
      </c>
      <c r="AB22" s="3">
        <v>37</v>
      </c>
      <c r="AC22" s="3">
        <v>39</v>
      </c>
      <c r="AD22" s="3">
        <v>15</v>
      </c>
      <c r="AE22" s="3">
        <v>42</v>
      </c>
      <c r="AF22" s="3">
        <v>53</v>
      </c>
      <c r="AG22" s="3">
        <v>48</v>
      </c>
      <c r="AH22" s="3">
        <v>25</v>
      </c>
      <c r="AI22" s="3">
        <v>3</v>
      </c>
      <c r="AJ22" s="3">
        <v>14</v>
      </c>
      <c r="AK22" s="3">
        <v>20</v>
      </c>
      <c r="AL22" s="3">
        <v>34</v>
      </c>
      <c r="AM22" s="3">
        <v>16</v>
      </c>
      <c r="AN22" s="3">
        <v>51</v>
      </c>
      <c r="AO22" s="3">
        <v>24</v>
      </c>
      <c r="AP22" s="3">
        <v>52</v>
      </c>
      <c r="AQ22" s="3">
        <v>43</v>
      </c>
      <c r="AR22" s="3">
        <v>39</v>
      </c>
      <c r="AS22" s="3">
        <v>5</v>
      </c>
    </row>
    <row r="23" spans="1:45">
      <c r="A23" s="288" t="s">
        <v>593</v>
      </c>
      <c r="B23" s="3">
        <v>41</v>
      </c>
      <c r="C23" s="3">
        <v>14</v>
      </c>
      <c r="D23" s="3">
        <v>44</v>
      </c>
      <c r="E23" s="3">
        <v>18</v>
      </c>
      <c r="F23" s="3">
        <v>9</v>
      </c>
      <c r="G23" s="3">
        <v>42</v>
      </c>
      <c r="H23" s="3">
        <v>52</v>
      </c>
      <c r="I23" s="3">
        <v>2</v>
      </c>
      <c r="J23" s="3">
        <v>8</v>
      </c>
      <c r="K23" s="3">
        <v>40</v>
      </c>
      <c r="L23" s="3">
        <v>34</v>
      </c>
      <c r="M23" s="3">
        <v>44</v>
      </c>
      <c r="N23" s="3">
        <v>38</v>
      </c>
      <c r="O23" s="3">
        <v>34</v>
      </c>
      <c r="P23" s="3">
        <v>29</v>
      </c>
      <c r="Q23" s="3">
        <v>39</v>
      </c>
      <c r="R23" s="3">
        <v>17</v>
      </c>
      <c r="S23" s="3">
        <v>48</v>
      </c>
      <c r="T23" s="3">
        <v>20</v>
      </c>
      <c r="U23" s="291"/>
      <c r="V23" s="3">
        <v>52</v>
      </c>
      <c r="W23" s="3">
        <v>22</v>
      </c>
      <c r="X23" s="3">
        <v>53</v>
      </c>
      <c r="Y23" s="3">
        <v>14</v>
      </c>
      <c r="Z23" s="3">
        <v>16</v>
      </c>
      <c r="AA23" s="3">
        <v>25</v>
      </c>
      <c r="AB23" s="3">
        <v>34</v>
      </c>
      <c r="AC23" s="3">
        <v>16</v>
      </c>
      <c r="AD23" s="3">
        <v>24</v>
      </c>
      <c r="AE23" s="3">
        <v>51</v>
      </c>
      <c r="AF23" s="3">
        <v>4</v>
      </c>
      <c r="AG23" s="3">
        <v>34</v>
      </c>
      <c r="AH23" s="3">
        <v>8</v>
      </c>
      <c r="AI23" s="3">
        <v>10</v>
      </c>
      <c r="AJ23" s="3">
        <v>7</v>
      </c>
      <c r="AK23" s="3">
        <v>26</v>
      </c>
      <c r="AL23" s="3">
        <v>24</v>
      </c>
      <c r="AM23" s="3">
        <v>15</v>
      </c>
      <c r="AN23" s="3">
        <v>3</v>
      </c>
      <c r="AO23" s="3">
        <v>16</v>
      </c>
      <c r="AP23" s="3">
        <v>42</v>
      </c>
      <c r="AQ23" s="3">
        <v>51</v>
      </c>
      <c r="AR23" s="3">
        <v>34</v>
      </c>
      <c r="AS23" s="3">
        <v>59</v>
      </c>
    </row>
    <row r="24" spans="1:45">
      <c r="A24" s="288" t="s">
        <v>594</v>
      </c>
      <c r="B24" s="3">
        <v>16</v>
      </c>
      <c r="C24" s="3">
        <v>49</v>
      </c>
      <c r="D24" s="3">
        <v>16</v>
      </c>
      <c r="E24" s="3">
        <v>7</v>
      </c>
      <c r="F24" s="3">
        <v>11</v>
      </c>
      <c r="G24" s="3">
        <v>22</v>
      </c>
      <c r="H24" s="3">
        <v>26</v>
      </c>
      <c r="I24" s="3">
        <v>22</v>
      </c>
      <c r="J24" s="3">
        <v>43</v>
      </c>
      <c r="K24" s="3">
        <v>26</v>
      </c>
      <c r="L24" s="3">
        <v>50</v>
      </c>
      <c r="M24" s="3">
        <v>29</v>
      </c>
      <c r="N24" s="3">
        <v>43</v>
      </c>
      <c r="O24" s="3">
        <v>2</v>
      </c>
      <c r="P24" s="3">
        <v>2</v>
      </c>
      <c r="Q24" s="3">
        <v>2</v>
      </c>
      <c r="R24" s="3">
        <v>53</v>
      </c>
      <c r="S24" s="3">
        <v>13</v>
      </c>
      <c r="T24" s="3">
        <v>35</v>
      </c>
      <c r="U24" s="3">
        <v>52</v>
      </c>
      <c r="V24" s="291"/>
      <c r="W24" s="3">
        <v>41</v>
      </c>
      <c r="X24" s="3">
        <v>42</v>
      </c>
      <c r="Y24" s="3">
        <v>16</v>
      </c>
      <c r="Z24" s="3">
        <v>2</v>
      </c>
      <c r="AA24" s="3">
        <v>42</v>
      </c>
      <c r="AB24" s="3">
        <v>51</v>
      </c>
      <c r="AC24" s="3">
        <v>24</v>
      </c>
      <c r="AD24" s="3">
        <v>51</v>
      </c>
      <c r="AE24" s="3">
        <v>34</v>
      </c>
      <c r="AF24" s="3">
        <v>42</v>
      </c>
      <c r="AG24" s="3">
        <v>6</v>
      </c>
      <c r="AH24" s="3">
        <v>15</v>
      </c>
      <c r="AI24" s="3">
        <v>2</v>
      </c>
      <c r="AJ24" s="3">
        <v>35</v>
      </c>
      <c r="AK24" s="3">
        <v>16</v>
      </c>
      <c r="AL24" s="3">
        <v>24</v>
      </c>
      <c r="AM24" s="3">
        <v>29</v>
      </c>
      <c r="AN24" s="3">
        <v>35</v>
      </c>
      <c r="AO24" s="3">
        <v>7</v>
      </c>
      <c r="AP24" s="3">
        <v>39</v>
      </c>
      <c r="AQ24" s="3">
        <v>43</v>
      </c>
      <c r="AR24" s="3">
        <v>8</v>
      </c>
      <c r="AS24" s="3">
        <v>2</v>
      </c>
    </row>
    <row r="25" spans="1:45">
      <c r="A25" s="288" t="s">
        <v>595</v>
      </c>
      <c r="B25" s="3">
        <v>41</v>
      </c>
      <c r="C25" s="3">
        <v>15</v>
      </c>
      <c r="D25" s="3">
        <v>30</v>
      </c>
      <c r="E25" s="3">
        <v>43</v>
      </c>
      <c r="F25" s="3">
        <v>15</v>
      </c>
      <c r="G25" s="3">
        <v>7</v>
      </c>
      <c r="H25" s="3">
        <v>22</v>
      </c>
      <c r="I25" s="3">
        <v>39</v>
      </c>
      <c r="J25" s="3">
        <v>20</v>
      </c>
      <c r="K25" s="3">
        <v>53</v>
      </c>
      <c r="L25" s="3">
        <v>3</v>
      </c>
      <c r="M25" s="3">
        <v>20</v>
      </c>
      <c r="N25" s="3">
        <v>6</v>
      </c>
      <c r="O25" s="3">
        <v>20</v>
      </c>
      <c r="P25" s="3">
        <v>44</v>
      </c>
      <c r="Q25" s="3">
        <v>26</v>
      </c>
      <c r="R25" s="3">
        <v>54</v>
      </c>
      <c r="S25" s="3">
        <v>35</v>
      </c>
      <c r="T25" s="3">
        <v>48</v>
      </c>
      <c r="U25" s="3">
        <v>22</v>
      </c>
      <c r="V25" s="3">
        <v>41</v>
      </c>
      <c r="W25" s="291"/>
      <c r="X25" s="3">
        <v>9</v>
      </c>
      <c r="Y25" s="3">
        <v>3</v>
      </c>
      <c r="Z25" s="3">
        <v>16</v>
      </c>
      <c r="AA25" s="3">
        <v>42</v>
      </c>
      <c r="AB25" s="3">
        <v>51</v>
      </c>
      <c r="AC25" s="3">
        <v>36</v>
      </c>
      <c r="AD25" s="3">
        <v>49</v>
      </c>
      <c r="AE25" s="3">
        <v>24</v>
      </c>
      <c r="AF25" s="3">
        <v>36</v>
      </c>
      <c r="AG25" s="3">
        <v>24</v>
      </c>
      <c r="AH25" s="3">
        <v>16</v>
      </c>
      <c r="AI25" s="3">
        <v>56</v>
      </c>
      <c r="AJ25" s="3">
        <v>34</v>
      </c>
      <c r="AK25" s="3">
        <v>16</v>
      </c>
      <c r="AL25" s="3">
        <v>23</v>
      </c>
      <c r="AM25" s="3">
        <v>51</v>
      </c>
      <c r="AN25" s="3">
        <v>24</v>
      </c>
      <c r="AO25" s="3">
        <v>5</v>
      </c>
      <c r="AP25" s="3">
        <v>34</v>
      </c>
      <c r="AQ25" s="3">
        <v>19</v>
      </c>
      <c r="AR25" s="3">
        <v>27</v>
      </c>
      <c r="AS25" s="3">
        <v>55</v>
      </c>
    </row>
    <row r="26" spans="1:45">
      <c r="A26" s="288" t="s">
        <v>596</v>
      </c>
      <c r="B26" s="3">
        <v>32</v>
      </c>
      <c r="C26" s="3">
        <v>52</v>
      </c>
      <c r="D26" s="3">
        <v>20</v>
      </c>
      <c r="E26" s="3">
        <v>40</v>
      </c>
      <c r="F26" s="3">
        <v>25</v>
      </c>
      <c r="G26" s="3">
        <v>26</v>
      </c>
      <c r="H26" s="3">
        <v>51</v>
      </c>
      <c r="I26" s="3">
        <v>24</v>
      </c>
      <c r="J26" s="3">
        <v>34</v>
      </c>
      <c r="K26" s="3">
        <v>36</v>
      </c>
      <c r="L26" s="3">
        <v>16</v>
      </c>
      <c r="M26" s="3">
        <v>45</v>
      </c>
      <c r="N26" s="3">
        <v>28</v>
      </c>
      <c r="O26" s="3">
        <v>53</v>
      </c>
      <c r="P26" s="3">
        <v>15</v>
      </c>
      <c r="Q26" s="3">
        <v>36</v>
      </c>
      <c r="R26" s="3">
        <v>27</v>
      </c>
      <c r="S26" s="3">
        <v>34</v>
      </c>
      <c r="T26" s="3">
        <v>2</v>
      </c>
      <c r="U26" s="3">
        <v>53</v>
      </c>
      <c r="V26" s="3">
        <v>42</v>
      </c>
      <c r="W26" s="3">
        <v>9</v>
      </c>
      <c r="X26" s="292"/>
      <c r="Y26" s="3">
        <v>26</v>
      </c>
      <c r="Z26" s="3">
        <v>35</v>
      </c>
      <c r="AA26" s="3">
        <v>16</v>
      </c>
      <c r="AB26" s="3">
        <v>20</v>
      </c>
      <c r="AC26" s="3">
        <v>51</v>
      </c>
      <c r="AD26" s="3">
        <v>34</v>
      </c>
      <c r="AE26" s="3">
        <v>15</v>
      </c>
      <c r="AF26" s="3">
        <v>20</v>
      </c>
      <c r="AG26" s="3">
        <v>30</v>
      </c>
      <c r="AH26" s="3">
        <v>14</v>
      </c>
      <c r="AI26" s="3">
        <v>52</v>
      </c>
      <c r="AJ26" s="3">
        <v>41</v>
      </c>
      <c r="AK26" s="3">
        <v>34</v>
      </c>
      <c r="AL26" s="3">
        <v>35</v>
      </c>
      <c r="AM26" s="3">
        <v>26</v>
      </c>
      <c r="AN26" s="3">
        <v>14</v>
      </c>
      <c r="AO26" s="3">
        <v>5</v>
      </c>
      <c r="AP26" s="3">
        <v>36</v>
      </c>
      <c r="AQ26" s="3">
        <v>24</v>
      </c>
      <c r="AR26" s="3">
        <v>16</v>
      </c>
      <c r="AS26" s="3">
        <v>25</v>
      </c>
    </row>
    <row r="27" spans="1:45">
      <c r="A27" s="288" t="s">
        <v>597</v>
      </c>
      <c r="B27" s="3">
        <v>15</v>
      </c>
      <c r="C27" s="3">
        <v>49</v>
      </c>
      <c r="D27" s="3">
        <v>15</v>
      </c>
      <c r="E27" s="3">
        <v>16</v>
      </c>
      <c r="F27" s="3">
        <v>36</v>
      </c>
      <c r="G27" s="3">
        <v>24</v>
      </c>
      <c r="H27" s="3">
        <v>46</v>
      </c>
      <c r="I27" s="3">
        <v>16</v>
      </c>
      <c r="J27" s="3">
        <v>42</v>
      </c>
      <c r="K27" s="3">
        <v>15</v>
      </c>
      <c r="L27" s="3">
        <v>46</v>
      </c>
      <c r="M27" s="3">
        <v>5</v>
      </c>
      <c r="N27" s="3">
        <v>36</v>
      </c>
      <c r="O27" s="3">
        <v>14</v>
      </c>
      <c r="P27" s="3">
        <v>14</v>
      </c>
      <c r="Q27" s="3">
        <v>15</v>
      </c>
      <c r="R27" s="3">
        <v>35</v>
      </c>
      <c r="S27" s="3">
        <v>15</v>
      </c>
      <c r="T27" s="3">
        <v>16</v>
      </c>
      <c r="U27" s="3">
        <v>14</v>
      </c>
      <c r="V27" s="3">
        <v>16</v>
      </c>
      <c r="W27" s="3">
        <v>3</v>
      </c>
      <c r="X27" s="3">
        <v>26</v>
      </c>
      <c r="Y27" s="291"/>
      <c r="Z27" s="3">
        <v>52</v>
      </c>
      <c r="AA27" s="3">
        <v>16</v>
      </c>
      <c r="AB27" s="3">
        <v>24</v>
      </c>
      <c r="AC27" s="3">
        <v>35</v>
      </c>
      <c r="AD27" s="3">
        <v>29</v>
      </c>
      <c r="AE27" s="3">
        <v>42</v>
      </c>
      <c r="AF27" s="3">
        <v>38</v>
      </c>
      <c r="AG27" s="3">
        <v>8</v>
      </c>
      <c r="AH27" s="3">
        <v>5</v>
      </c>
      <c r="AI27" s="3">
        <v>24</v>
      </c>
      <c r="AJ27" s="3">
        <v>36</v>
      </c>
      <c r="AK27" s="3">
        <v>27</v>
      </c>
      <c r="AL27" s="3">
        <v>19</v>
      </c>
      <c r="AM27" s="3">
        <v>38</v>
      </c>
      <c r="AN27" s="3">
        <v>29</v>
      </c>
      <c r="AO27" s="3">
        <v>27</v>
      </c>
      <c r="AP27" s="3">
        <v>5</v>
      </c>
      <c r="AQ27" s="3">
        <v>39</v>
      </c>
      <c r="AR27" s="3">
        <v>29</v>
      </c>
      <c r="AS27" s="3">
        <v>14</v>
      </c>
    </row>
    <row r="28" spans="1:45">
      <c r="A28" s="288" t="s">
        <v>598</v>
      </c>
      <c r="B28" s="3">
        <v>24</v>
      </c>
      <c r="C28" s="3">
        <v>36</v>
      </c>
      <c r="D28" s="3">
        <v>16</v>
      </c>
      <c r="E28" s="3">
        <v>25</v>
      </c>
      <c r="F28" s="3">
        <v>19</v>
      </c>
      <c r="G28" s="3">
        <v>46</v>
      </c>
      <c r="H28" s="3">
        <v>18</v>
      </c>
      <c r="I28" s="3">
        <v>34</v>
      </c>
      <c r="J28" s="3">
        <v>29</v>
      </c>
      <c r="K28" s="3">
        <v>45</v>
      </c>
      <c r="L28" s="3">
        <v>56</v>
      </c>
      <c r="M28" s="3">
        <v>42</v>
      </c>
      <c r="N28" s="3">
        <v>14</v>
      </c>
      <c r="O28" s="3">
        <v>25</v>
      </c>
      <c r="P28" s="3">
        <v>16</v>
      </c>
      <c r="Q28" s="3">
        <v>42</v>
      </c>
      <c r="R28" s="3">
        <v>24</v>
      </c>
      <c r="S28" s="3">
        <v>29</v>
      </c>
      <c r="T28" s="3">
        <v>42</v>
      </c>
      <c r="U28" s="3">
        <v>16</v>
      </c>
      <c r="V28" s="3">
        <v>2</v>
      </c>
      <c r="W28" s="3">
        <v>16</v>
      </c>
      <c r="X28" s="3">
        <v>35</v>
      </c>
      <c r="Y28" s="3">
        <v>52</v>
      </c>
      <c r="Z28" s="291"/>
      <c r="AA28" s="3">
        <v>39</v>
      </c>
      <c r="AB28" s="3">
        <v>45</v>
      </c>
      <c r="AC28" s="3">
        <v>26</v>
      </c>
      <c r="AD28" s="3">
        <v>15</v>
      </c>
      <c r="AE28" s="3">
        <v>34</v>
      </c>
      <c r="AF28" s="3">
        <v>15</v>
      </c>
      <c r="AG28" s="3">
        <v>26</v>
      </c>
      <c r="AH28" s="3">
        <v>23</v>
      </c>
      <c r="AI28" s="3">
        <v>1</v>
      </c>
      <c r="AJ28" s="3">
        <v>25</v>
      </c>
      <c r="AK28" s="3">
        <v>34</v>
      </c>
      <c r="AL28" s="3">
        <v>16</v>
      </c>
      <c r="AM28" s="3">
        <v>24</v>
      </c>
      <c r="AN28" s="3">
        <v>52</v>
      </c>
      <c r="AO28" s="3">
        <v>10</v>
      </c>
      <c r="AP28" s="3">
        <v>6</v>
      </c>
      <c r="AQ28" s="3">
        <v>27</v>
      </c>
      <c r="AR28" s="3">
        <v>19</v>
      </c>
      <c r="AS28" s="3">
        <v>38</v>
      </c>
    </row>
    <row r="29" spans="1:45">
      <c r="A29" s="288" t="s">
        <v>599</v>
      </c>
      <c r="B29" s="3">
        <v>8</v>
      </c>
      <c r="C29" s="3">
        <v>15</v>
      </c>
      <c r="D29" s="3">
        <v>34</v>
      </c>
      <c r="E29" s="3">
        <v>18</v>
      </c>
      <c r="F29" s="3">
        <v>48</v>
      </c>
      <c r="G29" s="3">
        <v>24</v>
      </c>
      <c r="H29" s="3">
        <v>35</v>
      </c>
      <c r="I29" s="3">
        <v>56</v>
      </c>
      <c r="J29" s="3">
        <v>38</v>
      </c>
      <c r="K29" s="3">
        <v>7</v>
      </c>
      <c r="L29" s="3">
        <v>23</v>
      </c>
      <c r="M29" s="3">
        <v>36</v>
      </c>
      <c r="N29" s="3">
        <v>26</v>
      </c>
      <c r="O29" s="3">
        <v>36</v>
      </c>
      <c r="P29" s="3">
        <v>25</v>
      </c>
      <c r="Q29" s="3">
        <v>26</v>
      </c>
      <c r="R29" s="3">
        <v>56</v>
      </c>
      <c r="S29" s="3">
        <v>41</v>
      </c>
      <c r="T29" s="3">
        <v>51</v>
      </c>
      <c r="U29" s="3">
        <v>25</v>
      </c>
      <c r="V29" s="3">
        <v>42</v>
      </c>
      <c r="W29" s="3">
        <v>26</v>
      </c>
      <c r="X29" s="3">
        <v>16</v>
      </c>
      <c r="Y29" s="3">
        <v>16</v>
      </c>
      <c r="Z29" s="3">
        <v>39</v>
      </c>
      <c r="AA29" s="291"/>
      <c r="AB29" s="3">
        <v>26</v>
      </c>
      <c r="AC29" s="3">
        <v>24</v>
      </c>
      <c r="AD29" s="3">
        <v>15</v>
      </c>
      <c r="AE29" s="3">
        <v>5</v>
      </c>
      <c r="AF29" s="3">
        <v>34</v>
      </c>
      <c r="AG29" s="3">
        <v>19</v>
      </c>
      <c r="AH29" s="3">
        <v>27</v>
      </c>
      <c r="AI29" s="3">
        <v>16</v>
      </c>
      <c r="AJ29" s="3">
        <v>28</v>
      </c>
      <c r="AK29" s="3">
        <v>51</v>
      </c>
      <c r="AL29" s="3">
        <v>42</v>
      </c>
      <c r="AM29" s="3">
        <v>34</v>
      </c>
      <c r="AN29" s="3">
        <v>15</v>
      </c>
      <c r="AO29" s="3">
        <v>16</v>
      </c>
      <c r="AP29" s="3">
        <v>19</v>
      </c>
      <c r="AQ29" s="3">
        <v>51</v>
      </c>
      <c r="AR29" s="3">
        <v>4</v>
      </c>
      <c r="AS29" s="3">
        <v>18</v>
      </c>
    </row>
    <row r="30" spans="1:45">
      <c r="A30" s="288" t="s">
        <v>600</v>
      </c>
      <c r="B30" s="3">
        <v>25</v>
      </c>
      <c r="C30" s="3">
        <v>17</v>
      </c>
      <c r="D30" s="3">
        <v>28</v>
      </c>
      <c r="E30" s="3">
        <v>3</v>
      </c>
      <c r="F30" s="3">
        <v>7</v>
      </c>
      <c r="G30" s="3">
        <v>20</v>
      </c>
      <c r="H30" s="3">
        <v>16</v>
      </c>
      <c r="I30" s="3">
        <v>24</v>
      </c>
      <c r="J30" s="3">
        <v>17</v>
      </c>
      <c r="K30" s="3">
        <v>26</v>
      </c>
      <c r="L30" s="3">
        <v>15</v>
      </c>
      <c r="M30" s="3">
        <v>56</v>
      </c>
      <c r="N30" s="3">
        <v>56</v>
      </c>
      <c r="O30" s="3">
        <v>51</v>
      </c>
      <c r="P30" s="3">
        <v>29</v>
      </c>
      <c r="Q30" s="3">
        <v>45</v>
      </c>
      <c r="R30" s="3">
        <v>23</v>
      </c>
      <c r="S30" s="3">
        <v>6</v>
      </c>
      <c r="T30" s="3">
        <v>37</v>
      </c>
      <c r="U30" s="3">
        <v>34</v>
      </c>
      <c r="V30" s="3">
        <v>46</v>
      </c>
      <c r="W30" s="3">
        <v>51</v>
      </c>
      <c r="X30" s="3">
        <v>20</v>
      </c>
      <c r="Y30" s="3">
        <v>24</v>
      </c>
      <c r="Z30" s="3">
        <v>45</v>
      </c>
      <c r="AA30" s="3">
        <v>26</v>
      </c>
      <c r="AB30" s="291"/>
      <c r="AC30" s="3">
        <v>51</v>
      </c>
      <c r="AD30" s="3">
        <v>24</v>
      </c>
      <c r="AE30" s="3">
        <v>6</v>
      </c>
      <c r="AF30" s="3">
        <v>19</v>
      </c>
      <c r="AG30" s="3">
        <v>37</v>
      </c>
      <c r="AH30" s="3">
        <v>27</v>
      </c>
      <c r="AI30" s="3">
        <v>25</v>
      </c>
      <c r="AJ30" s="3">
        <v>18</v>
      </c>
      <c r="AK30" s="3">
        <v>24</v>
      </c>
      <c r="AL30" s="3">
        <v>16</v>
      </c>
      <c r="AM30" s="3">
        <v>25</v>
      </c>
      <c r="AN30" s="3">
        <v>19</v>
      </c>
      <c r="AO30" s="3">
        <v>38</v>
      </c>
      <c r="AP30" s="3">
        <v>16</v>
      </c>
      <c r="AQ30" s="3">
        <v>42</v>
      </c>
      <c r="AR30" s="3">
        <v>51</v>
      </c>
      <c r="AS30" s="3">
        <v>26</v>
      </c>
    </row>
    <row r="31" spans="1:45">
      <c r="A31" s="288" t="s">
        <v>601</v>
      </c>
      <c r="B31" s="3">
        <v>37</v>
      </c>
      <c r="C31" s="3">
        <v>8</v>
      </c>
      <c r="D31" s="3">
        <v>19</v>
      </c>
      <c r="E31" s="3">
        <v>45</v>
      </c>
      <c r="F31" s="3">
        <v>12</v>
      </c>
      <c r="G31" s="3">
        <v>16</v>
      </c>
      <c r="H31" s="3">
        <v>42</v>
      </c>
      <c r="I31" s="3">
        <v>16</v>
      </c>
      <c r="J31" s="3">
        <v>26</v>
      </c>
      <c r="K31" s="3">
        <v>38</v>
      </c>
      <c r="L31" s="3">
        <v>14</v>
      </c>
      <c r="M31" s="3">
        <v>23</v>
      </c>
      <c r="N31" s="3">
        <v>51</v>
      </c>
      <c r="O31" s="3">
        <v>42</v>
      </c>
      <c r="P31" s="3">
        <v>37</v>
      </c>
      <c r="Q31" s="3">
        <v>8</v>
      </c>
      <c r="R31" s="3">
        <v>41</v>
      </c>
      <c r="S31" s="3">
        <v>25</v>
      </c>
      <c r="T31" s="3">
        <v>39</v>
      </c>
      <c r="U31" s="3">
        <v>16</v>
      </c>
      <c r="V31" s="3">
        <v>24</v>
      </c>
      <c r="W31" s="3">
        <v>36</v>
      </c>
      <c r="X31" s="3">
        <v>51</v>
      </c>
      <c r="Y31" s="3">
        <v>35</v>
      </c>
      <c r="Z31" s="3">
        <v>26</v>
      </c>
      <c r="AA31" s="3">
        <v>24</v>
      </c>
      <c r="AB31" s="3">
        <v>51</v>
      </c>
      <c r="AC31" s="291"/>
      <c r="AD31" s="3">
        <v>36</v>
      </c>
      <c r="AE31" s="3">
        <v>28</v>
      </c>
      <c r="AF31" s="3">
        <v>19</v>
      </c>
      <c r="AG31" s="3">
        <v>27</v>
      </c>
      <c r="AH31" s="3">
        <v>34</v>
      </c>
      <c r="AI31" s="3">
        <v>51</v>
      </c>
      <c r="AJ31" s="3">
        <v>2</v>
      </c>
      <c r="AK31" s="3">
        <v>6</v>
      </c>
      <c r="AL31" s="3">
        <v>18</v>
      </c>
      <c r="AM31" s="3">
        <v>20</v>
      </c>
      <c r="AN31" s="3">
        <v>34</v>
      </c>
      <c r="AO31" s="3">
        <v>50</v>
      </c>
      <c r="AP31" s="3">
        <v>18</v>
      </c>
      <c r="AQ31" s="3">
        <v>27</v>
      </c>
      <c r="AR31" s="3">
        <v>10</v>
      </c>
      <c r="AS31" s="3">
        <v>28</v>
      </c>
    </row>
    <row r="32" spans="1:45">
      <c r="A32" s="288" t="s">
        <v>602</v>
      </c>
      <c r="B32" s="3">
        <v>49</v>
      </c>
      <c r="C32" s="3">
        <v>26</v>
      </c>
      <c r="D32" s="3">
        <v>7</v>
      </c>
      <c r="E32" s="3">
        <v>4</v>
      </c>
      <c r="F32" s="3">
        <v>35</v>
      </c>
      <c r="G32" s="3">
        <v>19</v>
      </c>
      <c r="H32" s="3">
        <v>18</v>
      </c>
      <c r="I32" s="3">
        <v>25</v>
      </c>
      <c r="J32" s="3">
        <v>24</v>
      </c>
      <c r="K32" s="3">
        <v>15</v>
      </c>
      <c r="L32" s="3">
        <v>26</v>
      </c>
      <c r="M32" s="3">
        <v>45</v>
      </c>
      <c r="N32" s="3">
        <v>42</v>
      </c>
      <c r="O32" s="3">
        <v>15</v>
      </c>
      <c r="P32" s="3">
        <v>5</v>
      </c>
      <c r="Q32" s="3">
        <v>10</v>
      </c>
      <c r="R32" s="3">
        <v>52</v>
      </c>
      <c r="S32" s="3">
        <v>34</v>
      </c>
      <c r="T32" s="3">
        <v>15</v>
      </c>
      <c r="U32" s="3">
        <v>24</v>
      </c>
      <c r="V32" s="3">
        <v>51</v>
      </c>
      <c r="W32" s="3">
        <v>49</v>
      </c>
      <c r="X32" s="3">
        <v>34</v>
      </c>
      <c r="Y32" s="3">
        <v>29</v>
      </c>
      <c r="Z32" s="3">
        <v>15</v>
      </c>
      <c r="AA32" s="3">
        <v>15</v>
      </c>
      <c r="AB32" s="3">
        <v>24</v>
      </c>
      <c r="AC32" s="3">
        <v>36</v>
      </c>
      <c r="AD32" s="291"/>
      <c r="AE32" s="3">
        <v>20</v>
      </c>
      <c r="AF32" s="3">
        <v>16</v>
      </c>
      <c r="AG32" s="3">
        <v>34</v>
      </c>
      <c r="AH32" s="3">
        <v>9</v>
      </c>
      <c r="AI32" s="3">
        <v>10</v>
      </c>
      <c r="AJ32" s="3">
        <v>25</v>
      </c>
      <c r="AK32" s="3">
        <v>16</v>
      </c>
      <c r="AL32" s="3">
        <v>34</v>
      </c>
      <c r="AM32" s="3">
        <v>18</v>
      </c>
      <c r="AN32" s="3">
        <v>29</v>
      </c>
      <c r="AO32" s="3">
        <v>37</v>
      </c>
      <c r="AP32" s="3">
        <v>27</v>
      </c>
      <c r="AQ32" s="3">
        <v>18</v>
      </c>
      <c r="AR32" s="3">
        <v>20</v>
      </c>
      <c r="AS32" s="3">
        <v>16</v>
      </c>
    </row>
    <row r="33" spans="1:45">
      <c r="A33" s="288" t="s">
        <v>603</v>
      </c>
      <c r="B33" s="3">
        <v>52</v>
      </c>
      <c r="C33" s="3">
        <v>41</v>
      </c>
      <c r="D33" s="3">
        <v>25</v>
      </c>
      <c r="E33" s="3">
        <v>48</v>
      </c>
      <c r="F33" s="3">
        <v>43</v>
      </c>
      <c r="G33" s="3">
        <v>45</v>
      </c>
      <c r="H33" s="3">
        <v>27</v>
      </c>
      <c r="I33" s="3">
        <v>9</v>
      </c>
      <c r="J33" s="3">
        <v>19</v>
      </c>
      <c r="K33" s="3">
        <v>49</v>
      </c>
      <c r="L33" s="3">
        <v>35</v>
      </c>
      <c r="M33" s="3">
        <v>16</v>
      </c>
      <c r="N33" s="3">
        <v>16</v>
      </c>
      <c r="O33" s="3">
        <v>46</v>
      </c>
      <c r="P33" s="3">
        <v>16</v>
      </c>
      <c r="Q33" s="3">
        <v>34</v>
      </c>
      <c r="R33" s="3">
        <v>5</v>
      </c>
      <c r="S33" s="3">
        <v>18</v>
      </c>
      <c r="T33" s="3">
        <v>42</v>
      </c>
      <c r="U33" s="3">
        <v>51</v>
      </c>
      <c r="V33" s="3">
        <v>34</v>
      </c>
      <c r="W33" s="3">
        <v>24</v>
      </c>
      <c r="X33" s="3">
        <v>15</v>
      </c>
      <c r="Y33" s="3">
        <v>42</v>
      </c>
      <c r="Z33" s="3">
        <v>34</v>
      </c>
      <c r="AA33" s="3">
        <v>5</v>
      </c>
      <c r="AB33" s="3">
        <v>6</v>
      </c>
      <c r="AC33" s="3">
        <v>28</v>
      </c>
      <c r="AD33" s="3">
        <v>20</v>
      </c>
      <c r="AE33" s="291"/>
      <c r="AF33" s="3">
        <v>34</v>
      </c>
      <c r="AG33" s="3">
        <v>21</v>
      </c>
      <c r="AH33" s="3">
        <v>15</v>
      </c>
      <c r="AI33" s="3">
        <v>36</v>
      </c>
      <c r="AJ33" s="3">
        <v>10</v>
      </c>
      <c r="AK33" s="3">
        <v>9</v>
      </c>
      <c r="AL33" s="3">
        <v>8</v>
      </c>
      <c r="AM33" s="3">
        <v>37</v>
      </c>
      <c r="AN33" s="3">
        <v>19</v>
      </c>
      <c r="AO33" s="3">
        <v>27</v>
      </c>
      <c r="AP33" s="3">
        <v>18</v>
      </c>
      <c r="AQ33" s="3">
        <v>52</v>
      </c>
      <c r="AR33" s="3">
        <v>46</v>
      </c>
      <c r="AS33" s="3">
        <v>2</v>
      </c>
    </row>
    <row r="34" spans="1:45">
      <c r="A34" s="288" t="s">
        <v>604</v>
      </c>
      <c r="B34" s="3">
        <v>14</v>
      </c>
      <c r="C34" s="3">
        <v>39</v>
      </c>
      <c r="D34" s="3">
        <v>37</v>
      </c>
      <c r="E34" s="3">
        <v>18</v>
      </c>
      <c r="F34" s="3">
        <v>19</v>
      </c>
      <c r="G34" s="3">
        <v>7</v>
      </c>
      <c r="H34" s="3">
        <v>6</v>
      </c>
      <c r="I34" s="3">
        <v>15</v>
      </c>
      <c r="J34" s="3">
        <v>5</v>
      </c>
      <c r="K34" s="3">
        <v>53</v>
      </c>
      <c r="L34" s="3">
        <v>52</v>
      </c>
      <c r="M34" s="3">
        <v>2</v>
      </c>
      <c r="N34" s="3">
        <v>35</v>
      </c>
      <c r="O34" s="3">
        <v>15</v>
      </c>
      <c r="P34" s="3">
        <v>2</v>
      </c>
      <c r="Q34" s="3">
        <v>25</v>
      </c>
      <c r="R34" s="3">
        <v>20</v>
      </c>
      <c r="S34" s="3">
        <v>29</v>
      </c>
      <c r="T34" s="3">
        <v>53</v>
      </c>
      <c r="U34" s="3">
        <v>4</v>
      </c>
      <c r="V34" s="3">
        <v>42</v>
      </c>
      <c r="W34" s="3">
        <v>36</v>
      </c>
      <c r="X34" s="3">
        <v>20</v>
      </c>
      <c r="Y34" s="3">
        <v>38</v>
      </c>
      <c r="Z34" s="3">
        <v>15</v>
      </c>
      <c r="AA34" s="3">
        <v>34</v>
      </c>
      <c r="AB34" s="3">
        <v>19</v>
      </c>
      <c r="AC34" s="3">
        <v>19</v>
      </c>
      <c r="AD34" s="3">
        <v>16</v>
      </c>
      <c r="AE34" s="3">
        <v>34</v>
      </c>
      <c r="AF34" s="291"/>
      <c r="AG34" s="3">
        <v>7</v>
      </c>
      <c r="AH34" s="3">
        <v>41</v>
      </c>
      <c r="AI34" s="3">
        <v>26</v>
      </c>
      <c r="AJ34" s="3">
        <v>34</v>
      </c>
      <c r="AK34" s="3">
        <v>51</v>
      </c>
      <c r="AL34" s="3">
        <v>18</v>
      </c>
      <c r="AM34" s="3">
        <v>20</v>
      </c>
      <c r="AN34" s="3">
        <v>13</v>
      </c>
      <c r="AO34" s="3">
        <v>9</v>
      </c>
      <c r="AP34" s="3">
        <v>25</v>
      </c>
      <c r="AQ34" s="3">
        <v>14</v>
      </c>
      <c r="AR34" s="3">
        <v>24</v>
      </c>
      <c r="AS34" s="3">
        <v>51</v>
      </c>
    </row>
    <row r="35" spans="1:45">
      <c r="A35" s="288" t="s">
        <v>605</v>
      </c>
      <c r="B35" s="3">
        <v>2</v>
      </c>
      <c r="C35" s="3">
        <v>20</v>
      </c>
      <c r="D35" s="3">
        <v>46</v>
      </c>
      <c r="E35" s="3">
        <v>56</v>
      </c>
      <c r="F35" s="3">
        <v>20</v>
      </c>
      <c r="G35" s="3">
        <v>13</v>
      </c>
      <c r="H35" s="3">
        <v>54</v>
      </c>
      <c r="I35" s="3">
        <v>6</v>
      </c>
      <c r="J35" s="3">
        <v>34</v>
      </c>
      <c r="K35" s="3">
        <v>16</v>
      </c>
      <c r="L35" s="3">
        <v>6</v>
      </c>
      <c r="M35" s="3">
        <v>53</v>
      </c>
      <c r="N35" s="3">
        <v>15</v>
      </c>
      <c r="O35" s="3">
        <v>32</v>
      </c>
      <c r="P35" s="3">
        <v>42</v>
      </c>
      <c r="Q35" s="3">
        <v>6</v>
      </c>
      <c r="R35" s="3">
        <v>16</v>
      </c>
      <c r="S35" s="3">
        <v>24</v>
      </c>
      <c r="T35" s="3">
        <v>48</v>
      </c>
      <c r="U35" s="3">
        <v>34</v>
      </c>
      <c r="V35" s="3">
        <v>6</v>
      </c>
      <c r="W35" s="3">
        <v>24</v>
      </c>
      <c r="X35" s="3">
        <v>30</v>
      </c>
      <c r="Y35" s="3">
        <v>8</v>
      </c>
      <c r="Z35" s="3">
        <v>26</v>
      </c>
      <c r="AA35" s="3">
        <v>19</v>
      </c>
      <c r="AB35" s="3">
        <v>37</v>
      </c>
      <c r="AC35" s="3">
        <v>27</v>
      </c>
      <c r="AD35" s="3">
        <v>34</v>
      </c>
      <c r="AE35" s="3">
        <v>21</v>
      </c>
      <c r="AF35" s="3">
        <v>7</v>
      </c>
      <c r="AG35" s="291"/>
      <c r="AH35" s="3">
        <v>52</v>
      </c>
      <c r="AI35" s="3">
        <v>16</v>
      </c>
      <c r="AJ35" s="3">
        <v>27</v>
      </c>
      <c r="AK35" s="3">
        <v>45</v>
      </c>
      <c r="AL35" s="3">
        <v>29</v>
      </c>
      <c r="AM35" s="3">
        <v>16</v>
      </c>
      <c r="AN35" s="3">
        <v>25</v>
      </c>
      <c r="AO35" s="3">
        <v>42</v>
      </c>
      <c r="AP35" s="3">
        <v>18</v>
      </c>
      <c r="AQ35" s="3">
        <v>20</v>
      </c>
      <c r="AR35" s="3">
        <v>13</v>
      </c>
      <c r="AS35" s="3">
        <v>6</v>
      </c>
    </row>
    <row r="36" spans="1:45">
      <c r="A36" s="288" t="s">
        <v>606</v>
      </c>
      <c r="B36" s="3">
        <v>51</v>
      </c>
      <c r="C36" s="3">
        <v>26</v>
      </c>
      <c r="D36" s="3">
        <v>52</v>
      </c>
      <c r="E36" s="3">
        <v>51</v>
      </c>
      <c r="F36" s="3">
        <v>15</v>
      </c>
      <c r="G36" s="3">
        <v>36</v>
      </c>
      <c r="H36" s="3">
        <v>16</v>
      </c>
      <c r="I36" s="3">
        <v>48</v>
      </c>
      <c r="J36" s="3">
        <v>18</v>
      </c>
      <c r="K36" s="3">
        <v>14</v>
      </c>
      <c r="L36" s="3">
        <v>15</v>
      </c>
      <c r="M36" s="3">
        <v>42</v>
      </c>
      <c r="N36" s="3">
        <v>14</v>
      </c>
      <c r="O36" s="3">
        <v>35</v>
      </c>
      <c r="P36" s="3">
        <v>35</v>
      </c>
      <c r="Q36" s="3">
        <v>14</v>
      </c>
      <c r="R36" s="3">
        <v>39</v>
      </c>
      <c r="S36" s="3">
        <v>53</v>
      </c>
      <c r="T36" s="3">
        <v>25</v>
      </c>
      <c r="U36" s="3">
        <v>8</v>
      </c>
      <c r="V36" s="3">
        <v>15</v>
      </c>
      <c r="W36" s="3">
        <v>16</v>
      </c>
      <c r="X36" s="3">
        <v>14</v>
      </c>
      <c r="Y36" s="3">
        <v>5</v>
      </c>
      <c r="Z36" s="3">
        <v>23</v>
      </c>
      <c r="AA36" s="3">
        <v>27</v>
      </c>
      <c r="AB36" s="3">
        <v>27</v>
      </c>
      <c r="AC36" s="3">
        <v>34</v>
      </c>
      <c r="AD36" s="3">
        <v>9</v>
      </c>
      <c r="AE36" s="3">
        <v>15</v>
      </c>
      <c r="AF36" s="3">
        <v>41</v>
      </c>
      <c r="AG36" s="3">
        <v>52</v>
      </c>
      <c r="AH36" s="291"/>
      <c r="AI36" s="3">
        <v>36</v>
      </c>
      <c r="AJ36" s="3">
        <v>24</v>
      </c>
      <c r="AK36" s="3">
        <v>18</v>
      </c>
      <c r="AL36" s="3">
        <v>10</v>
      </c>
      <c r="AM36" s="3">
        <v>23</v>
      </c>
      <c r="AN36" s="3">
        <v>5</v>
      </c>
      <c r="AO36" s="3">
        <v>46</v>
      </c>
      <c r="AP36" s="3">
        <v>27</v>
      </c>
      <c r="AQ36" s="3">
        <v>18</v>
      </c>
      <c r="AR36" s="3">
        <v>52</v>
      </c>
      <c r="AS36" s="3">
        <v>45</v>
      </c>
    </row>
    <row r="37" spans="1:45">
      <c r="A37" s="288" t="s">
        <v>607</v>
      </c>
      <c r="B37" s="3">
        <v>45</v>
      </c>
      <c r="C37" s="3">
        <v>49</v>
      </c>
      <c r="D37" s="3">
        <v>56</v>
      </c>
      <c r="E37" s="3">
        <v>42</v>
      </c>
      <c r="F37" s="3">
        <v>46</v>
      </c>
      <c r="G37" s="3">
        <v>38</v>
      </c>
      <c r="H37" s="3">
        <v>24</v>
      </c>
      <c r="I37" s="3">
        <v>52</v>
      </c>
      <c r="J37" s="3">
        <v>45</v>
      </c>
      <c r="K37" s="3">
        <v>25</v>
      </c>
      <c r="L37" s="3">
        <v>13</v>
      </c>
      <c r="M37" s="3">
        <v>16</v>
      </c>
      <c r="N37" s="3">
        <v>52</v>
      </c>
      <c r="O37" s="3">
        <v>24</v>
      </c>
      <c r="P37" s="3">
        <v>12</v>
      </c>
      <c r="Q37" s="3">
        <v>24</v>
      </c>
      <c r="R37" s="3">
        <v>28</v>
      </c>
      <c r="S37" s="3">
        <v>42</v>
      </c>
      <c r="T37" s="3">
        <v>3</v>
      </c>
      <c r="U37" s="3">
        <v>10</v>
      </c>
      <c r="V37" s="3">
        <v>2</v>
      </c>
      <c r="W37" s="3">
        <v>56</v>
      </c>
      <c r="X37" s="3">
        <v>52</v>
      </c>
      <c r="Y37" s="3">
        <v>24</v>
      </c>
      <c r="Z37" s="3">
        <v>1</v>
      </c>
      <c r="AA37" s="3">
        <v>16</v>
      </c>
      <c r="AB37" s="3">
        <v>25</v>
      </c>
      <c r="AC37" s="3">
        <v>51</v>
      </c>
      <c r="AD37" s="3">
        <v>10</v>
      </c>
      <c r="AE37" s="3">
        <v>36</v>
      </c>
      <c r="AF37" s="3">
        <v>26</v>
      </c>
      <c r="AG37" s="3">
        <v>16</v>
      </c>
      <c r="AH37" s="3">
        <v>36</v>
      </c>
      <c r="AI37" s="291"/>
      <c r="AJ37" s="3">
        <v>19</v>
      </c>
      <c r="AK37" s="3">
        <v>24</v>
      </c>
      <c r="AL37" s="3">
        <v>35</v>
      </c>
      <c r="AM37" s="3">
        <v>16</v>
      </c>
      <c r="AN37" s="3">
        <v>50</v>
      </c>
      <c r="AO37" s="3">
        <v>21</v>
      </c>
      <c r="AP37" s="3">
        <v>42</v>
      </c>
      <c r="AQ37" s="3">
        <v>38</v>
      </c>
      <c r="AR37" s="3">
        <v>8</v>
      </c>
      <c r="AS37" s="3">
        <v>25</v>
      </c>
    </row>
    <row r="38" spans="1:45">
      <c r="A38" s="288" t="s">
        <v>608</v>
      </c>
      <c r="B38" s="3">
        <v>36</v>
      </c>
      <c r="C38" s="3">
        <v>11</v>
      </c>
      <c r="D38" s="3">
        <v>48</v>
      </c>
      <c r="E38" s="3">
        <v>53</v>
      </c>
      <c r="F38" s="3">
        <v>20</v>
      </c>
      <c r="G38" s="3">
        <v>25</v>
      </c>
      <c r="H38" s="3">
        <v>25</v>
      </c>
      <c r="I38" s="3">
        <v>8</v>
      </c>
      <c r="J38" s="3">
        <v>52</v>
      </c>
      <c r="K38" s="3">
        <v>36</v>
      </c>
      <c r="L38" s="3">
        <v>42</v>
      </c>
      <c r="M38" s="3">
        <v>43</v>
      </c>
      <c r="N38" s="3">
        <v>13</v>
      </c>
      <c r="O38" s="3">
        <v>51</v>
      </c>
      <c r="P38" s="3">
        <v>30</v>
      </c>
      <c r="Q38" s="3">
        <v>18</v>
      </c>
      <c r="R38" s="3">
        <v>1</v>
      </c>
      <c r="S38" s="3">
        <v>38</v>
      </c>
      <c r="T38" s="3">
        <v>14</v>
      </c>
      <c r="U38" s="3">
        <v>7</v>
      </c>
      <c r="V38" s="3">
        <v>35</v>
      </c>
      <c r="W38" s="3">
        <v>34</v>
      </c>
      <c r="X38" s="3">
        <v>41</v>
      </c>
      <c r="Y38" s="3">
        <v>36</v>
      </c>
      <c r="Z38" s="3">
        <v>25</v>
      </c>
      <c r="AA38" s="3">
        <v>28</v>
      </c>
      <c r="AB38" s="3">
        <v>18</v>
      </c>
      <c r="AC38" s="3">
        <v>2</v>
      </c>
      <c r="AD38" s="3">
        <v>25</v>
      </c>
      <c r="AE38" s="3">
        <v>10</v>
      </c>
      <c r="AF38" s="3">
        <v>34</v>
      </c>
      <c r="AG38" s="3">
        <v>27</v>
      </c>
      <c r="AH38" s="3">
        <v>24</v>
      </c>
      <c r="AI38" s="3">
        <v>19</v>
      </c>
      <c r="AJ38" s="291"/>
      <c r="AK38" s="3">
        <v>45</v>
      </c>
      <c r="AL38" s="3">
        <v>4</v>
      </c>
      <c r="AM38" s="3">
        <v>13</v>
      </c>
      <c r="AN38" s="3">
        <v>24</v>
      </c>
      <c r="AO38" s="3">
        <v>18</v>
      </c>
      <c r="AP38" s="3">
        <v>34</v>
      </c>
      <c r="AQ38" s="3">
        <v>28</v>
      </c>
      <c r="AR38" s="3">
        <v>16</v>
      </c>
      <c r="AS38" s="3">
        <v>9</v>
      </c>
    </row>
    <row r="39" spans="1:45">
      <c r="A39" s="288" t="s">
        <v>609</v>
      </c>
      <c r="B39" s="3">
        <v>19</v>
      </c>
      <c r="C39" s="3">
        <v>50</v>
      </c>
      <c r="D39" s="3">
        <v>4</v>
      </c>
      <c r="E39" s="3">
        <v>16</v>
      </c>
      <c r="F39" s="3">
        <v>16</v>
      </c>
      <c r="G39" s="3">
        <v>16</v>
      </c>
      <c r="H39" s="3">
        <v>36</v>
      </c>
      <c r="I39" s="3">
        <v>58</v>
      </c>
      <c r="J39" s="3">
        <v>16</v>
      </c>
      <c r="K39" s="3">
        <v>8</v>
      </c>
      <c r="L39" s="3">
        <v>54</v>
      </c>
      <c r="M39" s="3">
        <v>16</v>
      </c>
      <c r="N39" s="3">
        <v>46</v>
      </c>
      <c r="O39" s="3">
        <v>26</v>
      </c>
      <c r="P39" s="3">
        <v>51</v>
      </c>
      <c r="Q39" s="3">
        <v>39</v>
      </c>
      <c r="R39" s="3">
        <v>33</v>
      </c>
      <c r="S39" s="3">
        <v>22</v>
      </c>
      <c r="T39" s="3">
        <v>20</v>
      </c>
      <c r="U39" s="3">
        <v>26</v>
      </c>
      <c r="V39" s="3">
        <v>16</v>
      </c>
      <c r="W39" s="3">
        <v>42</v>
      </c>
      <c r="X39" s="3">
        <v>34</v>
      </c>
      <c r="Y39" s="3">
        <v>27</v>
      </c>
      <c r="Z39" s="3">
        <v>34</v>
      </c>
      <c r="AA39" s="3">
        <v>51</v>
      </c>
      <c r="AB39" s="3">
        <v>24</v>
      </c>
      <c r="AC39" s="3">
        <v>6</v>
      </c>
      <c r="AD39" s="3">
        <v>16</v>
      </c>
      <c r="AE39" s="3">
        <v>9</v>
      </c>
      <c r="AF39" s="3">
        <v>51</v>
      </c>
      <c r="AG39" s="3">
        <v>45</v>
      </c>
      <c r="AH39" s="3">
        <v>18</v>
      </c>
      <c r="AI39" s="3">
        <v>24</v>
      </c>
      <c r="AJ39" s="3">
        <v>45</v>
      </c>
      <c r="AK39" s="291"/>
      <c r="AL39" s="3">
        <v>57</v>
      </c>
      <c r="AM39" s="3">
        <v>15</v>
      </c>
      <c r="AN39" s="3">
        <v>42</v>
      </c>
      <c r="AO39" s="3">
        <v>27</v>
      </c>
      <c r="AP39" s="3">
        <v>16</v>
      </c>
      <c r="AQ39" s="3">
        <v>20</v>
      </c>
      <c r="AR39" s="3">
        <v>34</v>
      </c>
      <c r="AS39" s="3">
        <v>46</v>
      </c>
    </row>
    <row r="40" spans="1:45">
      <c r="A40" s="288" t="s">
        <v>610</v>
      </c>
      <c r="B40" s="3">
        <v>22</v>
      </c>
      <c r="C40" s="3">
        <v>56</v>
      </c>
      <c r="D40" s="3">
        <v>12</v>
      </c>
      <c r="E40" s="3">
        <v>49</v>
      </c>
      <c r="F40" s="3">
        <v>5</v>
      </c>
      <c r="G40" s="3">
        <v>14</v>
      </c>
      <c r="H40" s="3">
        <v>19</v>
      </c>
      <c r="I40" s="3">
        <v>40</v>
      </c>
      <c r="J40" s="3">
        <v>42</v>
      </c>
      <c r="K40" s="3">
        <v>6</v>
      </c>
      <c r="L40" s="3">
        <v>13</v>
      </c>
      <c r="M40" s="3">
        <v>52</v>
      </c>
      <c r="N40" s="3">
        <v>51</v>
      </c>
      <c r="O40" s="3">
        <v>18</v>
      </c>
      <c r="P40" s="3">
        <v>20</v>
      </c>
      <c r="Q40" s="3">
        <v>42</v>
      </c>
      <c r="R40" s="3">
        <v>15</v>
      </c>
      <c r="S40" s="3">
        <v>15</v>
      </c>
      <c r="T40" s="3">
        <v>34</v>
      </c>
      <c r="U40" s="3">
        <v>24</v>
      </c>
      <c r="V40" s="3">
        <v>24</v>
      </c>
      <c r="W40" s="3">
        <v>23</v>
      </c>
      <c r="X40" s="3">
        <v>35</v>
      </c>
      <c r="Y40" s="3">
        <v>19</v>
      </c>
      <c r="Z40" s="3">
        <v>16</v>
      </c>
      <c r="AA40" s="3">
        <v>42</v>
      </c>
      <c r="AB40" s="3">
        <v>16</v>
      </c>
      <c r="AC40" s="3">
        <v>18</v>
      </c>
      <c r="AD40" s="3">
        <v>34</v>
      </c>
      <c r="AE40" s="3">
        <v>8</v>
      </c>
      <c r="AF40" s="3">
        <v>18</v>
      </c>
      <c r="AG40" s="3">
        <v>29</v>
      </c>
      <c r="AH40" s="3">
        <v>10</v>
      </c>
      <c r="AI40" s="3">
        <v>35</v>
      </c>
      <c r="AJ40" s="3">
        <v>4</v>
      </c>
      <c r="AK40" s="3">
        <v>57</v>
      </c>
      <c r="AL40" s="291"/>
      <c r="AM40" s="3">
        <v>45</v>
      </c>
      <c r="AN40" s="3">
        <v>27</v>
      </c>
      <c r="AO40" s="3">
        <v>36</v>
      </c>
      <c r="AP40" s="3">
        <v>24</v>
      </c>
      <c r="AQ40" s="3">
        <v>18</v>
      </c>
      <c r="AR40" s="3">
        <v>39</v>
      </c>
      <c r="AS40" s="3">
        <v>2</v>
      </c>
    </row>
    <row r="41" spans="1:45">
      <c r="A41" s="288" t="s">
        <v>611</v>
      </c>
      <c r="B41" s="3">
        <v>34</v>
      </c>
      <c r="C41" s="3">
        <v>48</v>
      </c>
      <c r="D41" s="3">
        <v>40</v>
      </c>
      <c r="E41" s="3">
        <v>15</v>
      </c>
      <c r="F41" s="3">
        <v>37</v>
      </c>
      <c r="G41" s="3">
        <v>10</v>
      </c>
      <c r="H41" s="3">
        <v>37</v>
      </c>
      <c r="I41" s="3">
        <v>13</v>
      </c>
      <c r="J41" s="3">
        <v>57</v>
      </c>
      <c r="K41" s="3">
        <v>13</v>
      </c>
      <c r="L41" s="3">
        <v>46</v>
      </c>
      <c r="M41" s="3">
        <v>6</v>
      </c>
      <c r="N41" s="3">
        <v>5</v>
      </c>
      <c r="O41" s="3">
        <v>28</v>
      </c>
      <c r="P41" s="3">
        <v>42</v>
      </c>
      <c r="Q41" s="3">
        <v>15</v>
      </c>
      <c r="R41" s="3">
        <v>24</v>
      </c>
      <c r="S41" s="3">
        <v>27</v>
      </c>
      <c r="T41" s="3">
        <v>16</v>
      </c>
      <c r="U41" s="3">
        <v>15</v>
      </c>
      <c r="V41" s="3">
        <v>29</v>
      </c>
      <c r="W41" s="3">
        <v>51</v>
      </c>
      <c r="X41" s="3">
        <v>26</v>
      </c>
      <c r="Y41" s="3">
        <v>38</v>
      </c>
      <c r="Z41" s="3">
        <v>24</v>
      </c>
      <c r="AA41" s="3">
        <v>34</v>
      </c>
      <c r="AB41" s="3">
        <v>25</v>
      </c>
      <c r="AC41" s="3">
        <v>20</v>
      </c>
      <c r="AD41" s="3">
        <v>18</v>
      </c>
      <c r="AE41" s="3">
        <v>37</v>
      </c>
      <c r="AF41" s="3">
        <v>20</v>
      </c>
      <c r="AG41" s="3">
        <v>16</v>
      </c>
      <c r="AH41" s="3">
        <v>23</v>
      </c>
      <c r="AI41" s="3">
        <v>16</v>
      </c>
      <c r="AJ41" s="3">
        <v>13</v>
      </c>
      <c r="AK41" s="3">
        <v>15</v>
      </c>
      <c r="AL41" s="3">
        <v>45</v>
      </c>
      <c r="AM41" s="291"/>
      <c r="AN41" s="3">
        <v>50</v>
      </c>
      <c r="AO41" s="3">
        <v>43</v>
      </c>
      <c r="AP41" s="3">
        <v>12</v>
      </c>
      <c r="AQ41" s="3">
        <v>5</v>
      </c>
      <c r="AR41" s="3">
        <v>27</v>
      </c>
      <c r="AS41" s="3">
        <v>11</v>
      </c>
    </row>
    <row r="42" spans="1:45">
      <c r="A42" s="288" t="s">
        <v>612</v>
      </c>
      <c r="B42" s="3">
        <v>11</v>
      </c>
      <c r="C42" s="3">
        <v>50</v>
      </c>
      <c r="D42" s="3">
        <v>59</v>
      </c>
      <c r="E42" s="3">
        <v>27</v>
      </c>
      <c r="F42" s="3">
        <v>46</v>
      </c>
      <c r="G42" s="3">
        <v>20</v>
      </c>
      <c r="H42" s="3">
        <v>25</v>
      </c>
      <c r="I42" s="3">
        <v>6</v>
      </c>
      <c r="J42" s="3">
        <v>13</v>
      </c>
      <c r="K42" s="3">
        <v>46</v>
      </c>
      <c r="L42" s="3">
        <v>56</v>
      </c>
      <c r="M42" s="3">
        <v>15</v>
      </c>
      <c r="N42" s="3">
        <v>19</v>
      </c>
      <c r="O42" s="3">
        <v>39</v>
      </c>
      <c r="P42" s="3">
        <v>60</v>
      </c>
      <c r="Q42" s="3">
        <v>48</v>
      </c>
      <c r="R42" s="3">
        <v>16</v>
      </c>
      <c r="S42" s="3">
        <v>44</v>
      </c>
      <c r="T42" s="3">
        <v>51</v>
      </c>
      <c r="U42" s="3">
        <v>3</v>
      </c>
      <c r="V42" s="3">
        <v>35</v>
      </c>
      <c r="W42" s="3">
        <v>24</v>
      </c>
      <c r="X42" s="3">
        <v>14</v>
      </c>
      <c r="Y42" s="3">
        <v>29</v>
      </c>
      <c r="Z42" s="3">
        <v>52</v>
      </c>
      <c r="AA42" s="3">
        <v>15</v>
      </c>
      <c r="AB42" s="3">
        <v>19</v>
      </c>
      <c r="AC42" s="3">
        <v>34</v>
      </c>
      <c r="AD42" s="3">
        <v>29</v>
      </c>
      <c r="AE42" s="3">
        <v>19</v>
      </c>
      <c r="AF42" s="3">
        <v>13</v>
      </c>
      <c r="AG42" s="3">
        <v>25</v>
      </c>
      <c r="AH42" s="3">
        <v>5</v>
      </c>
      <c r="AI42" s="3">
        <v>50</v>
      </c>
      <c r="AJ42" s="3">
        <v>24</v>
      </c>
      <c r="AK42" s="3">
        <v>42</v>
      </c>
      <c r="AL42" s="3">
        <v>27</v>
      </c>
      <c r="AM42" s="3">
        <v>50</v>
      </c>
      <c r="AN42" s="291"/>
      <c r="AO42" s="3">
        <v>15</v>
      </c>
      <c r="AP42" s="3">
        <v>34</v>
      </c>
      <c r="AQ42" s="3">
        <v>56</v>
      </c>
      <c r="AR42" s="3">
        <v>23</v>
      </c>
      <c r="AS42" s="3">
        <v>15</v>
      </c>
    </row>
    <row r="43" spans="1:45">
      <c r="A43" s="288" t="s">
        <v>613</v>
      </c>
      <c r="B43" s="3">
        <v>27</v>
      </c>
      <c r="C43" s="3">
        <v>16</v>
      </c>
      <c r="D43" s="3">
        <v>24</v>
      </c>
      <c r="E43" s="3">
        <v>36</v>
      </c>
      <c r="F43" s="3">
        <v>16</v>
      </c>
      <c r="G43" s="3">
        <v>51</v>
      </c>
      <c r="H43" s="3">
        <v>16</v>
      </c>
      <c r="I43" s="3">
        <v>8</v>
      </c>
      <c r="J43" s="3">
        <v>36</v>
      </c>
      <c r="K43" s="3">
        <v>56</v>
      </c>
      <c r="L43" s="3">
        <v>23</v>
      </c>
      <c r="M43" s="3">
        <v>2</v>
      </c>
      <c r="N43" s="3">
        <v>27</v>
      </c>
      <c r="O43" s="3">
        <v>35</v>
      </c>
      <c r="P43" s="3">
        <v>15</v>
      </c>
      <c r="Q43" s="3">
        <v>35</v>
      </c>
      <c r="R43" s="3">
        <v>42</v>
      </c>
      <c r="S43" s="3">
        <v>50</v>
      </c>
      <c r="T43" s="3">
        <v>24</v>
      </c>
      <c r="U43" s="3">
        <v>16</v>
      </c>
      <c r="V43" s="3">
        <v>7</v>
      </c>
      <c r="W43" s="3">
        <v>5</v>
      </c>
      <c r="X43" s="3">
        <v>5</v>
      </c>
      <c r="Y43" s="3">
        <v>27</v>
      </c>
      <c r="Z43" s="3">
        <v>10</v>
      </c>
      <c r="AA43" s="3">
        <v>16</v>
      </c>
      <c r="AB43" s="3">
        <v>38</v>
      </c>
      <c r="AC43" s="3">
        <v>50</v>
      </c>
      <c r="AD43" s="3">
        <v>37</v>
      </c>
      <c r="AE43" s="3">
        <v>27</v>
      </c>
      <c r="AF43" s="3">
        <v>9</v>
      </c>
      <c r="AG43" s="3">
        <v>42</v>
      </c>
      <c r="AH43" s="3">
        <v>46</v>
      </c>
      <c r="AI43" s="3">
        <v>21</v>
      </c>
      <c r="AJ43" s="3">
        <v>18</v>
      </c>
      <c r="AK43" s="3">
        <v>27</v>
      </c>
      <c r="AL43" s="3">
        <v>36</v>
      </c>
      <c r="AM43" s="3">
        <v>43</v>
      </c>
      <c r="AN43" s="3">
        <v>15</v>
      </c>
      <c r="AO43" s="291"/>
      <c r="AP43" s="3">
        <v>52</v>
      </c>
      <c r="AQ43" s="3">
        <v>11</v>
      </c>
      <c r="AR43" s="3">
        <v>34</v>
      </c>
      <c r="AS43" s="3">
        <v>1</v>
      </c>
    </row>
    <row r="44" spans="1:45">
      <c r="A44" s="288" t="s">
        <v>614</v>
      </c>
      <c r="B44" s="3">
        <v>26</v>
      </c>
      <c r="C44" s="3">
        <v>24</v>
      </c>
      <c r="D44" s="3">
        <v>35</v>
      </c>
      <c r="E44" s="3">
        <v>10</v>
      </c>
      <c r="F44" s="3">
        <v>11</v>
      </c>
      <c r="G44" s="3">
        <v>46</v>
      </c>
      <c r="H44" s="3">
        <v>20</v>
      </c>
      <c r="I44" s="3">
        <v>15</v>
      </c>
      <c r="J44" s="3">
        <v>6</v>
      </c>
      <c r="K44" s="3">
        <v>23</v>
      </c>
      <c r="L44" s="3">
        <v>12</v>
      </c>
      <c r="M44" s="3">
        <v>13</v>
      </c>
      <c r="N44" s="3">
        <v>38</v>
      </c>
      <c r="O44" s="3">
        <v>46</v>
      </c>
      <c r="P44" s="3">
        <v>28</v>
      </c>
      <c r="Q44" s="3">
        <v>20</v>
      </c>
      <c r="R44" s="3">
        <v>51</v>
      </c>
      <c r="S44" s="3">
        <v>18</v>
      </c>
      <c r="T44" s="3">
        <v>52</v>
      </c>
      <c r="U44" s="3">
        <v>42</v>
      </c>
      <c r="V44" s="3">
        <v>39</v>
      </c>
      <c r="W44" s="3">
        <v>34</v>
      </c>
      <c r="X44" s="3">
        <v>36</v>
      </c>
      <c r="Y44" s="3">
        <v>5</v>
      </c>
      <c r="Z44" s="3">
        <v>6</v>
      </c>
      <c r="AA44" s="3">
        <v>19</v>
      </c>
      <c r="AB44" s="3">
        <v>16</v>
      </c>
      <c r="AC44" s="3">
        <v>18</v>
      </c>
      <c r="AD44" s="3">
        <v>27</v>
      </c>
      <c r="AE44" s="3">
        <v>18</v>
      </c>
      <c r="AF44" s="3">
        <v>25</v>
      </c>
      <c r="AG44" s="3">
        <v>18</v>
      </c>
      <c r="AH44" s="3">
        <v>27</v>
      </c>
      <c r="AI44" s="3">
        <v>42</v>
      </c>
      <c r="AJ44" s="3">
        <v>34</v>
      </c>
      <c r="AK44" s="3">
        <v>16</v>
      </c>
      <c r="AL44" s="3">
        <v>24</v>
      </c>
      <c r="AM44" s="3">
        <v>12</v>
      </c>
      <c r="AN44" s="3">
        <v>34</v>
      </c>
      <c r="AO44" s="3">
        <v>52</v>
      </c>
      <c r="AP44" s="291"/>
      <c r="AQ44" s="3">
        <v>40</v>
      </c>
      <c r="AR44" s="3">
        <v>26</v>
      </c>
      <c r="AS44" s="3">
        <v>4</v>
      </c>
    </row>
    <row r="45" spans="1:45">
      <c r="A45" s="288" t="s">
        <v>615</v>
      </c>
      <c r="B45" s="3">
        <v>49</v>
      </c>
      <c r="C45" s="3">
        <v>37</v>
      </c>
      <c r="D45" s="3">
        <v>17</v>
      </c>
      <c r="E45" s="3">
        <v>40</v>
      </c>
      <c r="F45" s="3">
        <v>23</v>
      </c>
      <c r="G45" s="3">
        <v>50</v>
      </c>
      <c r="H45" s="3">
        <v>14</v>
      </c>
      <c r="I45" s="3">
        <v>49</v>
      </c>
      <c r="J45" s="3">
        <v>14</v>
      </c>
      <c r="K45" s="3">
        <v>12</v>
      </c>
      <c r="L45" s="3">
        <v>42</v>
      </c>
      <c r="M45" s="3">
        <v>15</v>
      </c>
      <c r="N45" s="3">
        <v>39</v>
      </c>
      <c r="O45" s="3">
        <v>15</v>
      </c>
      <c r="P45" s="3">
        <v>5</v>
      </c>
      <c r="Q45" s="3">
        <v>31</v>
      </c>
      <c r="R45" s="3">
        <v>26</v>
      </c>
      <c r="S45" s="3">
        <v>19</v>
      </c>
      <c r="T45" s="3">
        <v>43</v>
      </c>
      <c r="U45" s="3">
        <v>51</v>
      </c>
      <c r="V45" s="3">
        <v>43</v>
      </c>
      <c r="W45" s="3">
        <v>19</v>
      </c>
      <c r="X45" s="3">
        <v>24</v>
      </c>
      <c r="Y45" s="3">
        <v>39</v>
      </c>
      <c r="Z45" s="3">
        <v>27</v>
      </c>
      <c r="AA45" s="3">
        <v>51</v>
      </c>
      <c r="AB45" s="3">
        <v>42</v>
      </c>
      <c r="AC45" s="3">
        <v>27</v>
      </c>
      <c r="AD45" s="3">
        <v>18</v>
      </c>
      <c r="AE45" s="3">
        <v>52</v>
      </c>
      <c r="AF45" s="3">
        <v>14</v>
      </c>
      <c r="AG45" s="3">
        <v>20</v>
      </c>
      <c r="AH45" s="3">
        <v>18</v>
      </c>
      <c r="AI45" s="3">
        <v>38</v>
      </c>
      <c r="AJ45" s="3">
        <v>28</v>
      </c>
      <c r="AK45" s="3">
        <v>20</v>
      </c>
      <c r="AL45" s="3">
        <v>18</v>
      </c>
      <c r="AM45" s="3">
        <v>5</v>
      </c>
      <c r="AN45" s="3">
        <v>56</v>
      </c>
      <c r="AO45" s="3">
        <v>11</v>
      </c>
      <c r="AP45" s="3">
        <v>40</v>
      </c>
      <c r="AQ45" s="291"/>
      <c r="AR45" s="3">
        <v>14</v>
      </c>
      <c r="AS45" s="3">
        <v>34</v>
      </c>
    </row>
    <row r="46" spans="1:45">
      <c r="A46" s="288" t="s">
        <v>616</v>
      </c>
      <c r="B46" s="3">
        <v>38</v>
      </c>
      <c r="C46" s="3">
        <v>18</v>
      </c>
      <c r="D46" s="3">
        <v>16</v>
      </c>
      <c r="E46" s="3">
        <v>5</v>
      </c>
      <c r="F46" s="3">
        <v>40</v>
      </c>
      <c r="G46" s="3">
        <v>58</v>
      </c>
      <c r="H46" s="3">
        <v>2</v>
      </c>
      <c r="I46" s="3">
        <v>38</v>
      </c>
      <c r="J46" s="3">
        <v>52</v>
      </c>
      <c r="K46" s="3">
        <v>45</v>
      </c>
      <c r="L46" s="3">
        <v>15</v>
      </c>
      <c r="M46" s="3">
        <v>56</v>
      </c>
      <c r="N46" s="3">
        <v>42</v>
      </c>
      <c r="O46" s="3">
        <v>51</v>
      </c>
      <c r="P46" s="3">
        <v>34</v>
      </c>
      <c r="Q46" s="3">
        <v>45</v>
      </c>
      <c r="R46" s="3">
        <v>49</v>
      </c>
      <c r="S46" s="3">
        <v>35</v>
      </c>
      <c r="T46" s="3">
        <v>39</v>
      </c>
      <c r="U46" s="3">
        <v>34</v>
      </c>
      <c r="V46" s="3">
        <v>8</v>
      </c>
      <c r="W46" s="3">
        <v>27</v>
      </c>
      <c r="X46" s="3">
        <v>16</v>
      </c>
      <c r="Y46" s="3">
        <v>29</v>
      </c>
      <c r="Z46" s="3">
        <v>19</v>
      </c>
      <c r="AA46" s="3">
        <v>4</v>
      </c>
      <c r="AB46" s="3">
        <v>51</v>
      </c>
      <c r="AC46" s="3">
        <v>10</v>
      </c>
      <c r="AD46" s="3">
        <v>20</v>
      </c>
      <c r="AE46" s="3">
        <v>46</v>
      </c>
      <c r="AF46" s="3">
        <v>24</v>
      </c>
      <c r="AG46" s="3">
        <v>13</v>
      </c>
      <c r="AH46" s="3">
        <v>52</v>
      </c>
      <c r="AI46" s="3">
        <v>8</v>
      </c>
      <c r="AJ46" s="3">
        <v>16</v>
      </c>
      <c r="AK46" s="3">
        <v>34</v>
      </c>
      <c r="AL46" s="3">
        <v>39</v>
      </c>
      <c r="AM46" s="3">
        <v>27</v>
      </c>
      <c r="AN46" s="3">
        <v>23</v>
      </c>
      <c r="AO46" s="3">
        <v>34</v>
      </c>
      <c r="AP46" s="3">
        <v>26</v>
      </c>
      <c r="AQ46" s="3">
        <v>14</v>
      </c>
      <c r="AR46" s="291"/>
      <c r="AS46" s="3">
        <v>5</v>
      </c>
    </row>
    <row r="47" spans="1:45">
      <c r="A47" s="288" t="s">
        <v>617</v>
      </c>
      <c r="B47" s="3">
        <v>20</v>
      </c>
      <c r="C47" s="3">
        <v>2</v>
      </c>
      <c r="D47" s="3">
        <v>28</v>
      </c>
      <c r="E47" s="3">
        <v>14</v>
      </c>
      <c r="F47" s="3">
        <v>52</v>
      </c>
      <c r="G47" s="3">
        <v>12</v>
      </c>
      <c r="H47" s="3">
        <v>16</v>
      </c>
      <c r="I47" s="3">
        <v>33</v>
      </c>
      <c r="J47" s="3">
        <v>1</v>
      </c>
      <c r="K47" s="3">
        <v>23</v>
      </c>
      <c r="L47" s="3">
        <v>5</v>
      </c>
      <c r="M47" s="3">
        <v>29</v>
      </c>
      <c r="N47" s="3">
        <v>51</v>
      </c>
      <c r="O47" s="3">
        <v>59</v>
      </c>
      <c r="P47" s="3">
        <v>16</v>
      </c>
      <c r="Q47" s="3">
        <v>6</v>
      </c>
      <c r="R47" s="3">
        <v>48</v>
      </c>
      <c r="S47" s="3">
        <v>25</v>
      </c>
      <c r="T47" s="3">
        <v>5</v>
      </c>
      <c r="U47" s="3">
        <v>59</v>
      </c>
      <c r="V47" s="3">
        <v>2</v>
      </c>
      <c r="W47" s="3">
        <v>55</v>
      </c>
      <c r="X47" s="3">
        <v>25</v>
      </c>
      <c r="Y47" s="3">
        <v>14</v>
      </c>
      <c r="Z47" s="3">
        <v>38</v>
      </c>
      <c r="AA47" s="3">
        <v>18</v>
      </c>
      <c r="AB47" s="3">
        <v>26</v>
      </c>
      <c r="AC47" s="3">
        <v>28</v>
      </c>
      <c r="AD47" s="3">
        <v>16</v>
      </c>
      <c r="AE47" s="3">
        <v>2</v>
      </c>
      <c r="AF47" s="3">
        <v>51</v>
      </c>
      <c r="AG47" s="3">
        <v>6</v>
      </c>
      <c r="AH47" s="3">
        <v>45</v>
      </c>
      <c r="AI47" s="3">
        <v>25</v>
      </c>
      <c r="AJ47" s="3">
        <v>9</v>
      </c>
      <c r="AK47" s="3">
        <v>46</v>
      </c>
      <c r="AL47" s="3">
        <v>2</v>
      </c>
      <c r="AM47" s="3">
        <v>11</v>
      </c>
      <c r="AN47" s="3">
        <v>15</v>
      </c>
      <c r="AO47" s="3">
        <v>1</v>
      </c>
      <c r="AP47" s="3">
        <v>4</v>
      </c>
      <c r="AQ47" s="3">
        <v>34</v>
      </c>
      <c r="AR47" s="3">
        <v>5</v>
      </c>
      <c r="AS47" s="291"/>
    </row>
    <row r="48" spans="1:45">
      <c r="Z48" s="293"/>
    </row>
  </sheetData>
  <pageMargins left="0.7" right="0.7" top="0.75" bottom="0.75" header="0.3" footer="0.3"/>
  <pageSetup paperSize="9"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1C9CD-8079-7C41-BAE7-B86E3624C69E}">
  <sheetPr codeName="Sheet31"/>
  <dimension ref="A1:AS47"/>
  <sheetViews>
    <sheetView zoomScale="88" zoomScaleNormal="78" workbookViewId="0">
      <selection activeCell="D7" sqref="D7"/>
    </sheetView>
  </sheetViews>
  <sheetFormatPr baseColWidth="10" defaultColWidth="11" defaultRowHeight="16"/>
  <cols>
    <col min="2" max="26" width="6.83203125" customWidth="1"/>
    <col min="27" max="27" width="7" customWidth="1"/>
    <col min="28" max="28" width="6.83203125" customWidth="1"/>
    <col min="29" max="30" width="7" customWidth="1"/>
    <col min="31" max="33" width="6.83203125" customWidth="1"/>
    <col min="34" max="34" width="7" customWidth="1"/>
    <col min="35" max="35" width="6.83203125" bestFit="1" customWidth="1"/>
    <col min="36" max="36" width="6.83203125" customWidth="1"/>
    <col min="37" max="37" width="7" customWidth="1"/>
    <col min="38" max="45" width="6.83203125" customWidth="1"/>
  </cols>
  <sheetData>
    <row r="1" spans="1:45">
      <c r="C1" s="289" t="s">
        <v>1104</v>
      </c>
      <c r="D1" t="s">
        <v>1105</v>
      </c>
    </row>
    <row r="3" spans="1:45">
      <c r="A3" s="290"/>
      <c r="B3" s="288" t="str">
        <f t="array" ref="B3:AS3">TRANSPOSE(A4:A47)</f>
        <v>WS-01</v>
      </c>
      <c r="C3" s="288" t="str">
        <v>WS-02</v>
      </c>
      <c r="D3" s="288" t="str">
        <v>WS-03</v>
      </c>
      <c r="E3" s="288" t="str">
        <v>WS-04</v>
      </c>
      <c r="F3" s="288" t="str">
        <v>WS-05</v>
      </c>
      <c r="G3" s="288" t="str">
        <v>WS-06</v>
      </c>
      <c r="H3" s="288" t="str">
        <v>WS-07</v>
      </c>
      <c r="I3" s="288" t="str">
        <v>WS-08</v>
      </c>
      <c r="J3" s="288" t="str">
        <v>WS-09</v>
      </c>
      <c r="K3" s="288" t="str">
        <v>WS-10</v>
      </c>
      <c r="L3" s="288" t="str">
        <v>WS-11</v>
      </c>
      <c r="M3" s="288" t="str">
        <v>WS-12</v>
      </c>
      <c r="N3" s="288" t="str">
        <v>WS-13</v>
      </c>
      <c r="O3" s="288" t="str">
        <v>WS-14</v>
      </c>
      <c r="P3" s="288" t="str">
        <v>WS-15</v>
      </c>
      <c r="Q3" s="288" t="str">
        <v>WS-16</v>
      </c>
      <c r="R3" s="288" t="str">
        <v>WS-17</v>
      </c>
      <c r="S3" s="288" t="str">
        <v>WS-18</v>
      </c>
      <c r="T3" s="288" t="str">
        <v>WS-19</v>
      </c>
      <c r="U3" s="288" t="str">
        <v>WS-20</v>
      </c>
      <c r="V3" s="288" t="str">
        <v>WS-21</v>
      </c>
      <c r="W3" s="288" t="str">
        <v>WS-22</v>
      </c>
      <c r="X3" s="288" t="str">
        <v>WS-23</v>
      </c>
      <c r="Y3" s="288" t="str">
        <v>WS-24</v>
      </c>
      <c r="Z3" s="288" t="str">
        <v>WS-25</v>
      </c>
      <c r="AA3" s="288" t="str">
        <v>WS-26</v>
      </c>
      <c r="AB3" s="288" t="str">
        <v>WS-27</v>
      </c>
      <c r="AC3" s="288" t="str">
        <v>WS-28</v>
      </c>
      <c r="AD3" s="288" t="str">
        <v>WS-29</v>
      </c>
      <c r="AE3" s="288" t="str">
        <v>WS-30</v>
      </c>
      <c r="AF3" s="288" t="str">
        <v>WS-31</v>
      </c>
      <c r="AG3" s="288" t="str">
        <v>WS-32</v>
      </c>
      <c r="AH3" s="288" t="str">
        <v>WS-33</v>
      </c>
      <c r="AI3" s="288" t="str">
        <v>WS-34</v>
      </c>
      <c r="AJ3" s="288" t="str">
        <v>WS-35</v>
      </c>
      <c r="AK3" s="288" t="str">
        <v>WS-36</v>
      </c>
      <c r="AL3" s="288" t="str">
        <v>WS-37</v>
      </c>
      <c r="AM3" s="288" t="str">
        <v>WS-38</v>
      </c>
      <c r="AN3" s="288" t="str">
        <v>WS-39</v>
      </c>
      <c r="AO3" s="288" t="str">
        <v>WS-40</v>
      </c>
      <c r="AP3" s="288" t="str">
        <v>WS-41</v>
      </c>
      <c r="AQ3" s="288" t="str">
        <v>WS-42</v>
      </c>
      <c r="AR3" s="288" t="str">
        <v>WS-43</v>
      </c>
      <c r="AS3" s="288" t="str">
        <v>WS-44</v>
      </c>
    </row>
    <row r="4" spans="1:45">
      <c r="A4" s="288" t="s">
        <v>574</v>
      </c>
      <c r="B4" s="3">
        <f>'S28 Transportation Matrix'!B4*'S29 Distances Matrix'!B4</f>
        <v>0</v>
      </c>
      <c r="C4" s="3">
        <f>'S28 Transportation Matrix'!C4*'S29 Distances Matrix'!C4</f>
        <v>0</v>
      </c>
      <c r="D4" s="3">
        <f>'S28 Transportation Matrix'!D4*'S29 Distances Matrix'!D4</f>
        <v>0</v>
      </c>
      <c r="E4" s="3">
        <f>'S28 Transportation Matrix'!E4*'S29 Distances Matrix'!E4</f>
        <v>0</v>
      </c>
      <c r="F4" s="3">
        <f>'S28 Transportation Matrix'!F4*'S29 Distances Matrix'!F4</f>
        <v>0</v>
      </c>
      <c r="G4" s="3">
        <f>'S28 Transportation Matrix'!G4*'S29 Distances Matrix'!G4</f>
        <v>0</v>
      </c>
      <c r="H4" s="3">
        <f>'S28 Transportation Matrix'!H4*'S29 Distances Matrix'!H4</f>
        <v>0</v>
      </c>
      <c r="I4" s="3">
        <f>'S28 Transportation Matrix'!I4*'S29 Distances Matrix'!I4</f>
        <v>0</v>
      </c>
      <c r="J4" s="3">
        <f>'S28 Transportation Matrix'!J4*'S29 Distances Matrix'!J4</f>
        <v>0</v>
      </c>
      <c r="K4" s="3">
        <f>'S28 Transportation Matrix'!K4*'S29 Distances Matrix'!K4</f>
        <v>0</v>
      </c>
      <c r="L4" s="3">
        <f>'S28 Transportation Matrix'!L4*'S29 Distances Matrix'!L4</f>
        <v>0</v>
      </c>
      <c r="M4" s="3">
        <f>'S28 Transportation Matrix'!M4*'S29 Distances Matrix'!M4</f>
        <v>0</v>
      </c>
      <c r="N4" s="3">
        <f>'S28 Transportation Matrix'!N4*'S29 Distances Matrix'!N4</f>
        <v>0</v>
      </c>
      <c r="O4" s="3">
        <f>'S28 Transportation Matrix'!O4*'S29 Distances Matrix'!O4</f>
        <v>0</v>
      </c>
      <c r="P4" s="3">
        <f>'S28 Transportation Matrix'!P4*'S29 Distances Matrix'!P4</f>
        <v>0</v>
      </c>
      <c r="Q4" s="3">
        <f>'S28 Transportation Matrix'!Q4*'S29 Distances Matrix'!Q4</f>
        <v>0</v>
      </c>
      <c r="R4" s="3">
        <f>'S28 Transportation Matrix'!R4*'S29 Distances Matrix'!R4</f>
        <v>0</v>
      </c>
      <c r="S4" s="3">
        <f>'S28 Transportation Matrix'!S4*'S29 Distances Matrix'!S4</f>
        <v>0</v>
      </c>
      <c r="T4" s="3">
        <f>'S28 Transportation Matrix'!T4*'S29 Distances Matrix'!T4</f>
        <v>0</v>
      </c>
      <c r="U4" s="3">
        <f>'S28 Transportation Matrix'!U4*'S29 Distances Matrix'!U4</f>
        <v>0</v>
      </c>
      <c r="V4" s="3">
        <f>'S28 Transportation Matrix'!V4*'S29 Distances Matrix'!V4</f>
        <v>0</v>
      </c>
      <c r="W4" s="3">
        <f>'S28 Transportation Matrix'!W4*'S29 Distances Matrix'!W4</f>
        <v>0</v>
      </c>
      <c r="X4" s="3">
        <f>'S28 Transportation Matrix'!X4*'S29 Distances Matrix'!X4</f>
        <v>0</v>
      </c>
      <c r="Y4" s="3">
        <f>'S28 Transportation Matrix'!Y4*'S29 Distances Matrix'!Y4</f>
        <v>0</v>
      </c>
      <c r="Z4" s="3">
        <f>'S28 Transportation Matrix'!Z4*'S29 Distances Matrix'!Z4</f>
        <v>0</v>
      </c>
      <c r="AA4" s="3">
        <f>'S28 Transportation Matrix'!AA4*'S29 Distances Matrix'!AA4</f>
        <v>0</v>
      </c>
      <c r="AB4" s="3">
        <f>'S28 Transportation Matrix'!AB4*'S29 Distances Matrix'!AB4</f>
        <v>0</v>
      </c>
      <c r="AC4" s="3">
        <f>'S28 Transportation Matrix'!AC4*'S29 Distances Matrix'!AC4</f>
        <v>0</v>
      </c>
      <c r="AD4" s="3">
        <f>'S28 Transportation Matrix'!AD4*'S29 Distances Matrix'!AD4</f>
        <v>0</v>
      </c>
      <c r="AE4" s="3">
        <f>'S28 Transportation Matrix'!AE4*'S29 Distances Matrix'!AE4</f>
        <v>0</v>
      </c>
      <c r="AF4" s="3">
        <f>'S28 Transportation Matrix'!AF4*'S29 Distances Matrix'!AF4</f>
        <v>0</v>
      </c>
      <c r="AG4" s="3">
        <f>'S28 Transportation Matrix'!AG4*'S29 Distances Matrix'!AG4</f>
        <v>0</v>
      </c>
      <c r="AH4" s="3">
        <f>'S28 Transportation Matrix'!AH4*'S29 Distances Matrix'!AH4</f>
        <v>0</v>
      </c>
      <c r="AI4" s="3">
        <f>'S28 Transportation Matrix'!AI4*'S29 Distances Matrix'!AI4</f>
        <v>0</v>
      </c>
      <c r="AJ4" s="3">
        <f>'S28 Transportation Matrix'!AJ4*'S29 Distances Matrix'!AJ4</f>
        <v>0</v>
      </c>
      <c r="AK4" s="3">
        <f>'S28 Transportation Matrix'!AK4*'S29 Distances Matrix'!AK4</f>
        <v>0</v>
      </c>
      <c r="AL4" s="3">
        <f>'S28 Transportation Matrix'!AL4*'S29 Distances Matrix'!AL4</f>
        <v>0</v>
      </c>
      <c r="AM4" s="3">
        <f>'S28 Transportation Matrix'!AM4*'S29 Distances Matrix'!AM4</f>
        <v>0</v>
      </c>
      <c r="AN4" s="3">
        <f>'S28 Transportation Matrix'!AN4*'S29 Distances Matrix'!AN4</f>
        <v>0</v>
      </c>
      <c r="AO4" s="3">
        <f>'S28 Transportation Matrix'!AO4*'S29 Distances Matrix'!AO4</f>
        <v>0</v>
      </c>
      <c r="AP4" s="3">
        <f>'S28 Transportation Matrix'!AP4*'S29 Distances Matrix'!AP4</f>
        <v>0</v>
      </c>
      <c r="AQ4" s="3">
        <f>'S28 Transportation Matrix'!AQ4*'S29 Distances Matrix'!AQ4</f>
        <v>0</v>
      </c>
      <c r="AR4" s="3">
        <f>'S28 Transportation Matrix'!AR4*'S29 Distances Matrix'!AR4</f>
        <v>0</v>
      </c>
      <c r="AS4" s="3">
        <f>'S28 Transportation Matrix'!AS4*'S29 Distances Matrix'!AS4</f>
        <v>0</v>
      </c>
    </row>
    <row r="5" spans="1:45">
      <c r="A5" s="288" t="s">
        <v>575</v>
      </c>
      <c r="B5" s="3">
        <f>'S28 Transportation Matrix'!B5*'S29 Distances Matrix'!B5</f>
        <v>0</v>
      </c>
      <c r="C5" s="3">
        <f>'S28 Transportation Matrix'!C5*'S29 Distances Matrix'!C5</f>
        <v>0</v>
      </c>
      <c r="D5" s="3">
        <f>'S28 Transportation Matrix'!D5*'S29 Distances Matrix'!D5</f>
        <v>0</v>
      </c>
      <c r="E5" s="3">
        <f>'S28 Transportation Matrix'!E5*'S29 Distances Matrix'!E5</f>
        <v>0</v>
      </c>
      <c r="F5" s="3">
        <f>'S28 Transportation Matrix'!F5*'S29 Distances Matrix'!F5</f>
        <v>0</v>
      </c>
      <c r="G5" s="3">
        <f>'S28 Transportation Matrix'!G5*'S29 Distances Matrix'!G5</f>
        <v>0</v>
      </c>
      <c r="H5" s="3">
        <f>'S28 Transportation Matrix'!H5*'S29 Distances Matrix'!H5</f>
        <v>0</v>
      </c>
      <c r="I5" s="3">
        <f>'S28 Transportation Matrix'!I5*'S29 Distances Matrix'!I5</f>
        <v>0</v>
      </c>
      <c r="J5" s="3">
        <f>'S28 Transportation Matrix'!J5*'S29 Distances Matrix'!J5</f>
        <v>0</v>
      </c>
      <c r="K5" s="3">
        <f>'S28 Transportation Matrix'!K5*'S29 Distances Matrix'!K5</f>
        <v>0</v>
      </c>
      <c r="L5" s="3">
        <f>'S28 Transportation Matrix'!L5*'S29 Distances Matrix'!L5</f>
        <v>0</v>
      </c>
      <c r="M5" s="3">
        <f>'S28 Transportation Matrix'!M5*'S29 Distances Matrix'!M5</f>
        <v>0</v>
      </c>
      <c r="N5" s="3">
        <f>'S28 Transportation Matrix'!N5*'S29 Distances Matrix'!N5</f>
        <v>0</v>
      </c>
      <c r="O5" s="3">
        <f>'S28 Transportation Matrix'!O5*'S29 Distances Matrix'!O5</f>
        <v>0</v>
      </c>
      <c r="P5" s="3">
        <f>'S28 Transportation Matrix'!P5*'S29 Distances Matrix'!P5</f>
        <v>0</v>
      </c>
      <c r="Q5" s="3">
        <f>'S28 Transportation Matrix'!Q5*'S29 Distances Matrix'!Q5</f>
        <v>0</v>
      </c>
      <c r="R5" s="3">
        <f>'S28 Transportation Matrix'!R5*'S29 Distances Matrix'!R5</f>
        <v>0</v>
      </c>
      <c r="S5" s="3">
        <f>'S28 Transportation Matrix'!S5*'S29 Distances Matrix'!S5</f>
        <v>2416</v>
      </c>
      <c r="T5" s="3">
        <f>'S28 Transportation Matrix'!T5*'S29 Distances Matrix'!T5</f>
        <v>0</v>
      </c>
      <c r="U5" s="3">
        <f>'S28 Transportation Matrix'!U5*'S29 Distances Matrix'!U5</f>
        <v>0</v>
      </c>
      <c r="V5" s="3">
        <f>'S28 Transportation Matrix'!V5*'S29 Distances Matrix'!V5</f>
        <v>0</v>
      </c>
      <c r="W5" s="3">
        <f>'S28 Transportation Matrix'!W5*'S29 Distances Matrix'!W5</f>
        <v>0</v>
      </c>
      <c r="X5" s="3">
        <f>'S28 Transportation Matrix'!X5*'S29 Distances Matrix'!X5</f>
        <v>0</v>
      </c>
      <c r="Y5" s="3">
        <f>'S28 Transportation Matrix'!Y5*'S29 Distances Matrix'!Y5</f>
        <v>0</v>
      </c>
      <c r="Z5" s="3">
        <f>'S28 Transportation Matrix'!Z5*'S29 Distances Matrix'!Z5</f>
        <v>0</v>
      </c>
      <c r="AA5" s="3">
        <f>'S28 Transportation Matrix'!AA5*'S29 Distances Matrix'!AA5</f>
        <v>0</v>
      </c>
      <c r="AB5" s="3">
        <f>'S28 Transportation Matrix'!AB5*'S29 Distances Matrix'!AB5</f>
        <v>0</v>
      </c>
      <c r="AC5" s="3">
        <f>'S28 Transportation Matrix'!AC5*'S29 Distances Matrix'!AC5</f>
        <v>0</v>
      </c>
      <c r="AD5" s="3">
        <f>'S28 Transportation Matrix'!AD5*'S29 Distances Matrix'!AD5</f>
        <v>0</v>
      </c>
      <c r="AE5" s="3">
        <f>'S28 Transportation Matrix'!AE5*'S29 Distances Matrix'!AE5</f>
        <v>0</v>
      </c>
      <c r="AF5" s="3">
        <f>'S28 Transportation Matrix'!AF5*'S29 Distances Matrix'!AF5</f>
        <v>0</v>
      </c>
      <c r="AG5" s="3">
        <f>'S28 Transportation Matrix'!AG5*'S29 Distances Matrix'!AG5</f>
        <v>0</v>
      </c>
      <c r="AH5" s="3">
        <f>'S28 Transportation Matrix'!AH5*'S29 Distances Matrix'!AH5</f>
        <v>0</v>
      </c>
      <c r="AI5" s="3">
        <f>'S28 Transportation Matrix'!AI5*'S29 Distances Matrix'!AI5</f>
        <v>0</v>
      </c>
      <c r="AJ5" s="3">
        <f>'S28 Transportation Matrix'!AJ5*'S29 Distances Matrix'!AJ5</f>
        <v>0</v>
      </c>
      <c r="AK5" s="3">
        <f>'S28 Transportation Matrix'!AK5*'S29 Distances Matrix'!AK5</f>
        <v>0</v>
      </c>
      <c r="AL5" s="3">
        <f>'S28 Transportation Matrix'!AL5*'S29 Distances Matrix'!AL5</f>
        <v>0</v>
      </c>
      <c r="AM5" s="3">
        <f>'S28 Transportation Matrix'!AM5*'S29 Distances Matrix'!AM5</f>
        <v>0</v>
      </c>
      <c r="AN5" s="3">
        <f>'S28 Transportation Matrix'!AN5*'S29 Distances Matrix'!AN5</f>
        <v>0</v>
      </c>
      <c r="AO5" s="3">
        <f>'S28 Transportation Matrix'!AO5*'S29 Distances Matrix'!AO5</f>
        <v>0</v>
      </c>
      <c r="AP5" s="3">
        <f>'S28 Transportation Matrix'!AP5*'S29 Distances Matrix'!AP5</f>
        <v>0</v>
      </c>
      <c r="AQ5" s="3">
        <f>'S28 Transportation Matrix'!AQ5*'S29 Distances Matrix'!AQ5</f>
        <v>0</v>
      </c>
      <c r="AR5" s="3">
        <f>'S28 Transportation Matrix'!AR5*'S29 Distances Matrix'!AR5</f>
        <v>0</v>
      </c>
      <c r="AS5" s="3">
        <f>'S28 Transportation Matrix'!AS5*'S29 Distances Matrix'!AS5</f>
        <v>0</v>
      </c>
    </row>
    <row r="6" spans="1:45">
      <c r="A6" s="288" t="s">
        <v>576</v>
      </c>
      <c r="B6" s="3">
        <f>'S28 Transportation Matrix'!B6*'S29 Distances Matrix'!B6</f>
        <v>0</v>
      </c>
      <c r="C6" s="3">
        <f>'S28 Transportation Matrix'!C6*'S29 Distances Matrix'!C6</f>
        <v>0</v>
      </c>
      <c r="D6" s="3">
        <f>'S28 Transportation Matrix'!D6*'S29 Distances Matrix'!D6</f>
        <v>0</v>
      </c>
      <c r="E6" s="3">
        <f>'S28 Transportation Matrix'!E6*'S29 Distances Matrix'!E6</f>
        <v>0</v>
      </c>
      <c r="F6" s="3">
        <f>'S28 Transportation Matrix'!F6*'S29 Distances Matrix'!F6</f>
        <v>0</v>
      </c>
      <c r="G6" s="3">
        <f>'S28 Transportation Matrix'!G6*'S29 Distances Matrix'!G6</f>
        <v>0</v>
      </c>
      <c r="H6" s="3">
        <f>'S28 Transportation Matrix'!H6*'S29 Distances Matrix'!H6</f>
        <v>0</v>
      </c>
      <c r="I6" s="3">
        <f>'S28 Transportation Matrix'!I6*'S29 Distances Matrix'!I6</f>
        <v>0</v>
      </c>
      <c r="J6" s="3">
        <f>'S28 Transportation Matrix'!J6*'S29 Distances Matrix'!J6</f>
        <v>0</v>
      </c>
      <c r="K6" s="3">
        <f>'S28 Transportation Matrix'!K6*'S29 Distances Matrix'!K6</f>
        <v>0</v>
      </c>
      <c r="L6" s="3">
        <f>'S28 Transportation Matrix'!L6*'S29 Distances Matrix'!L6</f>
        <v>0</v>
      </c>
      <c r="M6" s="3">
        <f>'S28 Transportation Matrix'!M6*'S29 Distances Matrix'!M6</f>
        <v>0</v>
      </c>
      <c r="N6" s="3">
        <f>'S28 Transportation Matrix'!N6*'S29 Distances Matrix'!N6</f>
        <v>0</v>
      </c>
      <c r="O6" s="3">
        <f>'S28 Transportation Matrix'!O6*'S29 Distances Matrix'!O6</f>
        <v>0</v>
      </c>
      <c r="P6" s="3">
        <f>'S28 Transportation Matrix'!P6*'S29 Distances Matrix'!P6</f>
        <v>0</v>
      </c>
      <c r="Q6" s="3">
        <f>'S28 Transportation Matrix'!Q6*'S29 Distances Matrix'!Q6</f>
        <v>0</v>
      </c>
      <c r="R6" s="3">
        <f>'S28 Transportation Matrix'!R6*'S29 Distances Matrix'!R6</f>
        <v>0</v>
      </c>
      <c r="S6" s="3">
        <f>'S28 Transportation Matrix'!S6*'S29 Distances Matrix'!S6</f>
        <v>0</v>
      </c>
      <c r="T6" s="3">
        <f>'S28 Transportation Matrix'!T6*'S29 Distances Matrix'!T6</f>
        <v>0</v>
      </c>
      <c r="U6" s="3">
        <f>'S28 Transportation Matrix'!U6*'S29 Distances Matrix'!U6</f>
        <v>0</v>
      </c>
      <c r="V6" s="3">
        <f>'S28 Transportation Matrix'!V6*'S29 Distances Matrix'!V6</f>
        <v>0</v>
      </c>
      <c r="W6" s="3">
        <f>'S28 Transportation Matrix'!W6*'S29 Distances Matrix'!W6</f>
        <v>0</v>
      </c>
      <c r="X6" s="3">
        <f>'S28 Transportation Matrix'!X6*'S29 Distances Matrix'!X6</f>
        <v>1420</v>
      </c>
      <c r="Y6" s="3">
        <f>'S28 Transportation Matrix'!Y6*'S29 Distances Matrix'!Y6</f>
        <v>0</v>
      </c>
      <c r="Z6" s="3">
        <f>'S28 Transportation Matrix'!Z6*'S29 Distances Matrix'!Z6</f>
        <v>0</v>
      </c>
      <c r="AA6" s="3">
        <f>'S28 Transportation Matrix'!AA6*'S29 Distances Matrix'!AA6</f>
        <v>0</v>
      </c>
      <c r="AB6" s="3">
        <f>'S28 Transportation Matrix'!AB6*'S29 Distances Matrix'!AB6</f>
        <v>0</v>
      </c>
      <c r="AC6" s="3">
        <f>'S28 Transportation Matrix'!AC6*'S29 Distances Matrix'!AC6</f>
        <v>0</v>
      </c>
      <c r="AD6" s="3">
        <f>'S28 Transportation Matrix'!AD6*'S29 Distances Matrix'!AD6</f>
        <v>0</v>
      </c>
      <c r="AE6" s="3">
        <f>'S28 Transportation Matrix'!AE6*'S29 Distances Matrix'!AE6</f>
        <v>0</v>
      </c>
      <c r="AF6" s="3">
        <f>'S28 Transportation Matrix'!AF6*'S29 Distances Matrix'!AF6</f>
        <v>0</v>
      </c>
      <c r="AG6" s="3">
        <f>'S28 Transportation Matrix'!AG6*'S29 Distances Matrix'!AG6</f>
        <v>0</v>
      </c>
      <c r="AH6" s="3">
        <f>'S28 Transportation Matrix'!AH6*'S29 Distances Matrix'!AH6</f>
        <v>0</v>
      </c>
      <c r="AI6" s="3">
        <f>'S28 Transportation Matrix'!AI6*'S29 Distances Matrix'!AI6</f>
        <v>0</v>
      </c>
      <c r="AJ6" s="3">
        <f>'S28 Transportation Matrix'!AJ6*'S29 Distances Matrix'!AJ6</f>
        <v>0</v>
      </c>
      <c r="AK6" s="3">
        <f>'S28 Transportation Matrix'!AK6*'S29 Distances Matrix'!AK6</f>
        <v>0</v>
      </c>
      <c r="AL6" s="3">
        <f>'S28 Transportation Matrix'!AL6*'S29 Distances Matrix'!AL6</f>
        <v>0</v>
      </c>
      <c r="AM6" s="3">
        <f>'S28 Transportation Matrix'!AM6*'S29 Distances Matrix'!AM6</f>
        <v>0</v>
      </c>
      <c r="AN6" s="3">
        <f>'S28 Transportation Matrix'!AN6*'S29 Distances Matrix'!AN6</f>
        <v>0</v>
      </c>
      <c r="AO6" s="3">
        <f>'S28 Transportation Matrix'!AO6*'S29 Distances Matrix'!AO6</f>
        <v>0</v>
      </c>
      <c r="AP6" s="3">
        <f>'S28 Transportation Matrix'!AP6*'S29 Distances Matrix'!AP6</f>
        <v>0</v>
      </c>
      <c r="AQ6" s="3">
        <f>'S28 Transportation Matrix'!AQ6*'S29 Distances Matrix'!AQ6</f>
        <v>0</v>
      </c>
      <c r="AR6" s="3">
        <f>'S28 Transportation Matrix'!AR6*'S29 Distances Matrix'!AR6</f>
        <v>0</v>
      </c>
      <c r="AS6" s="3">
        <f>'S28 Transportation Matrix'!AS6*'S29 Distances Matrix'!AS6</f>
        <v>0</v>
      </c>
    </row>
    <row r="7" spans="1:45">
      <c r="A7" s="288" t="s">
        <v>577</v>
      </c>
      <c r="B7" s="3">
        <f>'S28 Transportation Matrix'!B7*'S29 Distances Matrix'!B7</f>
        <v>0</v>
      </c>
      <c r="C7" s="3">
        <f>'S28 Transportation Matrix'!C7*'S29 Distances Matrix'!C7</f>
        <v>0</v>
      </c>
      <c r="D7" s="3">
        <f>'S28 Transportation Matrix'!D7*'S29 Distances Matrix'!D7</f>
        <v>3479</v>
      </c>
      <c r="E7" s="3">
        <f>'S28 Transportation Matrix'!E7*'S29 Distances Matrix'!E7</f>
        <v>0</v>
      </c>
      <c r="F7" s="3">
        <f>'S28 Transportation Matrix'!F7*'S29 Distances Matrix'!F7</f>
        <v>0</v>
      </c>
      <c r="G7" s="3">
        <f>'S28 Transportation Matrix'!G7*'S29 Distances Matrix'!G7</f>
        <v>0</v>
      </c>
      <c r="H7" s="3">
        <f>'S28 Transportation Matrix'!H7*'S29 Distances Matrix'!H7</f>
        <v>0</v>
      </c>
      <c r="I7" s="3">
        <f>'S28 Transportation Matrix'!I7*'S29 Distances Matrix'!I7</f>
        <v>0</v>
      </c>
      <c r="J7" s="3">
        <f>'S28 Transportation Matrix'!J7*'S29 Distances Matrix'!J7</f>
        <v>0</v>
      </c>
      <c r="K7" s="3">
        <f>'S28 Transportation Matrix'!K7*'S29 Distances Matrix'!K7</f>
        <v>0</v>
      </c>
      <c r="L7" s="3">
        <f>'S28 Transportation Matrix'!L7*'S29 Distances Matrix'!L7</f>
        <v>0</v>
      </c>
      <c r="M7" s="3">
        <f>'S28 Transportation Matrix'!M7*'S29 Distances Matrix'!M7</f>
        <v>0</v>
      </c>
      <c r="N7" s="3">
        <f>'S28 Transportation Matrix'!N7*'S29 Distances Matrix'!N7</f>
        <v>0</v>
      </c>
      <c r="O7" s="3">
        <f>'S28 Transportation Matrix'!O7*'S29 Distances Matrix'!O7</f>
        <v>0</v>
      </c>
      <c r="P7" s="3">
        <f>'S28 Transportation Matrix'!P7*'S29 Distances Matrix'!P7</f>
        <v>0</v>
      </c>
      <c r="Q7" s="3">
        <f>'S28 Transportation Matrix'!Q7*'S29 Distances Matrix'!Q7</f>
        <v>0</v>
      </c>
      <c r="R7" s="3">
        <f>'S28 Transportation Matrix'!R7*'S29 Distances Matrix'!R7</f>
        <v>0</v>
      </c>
      <c r="S7" s="3">
        <f>'S28 Transportation Matrix'!S7*'S29 Distances Matrix'!S7</f>
        <v>0</v>
      </c>
      <c r="T7" s="3">
        <f>'S28 Transportation Matrix'!T7*'S29 Distances Matrix'!T7</f>
        <v>0</v>
      </c>
      <c r="U7" s="3">
        <f>'S28 Transportation Matrix'!U7*'S29 Distances Matrix'!U7</f>
        <v>0</v>
      </c>
      <c r="V7" s="3">
        <f>'S28 Transportation Matrix'!V7*'S29 Distances Matrix'!V7</f>
        <v>0</v>
      </c>
      <c r="W7" s="3">
        <f>'S28 Transportation Matrix'!W7*'S29 Distances Matrix'!W7</f>
        <v>0</v>
      </c>
      <c r="X7" s="3">
        <f>'S28 Transportation Matrix'!X7*'S29 Distances Matrix'!X7</f>
        <v>0</v>
      </c>
      <c r="Y7" s="3">
        <f>'S28 Transportation Matrix'!Y7*'S29 Distances Matrix'!Y7</f>
        <v>0</v>
      </c>
      <c r="Z7" s="3">
        <f>'S28 Transportation Matrix'!Z7*'S29 Distances Matrix'!Z7</f>
        <v>0</v>
      </c>
      <c r="AA7" s="3">
        <f>'S28 Transportation Matrix'!AA7*'S29 Distances Matrix'!AA7</f>
        <v>0</v>
      </c>
      <c r="AB7" s="3">
        <f>'S28 Transportation Matrix'!AB7*'S29 Distances Matrix'!AB7</f>
        <v>0</v>
      </c>
      <c r="AC7" s="3">
        <f>'S28 Transportation Matrix'!AC7*'S29 Distances Matrix'!AC7</f>
        <v>0</v>
      </c>
      <c r="AD7" s="3">
        <f>'S28 Transportation Matrix'!AD7*'S29 Distances Matrix'!AD7</f>
        <v>0</v>
      </c>
      <c r="AE7" s="3">
        <f>'S28 Transportation Matrix'!AE7*'S29 Distances Matrix'!AE7</f>
        <v>0</v>
      </c>
      <c r="AF7" s="3">
        <f>'S28 Transportation Matrix'!AF7*'S29 Distances Matrix'!AF7</f>
        <v>0</v>
      </c>
      <c r="AG7" s="3">
        <f>'S28 Transportation Matrix'!AG7*'S29 Distances Matrix'!AG7</f>
        <v>0</v>
      </c>
      <c r="AH7" s="3">
        <f>'S28 Transportation Matrix'!AH7*'S29 Distances Matrix'!AH7</f>
        <v>0</v>
      </c>
      <c r="AI7" s="3">
        <f>'S28 Transportation Matrix'!AI7*'S29 Distances Matrix'!AI7</f>
        <v>0</v>
      </c>
      <c r="AJ7" s="3">
        <f>'S28 Transportation Matrix'!AJ7*'S29 Distances Matrix'!AJ7</f>
        <v>0</v>
      </c>
      <c r="AK7" s="3">
        <f>'S28 Transportation Matrix'!AK7*'S29 Distances Matrix'!AK7</f>
        <v>0</v>
      </c>
      <c r="AL7" s="3">
        <f>'S28 Transportation Matrix'!AL7*'S29 Distances Matrix'!AL7</f>
        <v>0</v>
      </c>
      <c r="AM7" s="3">
        <f>'S28 Transportation Matrix'!AM7*'S29 Distances Matrix'!AM7</f>
        <v>0</v>
      </c>
      <c r="AN7" s="3">
        <f>'S28 Transportation Matrix'!AN7*'S29 Distances Matrix'!AN7</f>
        <v>0</v>
      </c>
      <c r="AO7" s="3">
        <f>'S28 Transportation Matrix'!AO7*'S29 Distances Matrix'!AO7</f>
        <v>0</v>
      </c>
      <c r="AP7" s="3">
        <f>'S28 Transportation Matrix'!AP7*'S29 Distances Matrix'!AP7</f>
        <v>0</v>
      </c>
      <c r="AQ7" s="3">
        <f>'S28 Transportation Matrix'!AQ7*'S29 Distances Matrix'!AQ7</f>
        <v>0</v>
      </c>
      <c r="AR7" s="3">
        <f>'S28 Transportation Matrix'!AR7*'S29 Distances Matrix'!AR7</f>
        <v>0</v>
      </c>
      <c r="AS7" s="3">
        <f>'S28 Transportation Matrix'!AS7*'S29 Distances Matrix'!AS7</f>
        <v>0</v>
      </c>
    </row>
    <row r="8" spans="1:45">
      <c r="A8" s="288" t="s">
        <v>578</v>
      </c>
      <c r="B8" s="3">
        <f>'S28 Transportation Matrix'!B8*'S29 Distances Matrix'!B8</f>
        <v>0</v>
      </c>
      <c r="C8" s="3">
        <f>'S28 Transportation Matrix'!C8*'S29 Distances Matrix'!C8</f>
        <v>0</v>
      </c>
      <c r="D8" s="3">
        <f>'S28 Transportation Matrix'!D8*'S29 Distances Matrix'!D8</f>
        <v>0</v>
      </c>
      <c r="E8" s="3">
        <f>'S28 Transportation Matrix'!E8*'S29 Distances Matrix'!E8</f>
        <v>0</v>
      </c>
      <c r="F8" s="3">
        <f>'S28 Transportation Matrix'!F8*'S29 Distances Matrix'!F8</f>
        <v>0</v>
      </c>
      <c r="G8" s="3">
        <f>'S28 Transportation Matrix'!G8*'S29 Distances Matrix'!G8</f>
        <v>0</v>
      </c>
      <c r="H8" s="3">
        <f>'S28 Transportation Matrix'!H8*'S29 Distances Matrix'!H8</f>
        <v>0</v>
      </c>
      <c r="I8" s="3">
        <f>'S28 Transportation Matrix'!I8*'S29 Distances Matrix'!I8</f>
        <v>0</v>
      </c>
      <c r="J8" s="3">
        <f>'S28 Transportation Matrix'!J8*'S29 Distances Matrix'!J8</f>
        <v>0</v>
      </c>
      <c r="K8" s="3">
        <f>'S28 Transportation Matrix'!K8*'S29 Distances Matrix'!K8</f>
        <v>0</v>
      </c>
      <c r="L8" s="3">
        <f>'S28 Transportation Matrix'!L8*'S29 Distances Matrix'!L8</f>
        <v>0</v>
      </c>
      <c r="M8" s="3">
        <f>'S28 Transportation Matrix'!M8*'S29 Distances Matrix'!M8</f>
        <v>0</v>
      </c>
      <c r="N8" s="3">
        <f>'S28 Transportation Matrix'!N8*'S29 Distances Matrix'!N8</f>
        <v>0</v>
      </c>
      <c r="O8" s="3">
        <f>'S28 Transportation Matrix'!O8*'S29 Distances Matrix'!O8</f>
        <v>0</v>
      </c>
      <c r="P8" s="3">
        <f>'S28 Transportation Matrix'!P8*'S29 Distances Matrix'!P8</f>
        <v>0</v>
      </c>
      <c r="Q8" s="3">
        <f>'S28 Transportation Matrix'!Q8*'S29 Distances Matrix'!Q8</f>
        <v>0</v>
      </c>
      <c r="R8" s="3">
        <f>'S28 Transportation Matrix'!R8*'S29 Distances Matrix'!R8</f>
        <v>0</v>
      </c>
      <c r="S8" s="3">
        <f>'S28 Transportation Matrix'!S8*'S29 Distances Matrix'!S8</f>
        <v>0</v>
      </c>
      <c r="T8" s="3">
        <f>'S28 Transportation Matrix'!T8*'S29 Distances Matrix'!T8</f>
        <v>0</v>
      </c>
      <c r="U8" s="3">
        <f>'S28 Transportation Matrix'!U8*'S29 Distances Matrix'!U8</f>
        <v>0</v>
      </c>
      <c r="V8" s="3">
        <f>'S28 Transportation Matrix'!V8*'S29 Distances Matrix'!V8</f>
        <v>0</v>
      </c>
      <c r="W8" s="3">
        <f>'S28 Transportation Matrix'!W8*'S29 Distances Matrix'!W8</f>
        <v>0</v>
      </c>
      <c r="X8" s="3">
        <f>'S28 Transportation Matrix'!X8*'S29 Distances Matrix'!X8</f>
        <v>0</v>
      </c>
      <c r="Y8" s="3">
        <f>'S28 Transportation Matrix'!Y8*'S29 Distances Matrix'!Y8</f>
        <v>0</v>
      </c>
      <c r="Z8" s="3">
        <f>'S28 Transportation Matrix'!Z8*'S29 Distances Matrix'!Z8</f>
        <v>4047</v>
      </c>
      <c r="AA8" s="3">
        <f>'S28 Transportation Matrix'!AA8*'S29 Distances Matrix'!AA8</f>
        <v>0</v>
      </c>
      <c r="AB8" s="3">
        <f>'S28 Transportation Matrix'!AB8*'S29 Distances Matrix'!AB8</f>
        <v>0</v>
      </c>
      <c r="AC8" s="3">
        <f>'S28 Transportation Matrix'!AC8*'S29 Distances Matrix'!AC8</f>
        <v>0</v>
      </c>
      <c r="AD8" s="3">
        <f>'S28 Transportation Matrix'!AD8*'S29 Distances Matrix'!AD8</f>
        <v>0</v>
      </c>
      <c r="AE8" s="3">
        <f>'S28 Transportation Matrix'!AE8*'S29 Distances Matrix'!AE8</f>
        <v>0</v>
      </c>
      <c r="AF8" s="3">
        <f>'S28 Transportation Matrix'!AF8*'S29 Distances Matrix'!AF8</f>
        <v>0</v>
      </c>
      <c r="AG8" s="3">
        <f>'S28 Transportation Matrix'!AG8*'S29 Distances Matrix'!AG8</f>
        <v>0</v>
      </c>
      <c r="AH8" s="3">
        <f>'S28 Transportation Matrix'!AH8*'S29 Distances Matrix'!AH8</f>
        <v>0</v>
      </c>
      <c r="AI8" s="3">
        <f>'S28 Transportation Matrix'!AI8*'S29 Distances Matrix'!AI8</f>
        <v>0</v>
      </c>
      <c r="AJ8" s="3">
        <f>'S28 Transportation Matrix'!AJ8*'S29 Distances Matrix'!AJ8</f>
        <v>0</v>
      </c>
      <c r="AK8" s="3">
        <f>'S28 Transportation Matrix'!AK8*'S29 Distances Matrix'!AK8</f>
        <v>0</v>
      </c>
      <c r="AL8" s="3">
        <f>'S28 Transportation Matrix'!AL8*'S29 Distances Matrix'!AL8</f>
        <v>0</v>
      </c>
      <c r="AM8" s="3">
        <f>'S28 Transportation Matrix'!AM8*'S29 Distances Matrix'!AM8</f>
        <v>0</v>
      </c>
      <c r="AN8" s="3">
        <f>'S28 Transportation Matrix'!AN8*'S29 Distances Matrix'!AN8</f>
        <v>0</v>
      </c>
      <c r="AO8" s="3">
        <f>'S28 Transportation Matrix'!AO8*'S29 Distances Matrix'!AO8</f>
        <v>0</v>
      </c>
      <c r="AP8" s="3">
        <f>'S28 Transportation Matrix'!AP8*'S29 Distances Matrix'!AP8</f>
        <v>0</v>
      </c>
      <c r="AQ8" s="3">
        <f>'S28 Transportation Matrix'!AQ8*'S29 Distances Matrix'!AQ8</f>
        <v>0</v>
      </c>
      <c r="AR8" s="3">
        <f>'S28 Transportation Matrix'!AR8*'S29 Distances Matrix'!AR8</f>
        <v>0</v>
      </c>
      <c r="AS8" s="3">
        <f>'S28 Transportation Matrix'!AS8*'S29 Distances Matrix'!AS8</f>
        <v>0</v>
      </c>
    </row>
    <row r="9" spans="1:45">
      <c r="A9" s="288" t="s">
        <v>579</v>
      </c>
      <c r="B9" s="3">
        <f>'S28 Transportation Matrix'!B9*'S29 Distances Matrix'!B9</f>
        <v>0</v>
      </c>
      <c r="C9" s="3">
        <f>'S28 Transportation Matrix'!C9*'S29 Distances Matrix'!C9</f>
        <v>0</v>
      </c>
      <c r="D9" s="3">
        <f>'S28 Transportation Matrix'!D9*'S29 Distances Matrix'!D9</f>
        <v>0</v>
      </c>
      <c r="E9" s="3">
        <f>'S28 Transportation Matrix'!E9*'S29 Distances Matrix'!E9</f>
        <v>0</v>
      </c>
      <c r="F9" s="3">
        <f>'S28 Transportation Matrix'!F9*'S29 Distances Matrix'!F9</f>
        <v>0</v>
      </c>
      <c r="G9" s="3">
        <f>'S28 Transportation Matrix'!G9*'S29 Distances Matrix'!G9</f>
        <v>0</v>
      </c>
      <c r="H9" s="3">
        <f>'S28 Transportation Matrix'!H9*'S29 Distances Matrix'!H9</f>
        <v>0</v>
      </c>
      <c r="I9" s="3">
        <f>'S28 Transportation Matrix'!I9*'S29 Distances Matrix'!I9</f>
        <v>0</v>
      </c>
      <c r="J9" s="3">
        <f>'S28 Transportation Matrix'!J9*'S29 Distances Matrix'!J9</f>
        <v>0</v>
      </c>
      <c r="K9" s="3">
        <f>'S28 Transportation Matrix'!K9*'S29 Distances Matrix'!K9</f>
        <v>0</v>
      </c>
      <c r="L9" s="3">
        <f>'S28 Transportation Matrix'!L9*'S29 Distances Matrix'!L9</f>
        <v>0</v>
      </c>
      <c r="M9" s="3">
        <f>'S28 Transportation Matrix'!M9*'S29 Distances Matrix'!M9</f>
        <v>0</v>
      </c>
      <c r="N9" s="3">
        <f>'S28 Transportation Matrix'!N9*'S29 Distances Matrix'!N9</f>
        <v>0</v>
      </c>
      <c r="O9" s="3">
        <f>'S28 Transportation Matrix'!O9*'S29 Distances Matrix'!O9</f>
        <v>0</v>
      </c>
      <c r="P9" s="3">
        <f>'S28 Transportation Matrix'!P9*'S29 Distances Matrix'!P9</f>
        <v>0</v>
      </c>
      <c r="Q9" s="3">
        <f>'S28 Transportation Matrix'!Q9*'S29 Distances Matrix'!Q9</f>
        <v>0</v>
      </c>
      <c r="R9" s="3">
        <f>'S28 Transportation Matrix'!R9*'S29 Distances Matrix'!R9</f>
        <v>0</v>
      </c>
      <c r="S9" s="3">
        <f>'S28 Transportation Matrix'!S9*'S29 Distances Matrix'!S9</f>
        <v>0</v>
      </c>
      <c r="T9" s="3">
        <f>'S28 Transportation Matrix'!T9*'S29 Distances Matrix'!T9</f>
        <v>0</v>
      </c>
      <c r="U9" s="3">
        <f>'S28 Transportation Matrix'!U9*'S29 Distances Matrix'!U9</f>
        <v>0</v>
      </c>
      <c r="V9" s="3">
        <f>'S28 Transportation Matrix'!V9*'S29 Distances Matrix'!V9</f>
        <v>0</v>
      </c>
      <c r="W9" s="3">
        <f>'S28 Transportation Matrix'!W9*'S29 Distances Matrix'!W9</f>
        <v>0</v>
      </c>
      <c r="X9" s="3">
        <f>'S28 Transportation Matrix'!X9*'S29 Distances Matrix'!X9</f>
        <v>0</v>
      </c>
      <c r="Y9" s="3">
        <f>'S28 Transportation Matrix'!Y9*'S29 Distances Matrix'!Y9</f>
        <v>0</v>
      </c>
      <c r="Z9" s="3">
        <f>'S28 Transportation Matrix'!Z9*'S29 Distances Matrix'!Z9</f>
        <v>0</v>
      </c>
      <c r="AA9" s="3">
        <f>'S28 Transportation Matrix'!AA9*'S29 Distances Matrix'!AA9</f>
        <v>0</v>
      </c>
      <c r="AB9" s="3">
        <f>'S28 Transportation Matrix'!AB9*'S29 Distances Matrix'!AB9</f>
        <v>0</v>
      </c>
      <c r="AC9" s="3">
        <f>'S28 Transportation Matrix'!AC9*'S29 Distances Matrix'!AC9</f>
        <v>0</v>
      </c>
      <c r="AD9" s="3">
        <f>'S28 Transportation Matrix'!AD9*'S29 Distances Matrix'!AD9</f>
        <v>0</v>
      </c>
      <c r="AE9" s="3">
        <f>'S28 Transportation Matrix'!AE9*'S29 Distances Matrix'!AE9</f>
        <v>0</v>
      </c>
      <c r="AF9" s="3">
        <f>'S28 Transportation Matrix'!AF9*'S29 Distances Matrix'!AF9</f>
        <v>0</v>
      </c>
      <c r="AG9" s="3">
        <f>'S28 Transportation Matrix'!AG9*'S29 Distances Matrix'!AG9</f>
        <v>0</v>
      </c>
      <c r="AH9" s="3">
        <f>'S28 Transportation Matrix'!AH9*'S29 Distances Matrix'!AH9</f>
        <v>0</v>
      </c>
      <c r="AI9" s="3">
        <f>'S28 Transportation Matrix'!AI9*'S29 Distances Matrix'!AI9</f>
        <v>0</v>
      </c>
      <c r="AJ9" s="3">
        <f>'S28 Transportation Matrix'!AJ9*'S29 Distances Matrix'!AJ9</f>
        <v>0</v>
      </c>
      <c r="AK9" s="3">
        <f>'S28 Transportation Matrix'!AK9*'S29 Distances Matrix'!AK9</f>
        <v>0</v>
      </c>
      <c r="AL9" s="3">
        <f>'S28 Transportation Matrix'!AL9*'S29 Distances Matrix'!AL9</f>
        <v>0</v>
      </c>
      <c r="AM9" s="3">
        <f>'S28 Transportation Matrix'!AM9*'S29 Distances Matrix'!AM9</f>
        <v>0</v>
      </c>
      <c r="AN9" s="3">
        <f>'S28 Transportation Matrix'!AN9*'S29 Distances Matrix'!AN9</f>
        <v>0</v>
      </c>
      <c r="AO9" s="3">
        <f>'S28 Transportation Matrix'!AO9*'S29 Distances Matrix'!AO9</f>
        <v>0</v>
      </c>
      <c r="AP9" s="3">
        <f>'S28 Transportation Matrix'!AP9*'S29 Distances Matrix'!AP9</f>
        <v>0</v>
      </c>
      <c r="AQ9" s="3">
        <f>'S28 Transportation Matrix'!AQ9*'S29 Distances Matrix'!AQ9</f>
        <v>0</v>
      </c>
      <c r="AR9" s="3">
        <f>'S28 Transportation Matrix'!AR9*'S29 Distances Matrix'!AR9</f>
        <v>0</v>
      </c>
      <c r="AS9" s="3">
        <f>'S28 Transportation Matrix'!AS9*'S29 Distances Matrix'!AS9</f>
        <v>0</v>
      </c>
    </row>
    <row r="10" spans="1:45">
      <c r="A10" s="288" t="s">
        <v>580</v>
      </c>
      <c r="B10" s="3">
        <f>'S28 Transportation Matrix'!B10*'S29 Distances Matrix'!B10</f>
        <v>0</v>
      </c>
      <c r="C10" s="3">
        <f>'S28 Transportation Matrix'!C10*'S29 Distances Matrix'!C10</f>
        <v>0</v>
      </c>
      <c r="D10" s="3">
        <f>'S28 Transportation Matrix'!D10*'S29 Distances Matrix'!D10</f>
        <v>0</v>
      </c>
      <c r="E10" s="3">
        <f>'S28 Transportation Matrix'!E10*'S29 Distances Matrix'!E10</f>
        <v>0</v>
      </c>
      <c r="F10" s="3">
        <f>'S28 Transportation Matrix'!F10*'S29 Distances Matrix'!F10</f>
        <v>0</v>
      </c>
      <c r="G10" s="3">
        <f>'S28 Transportation Matrix'!G10*'S29 Distances Matrix'!G10</f>
        <v>0</v>
      </c>
      <c r="H10" s="3">
        <f>'S28 Transportation Matrix'!H10*'S29 Distances Matrix'!H10</f>
        <v>0</v>
      </c>
      <c r="I10" s="3">
        <f>'S28 Transportation Matrix'!I10*'S29 Distances Matrix'!I10</f>
        <v>0</v>
      </c>
      <c r="J10" s="3">
        <f>'S28 Transportation Matrix'!J10*'S29 Distances Matrix'!J10</f>
        <v>0</v>
      </c>
      <c r="K10" s="3">
        <f>'S28 Transportation Matrix'!K10*'S29 Distances Matrix'!K10</f>
        <v>0</v>
      </c>
      <c r="L10" s="3">
        <f>'S28 Transportation Matrix'!L10*'S29 Distances Matrix'!L10</f>
        <v>0</v>
      </c>
      <c r="M10" s="3">
        <f>'S28 Transportation Matrix'!M10*'S29 Distances Matrix'!M10</f>
        <v>0</v>
      </c>
      <c r="N10" s="3">
        <f>'S28 Transportation Matrix'!N10*'S29 Distances Matrix'!N10</f>
        <v>0</v>
      </c>
      <c r="O10" s="3">
        <f>'S28 Transportation Matrix'!O10*'S29 Distances Matrix'!O10</f>
        <v>0</v>
      </c>
      <c r="P10" s="3">
        <f>'S28 Transportation Matrix'!P10*'S29 Distances Matrix'!P10</f>
        <v>0</v>
      </c>
      <c r="Q10" s="3">
        <f>'S28 Transportation Matrix'!Q10*'S29 Distances Matrix'!Q10</f>
        <v>0</v>
      </c>
      <c r="R10" s="3">
        <f>'S28 Transportation Matrix'!R10*'S29 Distances Matrix'!R10</f>
        <v>0</v>
      </c>
      <c r="S10" s="3">
        <f>'S28 Transportation Matrix'!S10*'S29 Distances Matrix'!S10</f>
        <v>0</v>
      </c>
      <c r="T10" s="3">
        <f>'S28 Transportation Matrix'!T10*'S29 Distances Matrix'!T10</f>
        <v>0</v>
      </c>
      <c r="U10" s="3">
        <f>'S28 Transportation Matrix'!U10*'S29 Distances Matrix'!U10</f>
        <v>0</v>
      </c>
      <c r="V10" s="3">
        <f>'S28 Transportation Matrix'!V10*'S29 Distances Matrix'!V10</f>
        <v>2314</v>
      </c>
      <c r="W10" s="3">
        <f>'S28 Transportation Matrix'!W10*'S29 Distances Matrix'!W10</f>
        <v>0</v>
      </c>
      <c r="X10" s="3">
        <f>'S28 Transportation Matrix'!X10*'S29 Distances Matrix'!X10</f>
        <v>0</v>
      </c>
      <c r="Y10" s="3">
        <f>'S28 Transportation Matrix'!Y10*'S29 Distances Matrix'!Y10</f>
        <v>0</v>
      </c>
      <c r="Z10" s="3">
        <f>'S28 Transportation Matrix'!Z10*'S29 Distances Matrix'!Z10</f>
        <v>0</v>
      </c>
      <c r="AA10" s="3">
        <f>'S28 Transportation Matrix'!AA10*'S29 Distances Matrix'!AA10</f>
        <v>0</v>
      </c>
      <c r="AB10" s="3">
        <f>'S28 Transportation Matrix'!AB10*'S29 Distances Matrix'!AB10</f>
        <v>0</v>
      </c>
      <c r="AC10" s="3">
        <f>'S28 Transportation Matrix'!AC10*'S29 Distances Matrix'!AC10</f>
        <v>0</v>
      </c>
      <c r="AD10" s="3">
        <f>'S28 Transportation Matrix'!AD10*'S29 Distances Matrix'!AD10</f>
        <v>0</v>
      </c>
      <c r="AE10" s="3">
        <f>'S28 Transportation Matrix'!AE10*'S29 Distances Matrix'!AE10</f>
        <v>0</v>
      </c>
      <c r="AF10" s="3">
        <f>'S28 Transportation Matrix'!AF10*'S29 Distances Matrix'!AF10</f>
        <v>0</v>
      </c>
      <c r="AG10" s="3">
        <f>'S28 Transportation Matrix'!AG10*'S29 Distances Matrix'!AG10</f>
        <v>0</v>
      </c>
      <c r="AH10" s="3">
        <f>'S28 Transportation Matrix'!AH10*'S29 Distances Matrix'!AH10</f>
        <v>0</v>
      </c>
      <c r="AI10" s="3">
        <f>'S28 Transportation Matrix'!AI10*'S29 Distances Matrix'!AI10</f>
        <v>0</v>
      </c>
      <c r="AJ10" s="3">
        <f>'S28 Transportation Matrix'!AJ10*'S29 Distances Matrix'!AJ10</f>
        <v>0</v>
      </c>
      <c r="AK10" s="3">
        <f>'S28 Transportation Matrix'!AK10*'S29 Distances Matrix'!AK10</f>
        <v>0</v>
      </c>
      <c r="AL10" s="3">
        <f>'S28 Transportation Matrix'!AL10*'S29 Distances Matrix'!AL10</f>
        <v>0</v>
      </c>
      <c r="AM10" s="3">
        <f>'S28 Transportation Matrix'!AM10*'S29 Distances Matrix'!AM10</f>
        <v>0</v>
      </c>
      <c r="AN10" s="3">
        <f>'S28 Transportation Matrix'!AN10*'S29 Distances Matrix'!AN10</f>
        <v>0</v>
      </c>
      <c r="AO10" s="3">
        <f>'S28 Transportation Matrix'!AO10*'S29 Distances Matrix'!AO10</f>
        <v>0</v>
      </c>
      <c r="AP10" s="3">
        <f>'S28 Transportation Matrix'!AP10*'S29 Distances Matrix'!AP10</f>
        <v>0</v>
      </c>
      <c r="AQ10" s="3">
        <f>'S28 Transportation Matrix'!AQ10*'S29 Distances Matrix'!AQ10</f>
        <v>0</v>
      </c>
      <c r="AR10" s="3">
        <f>'S28 Transportation Matrix'!AR10*'S29 Distances Matrix'!AR10</f>
        <v>0</v>
      </c>
      <c r="AS10" s="3">
        <f>'S28 Transportation Matrix'!AS10*'S29 Distances Matrix'!AS10</f>
        <v>0</v>
      </c>
    </row>
    <row r="11" spans="1:45">
      <c r="A11" s="288" t="s">
        <v>581</v>
      </c>
      <c r="B11" s="3">
        <f>'S28 Transportation Matrix'!B11*'S29 Distances Matrix'!B11</f>
        <v>0</v>
      </c>
      <c r="C11" s="3">
        <f>'S28 Transportation Matrix'!C11*'S29 Distances Matrix'!C11</f>
        <v>0</v>
      </c>
      <c r="D11" s="3">
        <f>'S28 Transportation Matrix'!D11*'S29 Distances Matrix'!D11</f>
        <v>0</v>
      </c>
      <c r="E11" s="3">
        <f>'S28 Transportation Matrix'!E11*'S29 Distances Matrix'!E11</f>
        <v>0</v>
      </c>
      <c r="F11" s="3">
        <f>'S28 Transportation Matrix'!F11*'S29 Distances Matrix'!F11</f>
        <v>0</v>
      </c>
      <c r="G11" s="3">
        <f>'S28 Transportation Matrix'!G11*'S29 Distances Matrix'!G11</f>
        <v>0</v>
      </c>
      <c r="H11" s="3">
        <f>'S28 Transportation Matrix'!H11*'S29 Distances Matrix'!H11</f>
        <v>0</v>
      </c>
      <c r="I11" s="3">
        <f>'S28 Transportation Matrix'!I11*'S29 Distances Matrix'!I11</f>
        <v>0</v>
      </c>
      <c r="J11" s="3">
        <f>'S28 Transportation Matrix'!J11*'S29 Distances Matrix'!J11</f>
        <v>0</v>
      </c>
      <c r="K11" s="3">
        <f>'S28 Transportation Matrix'!K11*'S29 Distances Matrix'!K11</f>
        <v>0</v>
      </c>
      <c r="L11" s="3">
        <f>'S28 Transportation Matrix'!L11*'S29 Distances Matrix'!L11</f>
        <v>0</v>
      </c>
      <c r="M11" s="3">
        <f>'S28 Transportation Matrix'!M11*'S29 Distances Matrix'!M11</f>
        <v>0</v>
      </c>
      <c r="N11" s="3">
        <f>'S28 Transportation Matrix'!N11*'S29 Distances Matrix'!N11</f>
        <v>0</v>
      </c>
      <c r="O11" s="3">
        <f>'S28 Transportation Matrix'!O11*'S29 Distances Matrix'!O11</f>
        <v>0</v>
      </c>
      <c r="P11" s="3">
        <f>'S28 Transportation Matrix'!P11*'S29 Distances Matrix'!P11</f>
        <v>0</v>
      </c>
      <c r="Q11" s="3">
        <f>'S28 Transportation Matrix'!Q11*'S29 Distances Matrix'!Q11</f>
        <v>0</v>
      </c>
      <c r="R11" s="3">
        <f>'S28 Transportation Matrix'!R11*'S29 Distances Matrix'!R11</f>
        <v>0</v>
      </c>
      <c r="S11" s="3">
        <f>'S28 Transportation Matrix'!S11*'S29 Distances Matrix'!S11</f>
        <v>0</v>
      </c>
      <c r="T11" s="3">
        <f>'S28 Transportation Matrix'!T11*'S29 Distances Matrix'!T11</f>
        <v>0</v>
      </c>
      <c r="U11" s="3">
        <f>'S28 Transportation Matrix'!U11*'S29 Distances Matrix'!U11</f>
        <v>138</v>
      </c>
      <c r="V11" s="3">
        <f>'S28 Transportation Matrix'!V11*'S29 Distances Matrix'!V11</f>
        <v>0</v>
      </c>
      <c r="W11" s="3">
        <f>'S28 Transportation Matrix'!W11*'S29 Distances Matrix'!W11</f>
        <v>0</v>
      </c>
      <c r="X11" s="3">
        <f>'S28 Transportation Matrix'!X11*'S29 Distances Matrix'!X11</f>
        <v>0</v>
      </c>
      <c r="Y11" s="3">
        <f>'S28 Transportation Matrix'!Y11*'S29 Distances Matrix'!Y11</f>
        <v>0</v>
      </c>
      <c r="Z11" s="3">
        <f>'S28 Transportation Matrix'!Z11*'S29 Distances Matrix'!Z11</f>
        <v>0</v>
      </c>
      <c r="AA11" s="3">
        <f>'S28 Transportation Matrix'!AA11*'S29 Distances Matrix'!AA11</f>
        <v>0</v>
      </c>
      <c r="AB11" s="3">
        <f>'S28 Transportation Matrix'!AB11*'S29 Distances Matrix'!AB11</f>
        <v>0</v>
      </c>
      <c r="AC11" s="3">
        <f>'S28 Transportation Matrix'!AC11*'S29 Distances Matrix'!AC11</f>
        <v>0</v>
      </c>
      <c r="AD11" s="3">
        <f>'S28 Transportation Matrix'!AD11*'S29 Distances Matrix'!AD11</f>
        <v>0</v>
      </c>
      <c r="AE11" s="3">
        <f>'S28 Transportation Matrix'!AE11*'S29 Distances Matrix'!AE11</f>
        <v>0</v>
      </c>
      <c r="AF11" s="3">
        <f>'S28 Transportation Matrix'!AF11*'S29 Distances Matrix'!AF11</f>
        <v>0</v>
      </c>
      <c r="AG11" s="3">
        <f>'S28 Transportation Matrix'!AG11*'S29 Distances Matrix'!AG11</f>
        <v>0</v>
      </c>
      <c r="AH11" s="3">
        <f>'S28 Transportation Matrix'!AH11*'S29 Distances Matrix'!AH11</f>
        <v>0</v>
      </c>
      <c r="AI11" s="3">
        <f>'S28 Transportation Matrix'!AI11*'S29 Distances Matrix'!AI11</f>
        <v>0</v>
      </c>
      <c r="AJ11" s="3">
        <f>'S28 Transportation Matrix'!AJ11*'S29 Distances Matrix'!AJ11</f>
        <v>0</v>
      </c>
      <c r="AK11" s="3">
        <f>'S28 Transportation Matrix'!AK11*'S29 Distances Matrix'!AK11</f>
        <v>0</v>
      </c>
      <c r="AL11" s="3">
        <f>'S28 Transportation Matrix'!AL11*'S29 Distances Matrix'!AL11</f>
        <v>0</v>
      </c>
      <c r="AM11" s="3">
        <f>'S28 Transportation Matrix'!AM11*'S29 Distances Matrix'!AM11</f>
        <v>0</v>
      </c>
      <c r="AN11" s="3">
        <f>'S28 Transportation Matrix'!AN11*'S29 Distances Matrix'!AN11</f>
        <v>0</v>
      </c>
      <c r="AO11" s="3">
        <f>'S28 Transportation Matrix'!AO11*'S29 Distances Matrix'!AO11</f>
        <v>0</v>
      </c>
      <c r="AP11" s="3">
        <f>'S28 Transportation Matrix'!AP11*'S29 Distances Matrix'!AP11</f>
        <v>0</v>
      </c>
      <c r="AQ11" s="3">
        <f>'S28 Transportation Matrix'!AQ11*'S29 Distances Matrix'!AQ11</f>
        <v>0</v>
      </c>
      <c r="AR11" s="3">
        <f>'S28 Transportation Matrix'!AR11*'S29 Distances Matrix'!AR11</f>
        <v>0</v>
      </c>
      <c r="AS11" s="3">
        <f>'S28 Transportation Matrix'!AS11*'S29 Distances Matrix'!AS11</f>
        <v>0</v>
      </c>
    </row>
    <row r="12" spans="1:45">
      <c r="A12" s="288" t="s">
        <v>582</v>
      </c>
      <c r="B12" s="3">
        <f>'S28 Transportation Matrix'!B12*'S29 Distances Matrix'!B12</f>
        <v>0</v>
      </c>
      <c r="C12" s="3">
        <f>'S28 Transportation Matrix'!C12*'S29 Distances Matrix'!C12</f>
        <v>0</v>
      </c>
      <c r="D12" s="3">
        <f>'S28 Transportation Matrix'!D12*'S29 Distances Matrix'!D12</f>
        <v>0</v>
      </c>
      <c r="E12" s="3">
        <f>'S28 Transportation Matrix'!E12*'S29 Distances Matrix'!E12</f>
        <v>0</v>
      </c>
      <c r="F12" s="3">
        <f>'S28 Transportation Matrix'!F12*'S29 Distances Matrix'!F12</f>
        <v>0</v>
      </c>
      <c r="G12" s="3">
        <f>'S28 Transportation Matrix'!G12*'S29 Distances Matrix'!G12</f>
        <v>0</v>
      </c>
      <c r="H12" s="3">
        <f>'S28 Transportation Matrix'!H12*'S29 Distances Matrix'!H12</f>
        <v>0</v>
      </c>
      <c r="I12" s="3">
        <f>'S28 Transportation Matrix'!I12*'S29 Distances Matrix'!I12</f>
        <v>0</v>
      </c>
      <c r="J12" s="3">
        <f>'S28 Transportation Matrix'!J12*'S29 Distances Matrix'!J12</f>
        <v>0</v>
      </c>
      <c r="K12" s="3">
        <f>'S28 Transportation Matrix'!K12*'S29 Distances Matrix'!K12</f>
        <v>0</v>
      </c>
      <c r="L12" s="3">
        <f>'S28 Transportation Matrix'!L12*'S29 Distances Matrix'!L12</f>
        <v>0</v>
      </c>
      <c r="M12" s="3">
        <f>'S28 Transportation Matrix'!M12*'S29 Distances Matrix'!M12</f>
        <v>0</v>
      </c>
      <c r="N12" s="3">
        <f>'S28 Transportation Matrix'!N12*'S29 Distances Matrix'!N12</f>
        <v>0</v>
      </c>
      <c r="O12" s="3">
        <f>'S28 Transportation Matrix'!O12*'S29 Distances Matrix'!O12</f>
        <v>0</v>
      </c>
      <c r="P12" s="3">
        <f>'S28 Transportation Matrix'!P12*'S29 Distances Matrix'!P12</f>
        <v>0</v>
      </c>
      <c r="Q12" s="3">
        <f>'S28 Transportation Matrix'!Q12*'S29 Distances Matrix'!Q12</f>
        <v>0</v>
      </c>
      <c r="R12" s="3">
        <f>'S28 Transportation Matrix'!R12*'S29 Distances Matrix'!R12</f>
        <v>0</v>
      </c>
      <c r="S12" s="3">
        <f>'S28 Transportation Matrix'!S12*'S29 Distances Matrix'!S12</f>
        <v>0</v>
      </c>
      <c r="T12" s="3">
        <f>'S28 Transportation Matrix'!T12*'S29 Distances Matrix'!T12</f>
        <v>0</v>
      </c>
      <c r="U12" s="3">
        <f>'S28 Transportation Matrix'!U12*'S29 Distances Matrix'!U12</f>
        <v>0</v>
      </c>
      <c r="V12" s="3">
        <f>'S28 Transportation Matrix'!V12*'S29 Distances Matrix'!V12</f>
        <v>0</v>
      </c>
      <c r="W12" s="3">
        <f>'S28 Transportation Matrix'!W12*'S29 Distances Matrix'!W12</f>
        <v>0</v>
      </c>
      <c r="X12" s="3">
        <f>'S28 Transportation Matrix'!X12*'S29 Distances Matrix'!X12</f>
        <v>0</v>
      </c>
      <c r="Y12" s="3">
        <f>'S28 Transportation Matrix'!Y12*'S29 Distances Matrix'!Y12</f>
        <v>0</v>
      </c>
      <c r="Z12" s="3">
        <f>'S28 Transportation Matrix'!Z12*'S29 Distances Matrix'!Z12</f>
        <v>0</v>
      </c>
      <c r="AA12" s="3">
        <f>'S28 Transportation Matrix'!AA12*'S29 Distances Matrix'!AA12</f>
        <v>0</v>
      </c>
      <c r="AB12" s="3">
        <f>'S28 Transportation Matrix'!AB12*'S29 Distances Matrix'!AB12</f>
        <v>0</v>
      </c>
      <c r="AC12" s="3">
        <f>'S28 Transportation Matrix'!AC12*'S29 Distances Matrix'!AC12</f>
        <v>0</v>
      </c>
      <c r="AD12" s="3">
        <f>'S28 Transportation Matrix'!AD12*'S29 Distances Matrix'!AD12</f>
        <v>0</v>
      </c>
      <c r="AE12" s="3">
        <f>'S28 Transportation Matrix'!AE12*'S29 Distances Matrix'!AE12</f>
        <v>0</v>
      </c>
      <c r="AF12" s="3">
        <f>'S28 Transportation Matrix'!AF12*'S29 Distances Matrix'!AF12</f>
        <v>0</v>
      </c>
      <c r="AG12" s="3">
        <f>'S28 Transportation Matrix'!AG12*'S29 Distances Matrix'!AG12</f>
        <v>0</v>
      </c>
      <c r="AH12" s="3">
        <f>'S28 Transportation Matrix'!AH12*'S29 Distances Matrix'!AH12</f>
        <v>0</v>
      </c>
      <c r="AI12" s="3">
        <f>'S28 Transportation Matrix'!AI12*'S29 Distances Matrix'!AI12</f>
        <v>0</v>
      </c>
      <c r="AJ12" s="3">
        <f>'S28 Transportation Matrix'!AJ12*'S29 Distances Matrix'!AJ12</f>
        <v>0</v>
      </c>
      <c r="AK12" s="3">
        <f>'S28 Transportation Matrix'!AK12*'S29 Distances Matrix'!AK12</f>
        <v>0</v>
      </c>
      <c r="AL12" s="3">
        <f>'S28 Transportation Matrix'!AL12*'S29 Distances Matrix'!AL12</f>
        <v>0</v>
      </c>
      <c r="AM12" s="3">
        <f>'S28 Transportation Matrix'!AM12*'S29 Distances Matrix'!AM12</f>
        <v>0</v>
      </c>
      <c r="AN12" s="3">
        <f>'S28 Transportation Matrix'!AN12*'S29 Distances Matrix'!AN12</f>
        <v>0</v>
      </c>
      <c r="AO12" s="3">
        <f>'S28 Transportation Matrix'!AO12*'S29 Distances Matrix'!AO12</f>
        <v>0</v>
      </c>
      <c r="AP12" s="3">
        <f>'S28 Transportation Matrix'!AP12*'S29 Distances Matrix'!AP12</f>
        <v>0</v>
      </c>
      <c r="AQ12" s="3">
        <f>'S28 Transportation Matrix'!AQ12*'S29 Distances Matrix'!AQ12</f>
        <v>0</v>
      </c>
      <c r="AR12" s="3">
        <f>'S28 Transportation Matrix'!AR12*'S29 Distances Matrix'!AR12</f>
        <v>0</v>
      </c>
      <c r="AS12" s="3">
        <f>'S28 Transportation Matrix'!AS12*'S29 Distances Matrix'!AS12</f>
        <v>0</v>
      </c>
    </row>
    <row r="13" spans="1:45">
      <c r="A13" s="288" t="s">
        <v>583</v>
      </c>
      <c r="B13" s="3">
        <f>'S28 Transportation Matrix'!B13*'S29 Distances Matrix'!B13</f>
        <v>0</v>
      </c>
      <c r="C13" s="3">
        <f>'S28 Transportation Matrix'!C13*'S29 Distances Matrix'!C13</f>
        <v>0</v>
      </c>
      <c r="D13" s="3">
        <f>'S28 Transportation Matrix'!D13*'S29 Distances Matrix'!D13</f>
        <v>0</v>
      </c>
      <c r="E13" s="3">
        <f>'S28 Transportation Matrix'!E13*'S29 Distances Matrix'!E13</f>
        <v>0</v>
      </c>
      <c r="F13" s="3">
        <f>'S28 Transportation Matrix'!F13*'S29 Distances Matrix'!F13</f>
        <v>0</v>
      </c>
      <c r="G13" s="3">
        <f>'S28 Transportation Matrix'!G13*'S29 Distances Matrix'!G13</f>
        <v>0</v>
      </c>
      <c r="H13" s="3">
        <f>'S28 Transportation Matrix'!H13*'S29 Distances Matrix'!H13</f>
        <v>0</v>
      </c>
      <c r="I13" s="3">
        <f>'S28 Transportation Matrix'!I13*'S29 Distances Matrix'!I13</f>
        <v>0</v>
      </c>
      <c r="J13" s="3">
        <f>'S28 Transportation Matrix'!J13*'S29 Distances Matrix'!J13</f>
        <v>0</v>
      </c>
      <c r="K13" s="3">
        <f>'S28 Transportation Matrix'!K13*'S29 Distances Matrix'!K13</f>
        <v>0</v>
      </c>
      <c r="L13" s="3">
        <f>'S28 Transportation Matrix'!L13*'S29 Distances Matrix'!L13</f>
        <v>0</v>
      </c>
      <c r="M13" s="3">
        <f>'S28 Transportation Matrix'!M13*'S29 Distances Matrix'!M13</f>
        <v>0</v>
      </c>
      <c r="N13" s="3">
        <f>'S28 Transportation Matrix'!N13*'S29 Distances Matrix'!N13</f>
        <v>0</v>
      </c>
      <c r="O13" s="3">
        <f>'S28 Transportation Matrix'!O13*'S29 Distances Matrix'!O13</f>
        <v>0</v>
      </c>
      <c r="P13" s="3">
        <f>'S28 Transportation Matrix'!P13*'S29 Distances Matrix'!P13</f>
        <v>0</v>
      </c>
      <c r="Q13" s="3">
        <f>'S28 Transportation Matrix'!Q13*'S29 Distances Matrix'!Q13</f>
        <v>0</v>
      </c>
      <c r="R13" s="3">
        <f>'S28 Transportation Matrix'!R13*'S29 Distances Matrix'!R13</f>
        <v>0</v>
      </c>
      <c r="S13" s="3">
        <f>'S28 Transportation Matrix'!S13*'S29 Distances Matrix'!S13</f>
        <v>0</v>
      </c>
      <c r="T13" s="3">
        <f>'S28 Transportation Matrix'!T13*'S29 Distances Matrix'!T13</f>
        <v>0</v>
      </c>
      <c r="U13" s="3">
        <f>'S28 Transportation Matrix'!U13*'S29 Distances Matrix'!U13</f>
        <v>0</v>
      </c>
      <c r="V13" s="3">
        <f>'S28 Transportation Matrix'!V13*'S29 Distances Matrix'!V13</f>
        <v>0</v>
      </c>
      <c r="W13" s="3">
        <f>'S28 Transportation Matrix'!W13*'S29 Distances Matrix'!W13</f>
        <v>0</v>
      </c>
      <c r="X13" s="3">
        <f>'S28 Transportation Matrix'!X13*'S29 Distances Matrix'!X13</f>
        <v>0</v>
      </c>
      <c r="Y13" s="3">
        <f>'S28 Transportation Matrix'!Y13*'S29 Distances Matrix'!Y13</f>
        <v>0</v>
      </c>
      <c r="Z13" s="3">
        <f>'S28 Transportation Matrix'!Z13*'S29 Distances Matrix'!Z13</f>
        <v>0</v>
      </c>
      <c r="AA13" s="3">
        <f>'S28 Transportation Matrix'!AA13*'S29 Distances Matrix'!AA13</f>
        <v>0</v>
      </c>
      <c r="AB13" s="3">
        <f>'S28 Transportation Matrix'!AB13*'S29 Distances Matrix'!AB13</f>
        <v>0</v>
      </c>
      <c r="AC13" s="3">
        <f>'S28 Transportation Matrix'!AC13*'S29 Distances Matrix'!AC13</f>
        <v>0</v>
      </c>
      <c r="AD13" s="3">
        <f>'S28 Transportation Matrix'!AD13*'S29 Distances Matrix'!AD13</f>
        <v>0</v>
      </c>
      <c r="AE13" s="3">
        <f>'S28 Transportation Matrix'!AE13*'S29 Distances Matrix'!AE13</f>
        <v>0</v>
      </c>
      <c r="AF13" s="3">
        <f>'S28 Transportation Matrix'!AF13*'S29 Distances Matrix'!AF13</f>
        <v>0</v>
      </c>
      <c r="AG13" s="3">
        <f>'S28 Transportation Matrix'!AG13*'S29 Distances Matrix'!AG13</f>
        <v>0</v>
      </c>
      <c r="AH13" s="3">
        <f>'S28 Transportation Matrix'!AH13*'S29 Distances Matrix'!AH13</f>
        <v>0</v>
      </c>
      <c r="AI13" s="3">
        <f>'S28 Transportation Matrix'!AI13*'S29 Distances Matrix'!AI13</f>
        <v>0</v>
      </c>
      <c r="AJ13" s="3">
        <f>'S28 Transportation Matrix'!AJ13*'S29 Distances Matrix'!AJ13</f>
        <v>0</v>
      </c>
      <c r="AK13" s="3">
        <f>'S28 Transportation Matrix'!AK13*'S29 Distances Matrix'!AK13</f>
        <v>0</v>
      </c>
      <c r="AL13" s="3">
        <f>'S28 Transportation Matrix'!AL13*'S29 Distances Matrix'!AL13</f>
        <v>0</v>
      </c>
      <c r="AM13" s="3">
        <f>'S28 Transportation Matrix'!AM13*'S29 Distances Matrix'!AM13</f>
        <v>0</v>
      </c>
      <c r="AN13" s="3">
        <f>'S28 Transportation Matrix'!AN13*'S29 Distances Matrix'!AN13</f>
        <v>0</v>
      </c>
      <c r="AO13" s="3">
        <f>'S28 Transportation Matrix'!AO13*'S29 Distances Matrix'!AO13</f>
        <v>0</v>
      </c>
      <c r="AP13" s="3">
        <f>'S28 Transportation Matrix'!AP13*'S29 Distances Matrix'!AP13</f>
        <v>0</v>
      </c>
      <c r="AQ13" s="3">
        <f>'S28 Transportation Matrix'!AQ13*'S29 Distances Matrix'!AQ13</f>
        <v>0</v>
      </c>
      <c r="AR13" s="3">
        <f>'S28 Transportation Matrix'!AR13*'S29 Distances Matrix'!AR13</f>
        <v>0</v>
      </c>
      <c r="AS13" s="3">
        <f>'S28 Transportation Matrix'!AS13*'S29 Distances Matrix'!AS13</f>
        <v>0</v>
      </c>
    </row>
    <row r="14" spans="1:45">
      <c r="A14" s="288" t="s">
        <v>584</v>
      </c>
      <c r="B14" s="3">
        <f>'S28 Transportation Matrix'!B14*'S29 Distances Matrix'!B14</f>
        <v>0</v>
      </c>
      <c r="C14" s="3">
        <f>'S28 Transportation Matrix'!C14*'S29 Distances Matrix'!C14</f>
        <v>0</v>
      </c>
      <c r="D14" s="3">
        <f>'S28 Transportation Matrix'!D14*'S29 Distances Matrix'!D14</f>
        <v>0</v>
      </c>
      <c r="E14" s="3">
        <f>'S28 Transportation Matrix'!E14*'S29 Distances Matrix'!E14</f>
        <v>0</v>
      </c>
      <c r="F14" s="3">
        <f>'S28 Transportation Matrix'!F14*'S29 Distances Matrix'!F14</f>
        <v>0</v>
      </c>
      <c r="G14" s="3">
        <f>'S28 Transportation Matrix'!G14*'S29 Distances Matrix'!G14</f>
        <v>0</v>
      </c>
      <c r="H14" s="3">
        <f>'S28 Transportation Matrix'!H14*'S29 Distances Matrix'!H14</f>
        <v>0</v>
      </c>
      <c r="I14" s="3">
        <f>'S28 Transportation Matrix'!I14*'S29 Distances Matrix'!I14</f>
        <v>0</v>
      </c>
      <c r="J14" s="3">
        <f>'S28 Transportation Matrix'!J14*'S29 Distances Matrix'!J14</f>
        <v>0</v>
      </c>
      <c r="K14" s="3">
        <f>'S28 Transportation Matrix'!K14*'S29 Distances Matrix'!K14</f>
        <v>0</v>
      </c>
      <c r="L14" s="3">
        <f>'S28 Transportation Matrix'!L14*'S29 Distances Matrix'!L14</f>
        <v>0</v>
      </c>
      <c r="M14" s="3">
        <f>'S28 Transportation Matrix'!M14*'S29 Distances Matrix'!M14</f>
        <v>0</v>
      </c>
      <c r="N14" s="3">
        <f>'S28 Transportation Matrix'!N14*'S29 Distances Matrix'!N14</f>
        <v>0</v>
      </c>
      <c r="O14" s="3">
        <f>'S28 Transportation Matrix'!O14*'S29 Distances Matrix'!O14</f>
        <v>0</v>
      </c>
      <c r="P14" s="3">
        <f>'S28 Transportation Matrix'!P14*'S29 Distances Matrix'!P14</f>
        <v>0</v>
      </c>
      <c r="Q14" s="3">
        <f>'S28 Transportation Matrix'!Q14*'S29 Distances Matrix'!Q14</f>
        <v>0</v>
      </c>
      <c r="R14" s="3">
        <f>'S28 Transportation Matrix'!R14*'S29 Distances Matrix'!R14</f>
        <v>0</v>
      </c>
      <c r="S14" s="3">
        <f>'S28 Transportation Matrix'!S14*'S29 Distances Matrix'!S14</f>
        <v>0</v>
      </c>
      <c r="T14" s="3">
        <f>'S28 Transportation Matrix'!T14*'S29 Distances Matrix'!T14</f>
        <v>0</v>
      </c>
      <c r="U14" s="3">
        <f>'S28 Transportation Matrix'!U14*'S29 Distances Matrix'!U14</f>
        <v>0</v>
      </c>
      <c r="V14" s="3">
        <f>'S28 Transportation Matrix'!V14*'S29 Distances Matrix'!V14</f>
        <v>0</v>
      </c>
      <c r="W14" s="3">
        <f>'S28 Transportation Matrix'!W14*'S29 Distances Matrix'!W14</f>
        <v>0</v>
      </c>
      <c r="X14" s="3">
        <f>'S28 Transportation Matrix'!X14*'S29 Distances Matrix'!X14</f>
        <v>0</v>
      </c>
      <c r="Y14" s="3">
        <f>'S28 Transportation Matrix'!Y14*'S29 Distances Matrix'!Y14</f>
        <v>0</v>
      </c>
      <c r="Z14" s="3">
        <f>'S28 Transportation Matrix'!Z14*'S29 Distances Matrix'!Z14</f>
        <v>0</v>
      </c>
      <c r="AA14" s="3">
        <f>'S28 Transportation Matrix'!AA14*'S29 Distances Matrix'!AA14</f>
        <v>0</v>
      </c>
      <c r="AB14" s="3">
        <f>'S28 Transportation Matrix'!AB14*'S29 Distances Matrix'!AB14</f>
        <v>0</v>
      </c>
      <c r="AC14" s="3">
        <f>'S28 Transportation Matrix'!AC14*'S29 Distances Matrix'!AC14</f>
        <v>0</v>
      </c>
      <c r="AD14" s="3">
        <f>'S28 Transportation Matrix'!AD14*'S29 Distances Matrix'!AD14</f>
        <v>0</v>
      </c>
      <c r="AE14" s="3">
        <f>'S28 Transportation Matrix'!AE14*'S29 Distances Matrix'!AE14</f>
        <v>0</v>
      </c>
      <c r="AF14" s="3">
        <f>'S28 Transportation Matrix'!AF14*'S29 Distances Matrix'!AF14</f>
        <v>0</v>
      </c>
      <c r="AG14" s="3">
        <f>'S28 Transportation Matrix'!AG14*'S29 Distances Matrix'!AG14</f>
        <v>0</v>
      </c>
      <c r="AH14" s="3">
        <f>'S28 Transportation Matrix'!AH14*'S29 Distances Matrix'!AH14</f>
        <v>0</v>
      </c>
      <c r="AI14" s="3">
        <f>'S28 Transportation Matrix'!AI14*'S29 Distances Matrix'!AI14</f>
        <v>0</v>
      </c>
      <c r="AJ14" s="3">
        <f>'S28 Transportation Matrix'!AJ14*'S29 Distances Matrix'!AJ14</f>
        <v>0</v>
      </c>
      <c r="AK14" s="3">
        <f>'S28 Transportation Matrix'!AK14*'S29 Distances Matrix'!AK14</f>
        <v>0</v>
      </c>
      <c r="AL14" s="3">
        <f>'S28 Transportation Matrix'!AL14*'S29 Distances Matrix'!AL14</f>
        <v>0</v>
      </c>
      <c r="AM14" s="3">
        <f>'S28 Transportation Matrix'!AM14*'S29 Distances Matrix'!AM14</f>
        <v>0</v>
      </c>
      <c r="AN14" s="3">
        <f>'S28 Transportation Matrix'!AN14*'S29 Distances Matrix'!AN14</f>
        <v>0</v>
      </c>
      <c r="AO14" s="3">
        <f>'S28 Transportation Matrix'!AO14*'S29 Distances Matrix'!AO14</f>
        <v>0</v>
      </c>
      <c r="AP14" s="3">
        <f>'S28 Transportation Matrix'!AP14*'S29 Distances Matrix'!AP14</f>
        <v>0</v>
      </c>
      <c r="AQ14" s="3">
        <f>'S28 Transportation Matrix'!AQ14*'S29 Distances Matrix'!AQ14</f>
        <v>0</v>
      </c>
      <c r="AR14" s="3">
        <f>'S28 Transportation Matrix'!AR14*'S29 Distances Matrix'!AR14</f>
        <v>0</v>
      </c>
      <c r="AS14" s="3">
        <f>'S28 Transportation Matrix'!AS14*'S29 Distances Matrix'!AS14</f>
        <v>0</v>
      </c>
    </row>
    <row r="15" spans="1:45">
      <c r="A15" s="288" t="s">
        <v>585</v>
      </c>
      <c r="B15" s="3">
        <f>'S28 Transportation Matrix'!B15*'S29 Distances Matrix'!B15</f>
        <v>0</v>
      </c>
      <c r="C15" s="3">
        <f>'S28 Transportation Matrix'!C15*'S29 Distances Matrix'!C15</f>
        <v>0</v>
      </c>
      <c r="D15" s="3">
        <f>'S28 Transportation Matrix'!D15*'S29 Distances Matrix'!D15</f>
        <v>0</v>
      </c>
      <c r="E15" s="3">
        <f>'S28 Transportation Matrix'!E15*'S29 Distances Matrix'!E15</f>
        <v>0</v>
      </c>
      <c r="F15" s="3">
        <f>'S28 Transportation Matrix'!F15*'S29 Distances Matrix'!F15</f>
        <v>0</v>
      </c>
      <c r="G15" s="3">
        <f>'S28 Transportation Matrix'!G15*'S29 Distances Matrix'!G15</f>
        <v>0</v>
      </c>
      <c r="H15" s="3">
        <f>'S28 Transportation Matrix'!H15*'S29 Distances Matrix'!H15</f>
        <v>0</v>
      </c>
      <c r="I15" s="3">
        <f>'S28 Transportation Matrix'!I15*'S29 Distances Matrix'!I15</f>
        <v>0</v>
      </c>
      <c r="J15" s="3">
        <f>'S28 Transportation Matrix'!J15*'S29 Distances Matrix'!J15</f>
        <v>0</v>
      </c>
      <c r="K15" s="3">
        <f>'S28 Transportation Matrix'!K15*'S29 Distances Matrix'!K15</f>
        <v>0</v>
      </c>
      <c r="L15" s="3">
        <f>'S28 Transportation Matrix'!L15*'S29 Distances Matrix'!L15</f>
        <v>0</v>
      </c>
      <c r="M15" s="3">
        <f>'S28 Transportation Matrix'!M15*'S29 Distances Matrix'!M15</f>
        <v>0</v>
      </c>
      <c r="N15" s="3">
        <f>'S28 Transportation Matrix'!N15*'S29 Distances Matrix'!N15</f>
        <v>0</v>
      </c>
      <c r="O15" s="3">
        <f>'S28 Transportation Matrix'!O15*'S29 Distances Matrix'!O15</f>
        <v>0</v>
      </c>
      <c r="P15" s="3">
        <f>'S28 Transportation Matrix'!P15*'S29 Distances Matrix'!P15</f>
        <v>0</v>
      </c>
      <c r="Q15" s="3">
        <f>'S28 Transportation Matrix'!Q15*'S29 Distances Matrix'!Q15</f>
        <v>0</v>
      </c>
      <c r="R15" s="3">
        <f>'S28 Transportation Matrix'!R15*'S29 Distances Matrix'!R15</f>
        <v>0</v>
      </c>
      <c r="S15" s="3">
        <f>'S28 Transportation Matrix'!S15*'S29 Distances Matrix'!S15</f>
        <v>0</v>
      </c>
      <c r="T15" s="3">
        <f>'S28 Transportation Matrix'!T15*'S29 Distances Matrix'!T15</f>
        <v>0</v>
      </c>
      <c r="U15" s="3">
        <f>'S28 Transportation Matrix'!U15*'S29 Distances Matrix'!U15</f>
        <v>0</v>
      </c>
      <c r="V15" s="3">
        <f>'S28 Transportation Matrix'!V15*'S29 Distances Matrix'!V15</f>
        <v>0</v>
      </c>
      <c r="W15" s="3">
        <f>'S28 Transportation Matrix'!W15*'S29 Distances Matrix'!W15</f>
        <v>0</v>
      </c>
      <c r="X15" s="3">
        <f>'S28 Transportation Matrix'!X15*'S29 Distances Matrix'!X15</f>
        <v>0</v>
      </c>
      <c r="Y15" s="3">
        <f>'S28 Transportation Matrix'!Y15*'S29 Distances Matrix'!Y15</f>
        <v>0</v>
      </c>
      <c r="Z15" s="3">
        <f>'S28 Transportation Matrix'!Z15*'S29 Distances Matrix'!Z15</f>
        <v>0</v>
      </c>
      <c r="AA15" s="3">
        <f>'S28 Transportation Matrix'!AA15*'S29 Distances Matrix'!AA15</f>
        <v>0</v>
      </c>
      <c r="AB15" s="3">
        <f>'S28 Transportation Matrix'!AB15*'S29 Distances Matrix'!AB15</f>
        <v>0</v>
      </c>
      <c r="AC15" s="3">
        <f>'S28 Transportation Matrix'!AC15*'S29 Distances Matrix'!AC15</f>
        <v>0</v>
      </c>
      <c r="AD15" s="3">
        <f>'S28 Transportation Matrix'!AD15*'S29 Distances Matrix'!AD15</f>
        <v>0</v>
      </c>
      <c r="AE15" s="3">
        <f>'S28 Transportation Matrix'!AE15*'S29 Distances Matrix'!AE15</f>
        <v>0</v>
      </c>
      <c r="AF15" s="3">
        <f>'S28 Transportation Matrix'!AF15*'S29 Distances Matrix'!AF15</f>
        <v>0</v>
      </c>
      <c r="AG15" s="3">
        <f>'S28 Transportation Matrix'!AG15*'S29 Distances Matrix'!AG15</f>
        <v>0</v>
      </c>
      <c r="AH15" s="3">
        <f>'S28 Transportation Matrix'!AH15*'S29 Distances Matrix'!AH15</f>
        <v>0</v>
      </c>
      <c r="AI15" s="3">
        <f>'S28 Transportation Matrix'!AI15*'S29 Distances Matrix'!AI15</f>
        <v>0</v>
      </c>
      <c r="AJ15" s="3">
        <f>'S28 Transportation Matrix'!AJ15*'S29 Distances Matrix'!AJ15</f>
        <v>0</v>
      </c>
      <c r="AK15" s="3">
        <f>'S28 Transportation Matrix'!AK15*'S29 Distances Matrix'!AK15</f>
        <v>0</v>
      </c>
      <c r="AL15" s="3">
        <f>'S28 Transportation Matrix'!AL15*'S29 Distances Matrix'!AL15</f>
        <v>0</v>
      </c>
      <c r="AM15" s="3">
        <f>'S28 Transportation Matrix'!AM15*'S29 Distances Matrix'!AM15</f>
        <v>0</v>
      </c>
      <c r="AN15" s="3">
        <f>'S28 Transportation Matrix'!AN15*'S29 Distances Matrix'!AN15</f>
        <v>0</v>
      </c>
      <c r="AO15" s="3">
        <f>'S28 Transportation Matrix'!AO15*'S29 Distances Matrix'!AO15</f>
        <v>0</v>
      </c>
      <c r="AP15" s="3">
        <f>'S28 Transportation Matrix'!AP15*'S29 Distances Matrix'!AP15</f>
        <v>0</v>
      </c>
      <c r="AQ15" s="3">
        <f>'S28 Transportation Matrix'!AQ15*'S29 Distances Matrix'!AQ15</f>
        <v>0</v>
      </c>
      <c r="AR15" s="3">
        <f>'S28 Transportation Matrix'!AR15*'S29 Distances Matrix'!AR15</f>
        <v>0</v>
      </c>
      <c r="AS15" s="3">
        <f>'S28 Transportation Matrix'!AS15*'S29 Distances Matrix'!AS15</f>
        <v>0</v>
      </c>
    </row>
    <row r="16" spans="1:45">
      <c r="A16" s="288" t="s">
        <v>586</v>
      </c>
      <c r="B16" s="3">
        <f>'S28 Transportation Matrix'!B16*'S29 Distances Matrix'!B16</f>
        <v>0</v>
      </c>
      <c r="C16" s="3">
        <f>'S28 Transportation Matrix'!C16*'S29 Distances Matrix'!C16</f>
        <v>0</v>
      </c>
      <c r="D16" s="3">
        <f>'S28 Transportation Matrix'!D16*'S29 Distances Matrix'!D16</f>
        <v>0</v>
      </c>
      <c r="E16" s="3">
        <f>'S28 Transportation Matrix'!E16*'S29 Distances Matrix'!E16</f>
        <v>0</v>
      </c>
      <c r="F16" s="3">
        <f>'S28 Transportation Matrix'!F16*'S29 Distances Matrix'!F16</f>
        <v>0</v>
      </c>
      <c r="G16" s="3">
        <f>'S28 Transportation Matrix'!G16*'S29 Distances Matrix'!G16</f>
        <v>0</v>
      </c>
      <c r="H16" s="3">
        <f>'S28 Transportation Matrix'!H16*'S29 Distances Matrix'!H16</f>
        <v>0</v>
      </c>
      <c r="I16" s="3">
        <f>'S28 Transportation Matrix'!I16*'S29 Distances Matrix'!I16</f>
        <v>0</v>
      </c>
      <c r="J16" s="3">
        <f>'S28 Transportation Matrix'!J16*'S29 Distances Matrix'!J16</f>
        <v>0</v>
      </c>
      <c r="K16" s="3">
        <f>'S28 Transportation Matrix'!K16*'S29 Distances Matrix'!K16</f>
        <v>0</v>
      </c>
      <c r="L16" s="3">
        <f>'S28 Transportation Matrix'!L16*'S29 Distances Matrix'!L16</f>
        <v>0</v>
      </c>
      <c r="M16" s="3">
        <f>'S28 Transportation Matrix'!M16*'S29 Distances Matrix'!M16</f>
        <v>0</v>
      </c>
      <c r="N16" s="3">
        <f>'S28 Transportation Matrix'!N16*'S29 Distances Matrix'!N16</f>
        <v>0</v>
      </c>
      <c r="O16" s="3">
        <f>'S28 Transportation Matrix'!O16*'S29 Distances Matrix'!O16</f>
        <v>0</v>
      </c>
      <c r="P16" s="3">
        <f>'S28 Transportation Matrix'!P16*'S29 Distances Matrix'!P16</f>
        <v>0</v>
      </c>
      <c r="Q16" s="3">
        <f>'S28 Transportation Matrix'!Q16*'S29 Distances Matrix'!Q16</f>
        <v>0</v>
      </c>
      <c r="R16" s="3">
        <f>'S28 Transportation Matrix'!R16*'S29 Distances Matrix'!R16</f>
        <v>0</v>
      </c>
      <c r="S16" s="3">
        <f>'S28 Transportation Matrix'!S16*'S29 Distances Matrix'!S16</f>
        <v>0</v>
      </c>
      <c r="T16" s="3">
        <f>'S28 Transportation Matrix'!T16*'S29 Distances Matrix'!T16</f>
        <v>0</v>
      </c>
      <c r="U16" s="3">
        <f>'S28 Transportation Matrix'!U16*'S29 Distances Matrix'!U16</f>
        <v>0</v>
      </c>
      <c r="V16" s="3">
        <f>'S28 Transportation Matrix'!V16*'S29 Distances Matrix'!V16</f>
        <v>0</v>
      </c>
      <c r="W16" s="3">
        <f>'S28 Transportation Matrix'!W16*'S29 Distances Matrix'!W16</f>
        <v>0</v>
      </c>
      <c r="X16" s="3">
        <f>'S28 Transportation Matrix'!X16*'S29 Distances Matrix'!X16</f>
        <v>0</v>
      </c>
      <c r="Y16" s="3">
        <f>'S28 Transportation Matrix'!Y16*'S29 Distances Matrix'!Y16</f>
        <v>0</v>
      </c>
      <c r="Z16" s="3">
        <f>'S28 Transportation Matrix'!Z16*'S29 Distances Matrix'!Z16</f>
        <v>0</v>
      </c>
      <c r="AA16" s="3">
        <f>'S28 Transportation Matrix'!AA16*'S29 Distances Matrix'!AA16</f>
        <v>0</v>
      </c>
      <c r="AB16" s="3">
        <f>'S28 Transportation Matrix'!AB16*'S29 Distances Matrix'!AB16</f>
        <v>0</v>
      </c>
      <c r="AC16" s="3">
        <f>'S28 Transportation Matrix'!AC16*'S29 Distances Matrix'!AC16</f>
        <v>0</v>
      </c>
      <c r="AD16" s="3">
        <f>'S28 Transportation Matrix'!AD16*'S29 Distances Matrix'!AD16</f>
        <v>0</v>
      </c>
      <c r="AE16" s="3">
        <f>'S28 Transportation Matrix'!AE16*'S29 Distances Matrix'!AE16</f>
        <v>0</v>
      </c>
      <c r="AF16" s="3">
        <f>'S28 Transportation Matrix'!AF16*'S29 Distances Matrix'!AF16</f>
        <v>0</v>
      </c>
      <c r="AG16" s="3">
        <f>'S28 Transportation Matrix'!AG16*'S29 Distances Matrix'!AG16</f>
        <v>0</v>
      </c>
      <c r="AH16" s="3">
        <f>'S28 Transportation Matrix'!AH16*'S29 Distances Matrix'!AH16</f>
        <v>0</v>
      </c>
      <c r="AI16" s="3">
        <f>'S28 Transportation Matrix'!AI16*'S29 Distances Matrix'!AI16</f>
        <v>0</v>
      </c>
      <c r="AJ16" s="3">
        <f>'S28 Transportation Matrix'!AJ16*'S29 Distances Matrix'!AJ16</f>
        <v>0</v>
      </c>
      <c r="AK16" s="3">
        <f>'S28 Transportation Matrix'!AK16*'S29 Distances Matrix'!AK16</f>
        <v>0</v>
      </c>
      <c r="AL16" s="3">
        <f>'S28 Transportation Matrix'!AL16*'S29 Distances Matrix'!AL16</f>
        <v>0</v>
      </c>
      <c r="AM16" s="3">
        <f>'S28 Transportation Matrix'!AM16*'S29 Distances Matrix'!AM16</f>
        <v>0</v>
      </c>
      <c r="AN16" s="3">
        <f>'S28 Transportation Matrix'!AN16*'S29 Distances Matrix'!AN16</f>
        <v>0</v>
      </c>
      <c r="AO16" s="3">
        <f>'S28 Transportation Matrix'!AO16*'S29 Distances Matrix'!AO16</f>
        <v>0</v>
      </c>
      <c r="AP16" s="3">
        <f>'S28 Transportation Matrix'!AP16*'S29 Distances Matrix'!AP16</f>
        <v>0</v>
      </c>
      <c r="AQ16" s="3">
        <f>'S28 Transportation Matrix'!AQ16*'S29 Distances Matrix'!AQ16</f>
        <v>0</v>
      </c>
      <c r="AR16" s="3">
        <f>'S28 Transportation Matrix'!AR16*'S29 Distances Matrix'!AR16</f>
        <v>0</v>
      </c>
      <c r="AS16" s="3">
        <f>'S28 Transportation Matrix'!AS16*'S29 Distances Matrix'!AS16</f>
        <v>0</v>
      </c>
    </row>
    <row r="17" spans="1:45">
      <c r="A17" s="288" t="s">
        <v>587</v>
      </c>
      <c r="B17" s="3">
        <f>'S28 Transportation Matrix'!B17*'S29 Distances Matrix'!B17</f>
        <v>0</v>
      </c>
      <c r="C17" s="3">
        <f>'S28 Transportation Matrix'!C17*'S29 Distances Matrix'!C17</f>
        <v>0</v>
      </c>
      <c r="D17" s="3">
        <f>'S28 Transportation Matrix'!D17*'S29 Distances Matrix'!D17</f>
        <v>0</v>
      </c>
      <c r="E17" s="3">
        <f>'S28 Transportation Matrix'!E17*'S29 Distances Matrix'!E17</f>
        <v>0</v>
      </c>
      <c r="F17" s="3">
        <f>'S28 Transportation Matrix'!F17*'S29 Distances Matrix'!F17</f>
        <v>0</v>
      </c>
      <c r="G17" s="3">
        <f>'S28 Transportation Matrix'!G17*'S29 Distances Matrix'!G17</f>
        <v>0</v>
      </c>
      <c r="H17" s="3">
        <f>'S28 Transportation Matrix'!H17*'S29 Distances Matrix'!H17</f>
        <v>0</v>
      </c>
      <c r="I17" s="3">
        <f>'S28 Transportation Matrix'!I17*'S29 Distances Matrix'!I17</f>
        <v>0</v>
      </c>
      <c r="J17" s="3">
        <f>'S28 Transportation Matrix'!J17*'S29 Distances Matrix'!J17</f>
        <v>0</v>
      </c>
      <c r="K17" s="3">
        <f>'S28 Transportation Matrix'!K17*'S29 Distances Matrix'!K17</f>
        <v>0</v>
      </c>
      <c r="L17" s="3">
        <f>'S28 Transportation Matrix'!L17*'S29 Distances Matrix'!L17</f>
        <v>0</v>
      </c>
      <c r="M17" s="3">
        <f>'S28 Transportation Matrix'!M17*'S29 Distances Matrix'!M17</f>
        <v>0</v>
      </c>
      <c r="N17" s="3">
        <f>'S28 Transportation Matrix'!N17*'S29 Distances Matrix'!N17</f>
        <v>0</v>
      </c>
      <c r="O17" s="3">
        <f>'S28 Transportation Matrix'!O17*'S29 Distances Matrix'!O17</f>
        <v>0</v>
      </c>
      <c r="P17" s="3">
        <f>'S28 Transportation Matrix'!P17*'S29 Distances Matrix'!P17</f>
        <v>0</v>
      </c>
      <c r="Q17" s="3">
        <f>'S28 Transportation Matrix'!Q17*'S29 Distances Matrix'!Q17</f>
        <v>0</v>
      </c>
      <c r="R17" s="3">
        <f>'S28 Transportation Matrix'!R17*'S29 Distances Matrix'!R17</f>
        <v>0</v>
      </c>
      <c r="S17" s="3">
        <f>'S28 Transportation Matrix'!S17*'S29 Distances Matrix'!S17</f>
        <v>0</v>
      </c>
      <c r="T17" s="3">
        <f>'S28 Transportation Matrix'!T17*'S29 Distances Matrix'!T17</f>
        <v>0</v>
      </c>
      <c r="U17" s="3">
        <f>'S28 Transportation Matrix'!U17*'S29 Distances Matrix'!U17</f>
        <v>0</v>
      </c>
      <c r="V17" s="3">
        <f>'S28 Transportation Matrix'!V17*'S29 Distances Matrix'!V17</f>
        <v>0</v>
      </c>
      <c r="W17" s="3">
        <f>'S28 Transportation Matrix'!W17*'S29 Distances Matrix'!W17</f>
        <v>0</v>
      </c>
      <c r="X17" s="3">
        <f>'S28 Transportation Matrix'!X17*'S29 Distances Matrix'!X17</f>
        <v>0</v>
      </c>
      <c r="Y17" s="3">
        <f>'S28 Transportation Matrix'!Y17*'S29 Distances Matrix'!Y17</f>
        <v>0</v>
      </c>
      <c r="Z17" s="3">
        <f>'S28 Transportation Matrix'!Z17*'S29 Distances Matrix'!Z17</f>
        <v>0</v>
      </c>
      <c r="AA17" s="3">
        <f>'S28 Transportation Matrix'!AA17*'S29 Distances Matrix'!AA17</f>
        <v>0</v>
      </c>
      <c r="AB17" s="3">
        <f>'S28 Transportation Matrix'!AB17*'S29 Distances Matrix'!AB17</f>
        <v>0</v>
      </c>
      <c r="AC17" s="3">
        <f>'S28 Transportation Matrix'!AC17*'S29 Distances Matrix'!AC17</f>
        <v>0</v>
      </c>
      <c r="AD17" s="3">
        <f>'S28 Transportation Matrix'!AD17*'S29 Distances Matrix'!AD17</f>
        <v>0</v>
      </c>
      <c r="AE17" s="3">
        <f>'S28 Transportation Matrix'!AE17*'S29 Distances Matrix'!AE17</f>
        <v>0</v>
      </c>
      <c r="AF17" s="3">
        <f>'S28 Transportation Matrix'!AF17*'S29 Distances Matrix'!AF17</f>
        <v>0</v>
      </c>
      <c r="AG17" s="3">
        <f>'S28 Transportation Matrix'!AG17*'S29 Distances Matrix'!AG17</f>
        <v>0</v>
      </c>
      <c r="AH17" s="3">
        <f>'S28 Transportation Matrix'!AH17*'S29 Distances Matrix'!AH17</f>
        <v>0</v>
      </c>
      <c r="AI17" s="3">
        <f>'S28 Transportation Matrix'!AI17*'S29 Distances Matrix'!AI17</f>
        <v>0</v>
      </c>
      <c r="AJ17" s="3">
        <f>'S28 Transportation Matrix'!AJ17*'S29 Distances Matrix'!AJ17</f>
        <v>0</v>
      </c>
      <c r="AK17" s="3">
        <f>'S28 Transportation Matrix'!AK17*'S29 Distances Matrix'!AK17</f>
        <v>0</v>
      </c>
      <c r="AL17" s="3">
        <f>'S28 Transportation Matrix'!AL17*'S29 Distances Matrix'!AL17</f>
        <v>0</v>
      </c>
      <c r="AM17" s="3">
        <f>'S28 Transportation Matrix'!AM17*'S29 Distances Matrix'!AM17</f>
        <v>0</v>
      </c>
      <c r="AN17" s="3">
        <f>'S28 Transportation Matrix'!AN17*'S29 Distances Matrix'!AN17</f>
        <v>0</v>
      </c>
      <c r="AO17" s="3">
        <f>'S28 Transportation Matrix'!AO17*'S29 Distances Matrix'!AO17</f>
        <v>0</v>
      </c>
      <c r="AP17" s="3">
        <f>'S28 Transportation Matrix'!AP17*'S29 Distances Matrix'!AP17</f>
        <v>0</v>
      </c>
      <c r="AQ17" s="3">
        <f>'S28 Transportation Matrix'!AQ17*'S29 Distances Matrix'!AQ17</f>
        <v>0</v>
      </c>
      <c r="AR17" s="3">
        <f>'S28 Transportation Matrix'!AR17*'S29 Distances Matrix'!AR17</f>
        <v>0</v>
      </c>
      <c r="AS17" s="3">
        <f>'S28 Transportation Matrix'!AS17*'S29 Distances Matrix'!AS17</f>
        <v>0</v>
      </c>
    </row>
    <row r="18" spans="1:45">
      <c r="A18" s="288" t="s">
        <v>588</v>
      </c>
      <c r="B18" s="3">
        <f>'S28 Transportation Matrix'!B18*'S29 Distances Matrix'!B18</f>
        <v>0</v>
      </c>
      <c r="C18" s="3">
        <f>'S28 Transportation Matrix'!C18*'S29 Distances Matrix'!C18</f>
        <v>0</v>
      </c>
      <c r="D18" s="3">
        <f>'S28 Transportation Matrix'!D18*'S29 Distances Matrix'!D18</f>
        <v>0</v>
      </c>
      <c r="E18" s="3">
        <f>'S28 Transportation Matrix'!E18*'S29 Distances Matrix'!E18</f>
        <v>0</v>
      </c>
      <c r="F18" s="3">
        <f>'S28 Transportation Matrix'!F18*'S29 Distances Matrix'!F18</f>
        <v>0</v>
      </c>
      <c r="G18" s="3">
        <f>'S28 Transportation Matrix'!G18*'S29 Distances Matrix'!G18</f>
        <v>0</v>
      </c>
      <c r="H18" s="3">
        <f>'S28 Transportation Matrix'!H18*'S29 Distances Matrix'!H18</f>
        <v>0</v>
      </c>
      <c r="I18" s="3">
        <f>'S28 Transportation Matrix'!I18*'S29 Distances Matrix'!I18</f>
        <v>0</v>
      </c>
      <c r="J18" s="3">
        <f>'S28 Transportation Matrix'!J18*'S29 Distances Matrix'!J18</f>
        <v>0</v>
      </c>
      <c r="K18" s="3">
        <f>'S28 Transportation Matrix'!K18*'S29 Distances Matrix'!K18</f>
        <v>0</v>
      </c>
      <c r="L18" s="3">
        <f>'S28 Transportation Matrix'!L18*'S29 Distances Matrix'!L18</f>
        <v>0</v>
      </c>
      <c r="M18" s="3">
        <f>'S28 Transportation Matrix'!M18*'S29 Distances Matrix'!M18</f>
        <v>0</v>
      </c>
      <c r="N18" s="3">
        <f>'S28 Transportation Matrix'!N18*'S29 Distances Matrix'!N18</f>
        <v>0</v>
      </c>
      <c r="O18" s="3">
        <f>'S28 Transportation Matrix'!O18*'S29 Distances Matrix'!O18</f>
        <v>0</v>
      </c>
      <c r="P18" s="3">
        <f>'S28 Transportation Matrix'!P18*'S29 Distances Matrix'!P18</f>
        <v>0</v>
      </c>
      <c r="Q18" s="3">
        <f>'S28 Transportation Matrix'!Q18*'S29 Distances Matrix'!Q18</f>
        <v>0</v>
      </c>
      <c r="R18" s="3">
        <f>'S28 Transportation Matrix'!R18*'S29 Distances Matrix'!R18</f>
        <v>0</v>
      </c>
      <c r="S18" s="3">
        <f>'S28 Transportation Matrix'!S18*'S29 Distances Matrix'!S18</f>
        <v>0</v>
      </c>
      <c r="T18" s="3">
        <f>'S28 Transportation Matrix'!T18*'S29 Distances Matrix'!T18</f>
        <v>0</v>
      </c>
      <c r="U18" s="3">
        <f>'S28 Transportation Matrix'!U18*'S29 Distances Matrix'!U18</f>
        <v>0</v>
      </c>
      <c r="V18" s="3">
        <f>'S28 Transportation Matrix'!V18*'S29 Distances Matrix'!V18</f>
        <v>0</v>
      </c>
      <c r="W18" s="3">
        <f>'S28 Transportation Matrix'!W18*'S29 Distances Matrix'!W18</f>
        <v>0</v>
      </c>
      <c r="X18" s="3">
        <f>'S28 Transportation Matrix'!X18*'S29 Distances Matrix'!X18</f>
        <v>0</v>
      </c>
      <c r="Y18" s="3">
        <f>'S28 Transportation Matrix'!Y18*'S29 Distances Matrix'!Y18</f>
        <v>0</v>
      </c>
      <c r="Z18" s="3">
        <f>'S28 Transportation Matrix'!Z18*'S29 Distances Matrix'!Z18</f>
        <v>0</v>
      </c>
      <c r="AA18" s="3">
        <f>'S28 Transportation Matrix'!AA18*'S29 Distances Matrix'!AA18</f>
        <v>0</v>
      </c>
      <c r="AB18" s="3">
        <f>'S28 Transportation Matrix'!AB18*'S29 Distances Matrix'!AB18</f>
        <v>0</v>
      </c>
      <c r="AC18" s="3">
        <f>'S28 Transportation Matrix'!AC18*'S29 Distances Matrix'!AC18</f>
        <v>0</v>
      </c>
      <c r="AD18" s="3">
        <f>'S28 Transportation Matrix'!AD18*'S29 Distances Matrix'!AD18</f>
        <v>0</v>
      </c>
      <c r="AE18" s="3">
        <f>'S28 Transportation Matrix'!AE18*'S29 Distances Matrix'!AE18</f>
        <v>0</v>
      </c>
      <c r="AF18" s="3">
        <f>'S28 Transportation Matrix'!AF18*'S29 Distances Matrix'!AF18</f>
        <v>0</v>
      </c>
      <c r="AG18" s="3">
        <f>'S28 Transportation Matrix'!AG18*'S29 Distances Matrix'!AG18</f>
        <v>0</v>
      </c>
      <c r="AH18" s="3">
        <f>'S28 Transportation Matrix'!AH18*'S29 Distances Matrix'!AH18</f>
        <v>0</v>
      </c>
      <c r="AI18" s="3">
        <f>'S28 Transportation Matrix'!AI18*'S29 Distances Matrix'!AI18</f>
        <v>0</v>
      </c>
      <c r="AJ18" s="3">
        <f>'S28 Transportation Matrix'!AJ18*'S29 Distances Matrix'!AJ18</f>
        <v>0</v>
      </c>
      <c r="AK18" s="3">
        <f>'S28 Transportation Matrix'!AK18*'S29 Distances Matrix'!AK18</f>
        <v>0</v>
      </c>
      <c r="AL18" s="3">
        <f>'S28 Transportation Matrix'!AL18*'S29 Distances Matrix'!AL18</f>
        <v>0</v>
      </c>
      <c r="AM18" s="3">
        <f>'S28 Transportation Matrix'!AM18*'S29 Distances Matrix'!AM18</f>
        <v>0</v>
      </c>
      <c r="AN18" s="3">
        <f>'S28 Transportation Matrix'!AN18*'S29 Distances Matrix'!AN18</f>
        <v>0</v>
      </c>
      <c r="AO18" s="3">
        <f>'S28 Transportation Matrix'!AO18*'S29 Distances Matrix'!AO18</f>
        <v>0</v>
      </c>
      <c r="AP18" s="3">
        <f>'S28 Transportation Matrix'!AP18*'S29 Distances Matrix'!AP18</f>
        <v>0</v>
      </c>
      <c r="AQ18" s="3">
        <f>'S28 Transportation Matrix'!AQ18*'S29 Distances Matrix'!AQ18</f>
        <v>0</v>
      </c>
      <c r="AR18" s="3">
        <f>'S28 Transportation Matrix'!AR18*'S29 Distances Matrix'!AR18</f>
        <v>0</v>
      </c>
      <c r="AS18" s="3">
        <f>'S28 Transportation Matrix'!AS18*'S29 Distances Matrix'!AS18</f>
        <v>0</v>
      </c>
    </row>
    <row r="19" spans="1:45">
      <c r="A19" s="288" t="s">
        <v>589</v>
      </c>
      <c r="B19" s="3">
        <f>'S28 Transportation Matrix'!B19*'S29 Distances Matrix'!B19</f>
        <v>0</v>
      </c>
      <c r="C19" s="3">
        <f>'S28 Transportation Matrix'!C19*'S29 Distances Matrix'!C19</f>
        <v>0</v>
      </c>
      <c r="D19" s="3">
        <f>'S28 Transportation Matrix'!D19*'S29 Distances Matrix'!D19</f>
        <v>0</v>
      </c>
      <c r="E19" s="3">
        <f>'S28 Transportation Matrix'!E19*'S29 Distances Matrix'!E19</f>
        <v>0</v>
      </c>
      <c r="F19" s="3">
        <f>'S28 Transportation Matrix'!F19*'S29 Distances Matrix'!F19</f>
        <v>0</v>
      </c>
      <c r="G19" s="3">
        <f>'S28 Transportation Matrix'!G19*'S29 Distances Matrix'!G19</f>
        <v>0</v>
      </c>
      <c r="H19" s="3">
        <f>'S28 Transportation Matrix'!H19*'S29 Distances Matrix'!H19</f>
        <v>0</v>
      </c>
      <c r="I19" s="3">
        <f>'S28 Transportation Matrix'!I19*'S29 Distances Matrix'!I19</f>
        <v>0</v>
      </c>
      <c r="J19" s="3">
        <f>'S28 Transportation Matrix'!J19*'S29 Distances Matrix'!J19</f>
        <v>0</v>
      </c>
      <c r="K19" s="3">
        <f>'S28 Transportation Matrix'!K19*'S29 Distances Matrix'!K19</f>
        <v>0</v>
      </c>
      <c r="L19" s="3">
        <f>'S28 Transportation Matrix'!L19*'S29 Distances Matrix'!L19</f>
        <v>0</v>
      </c>
      <c r="M19" s="3">
        <f>'S28 Transportation Matrix'!M19*'S29 Distances Matrix'!M19</f>
        <v>0</v>
      </c>
      <c r="N19" s="3">
        <f>'S28 Transportation Matrix'!N19*'S29 Distances Matrix'!N19</f>
        <v>0</v>
      </c>
      <c r="O19" s="3">
        <f>'S28 Transportation Matrix'!O19*'S29 Distances Matrix'!O19</f>
        <v>0</v>
      </c>
      <c r="P19" s="3">
        <f>'S28 Transportation Matrix'!P19*'S29 Distances Matrix'!P19</f>
        <v>0</v>
      </c>
      <c r="Q19" s="3">
        <f>'S28 Transportation Matrix'!Q19*'S29 Distances Matrix'!Q19</f>
        <v>0</v>
      </c>
      <c r="R19" s="3">
        <f>'S28 Transportation Matrix'!R19*'S29 Distances Matrix'!R19</f>
        <v>0</v>
      </c>
      <c r="S19" s="3">
        <f>'S28 Transportation Matrix'!S19*'S29 Distances Matrix'!S19</f>
        <v>0</v>
      </c>
      <c r="T19" s="3">
        <f>'S28 Transportation Matrix'!T19*'S29 Distances Matrix'!T19</f>
        <v>0</v>
      </c>
      <c r="U19" s="3">
        <f>'S28 Transportation Matrix'!U19*'S29 Distances Matrix'!U19</f>
        <v>0</v>
      </c>
      <c r="V19" s="3">
        <f>'S28 Transportation Matrix'!V19*'S29 Distances Matrix'!V19</f>
        <v>0</v>
      </c>
      <c r="W19" s="3">
        <f>'S28 Transportation Matrix'!W19*'S29 Distances Matrix'!W19</f>
        <v>0</v>
      </c>
      <c r="X19" s="3">
        <f>'S28 Transportation Matrix'!X19*'S29 Distances Matrix'!X19</f>
        <v>0</v>
      </c>
      <c r="Y19" s="3">
        <f>'S28 Transportation Matrix'!Y19*'S29 Distances Matrix'!Y19</f>
        <v>0</v>
      </c>
      <c r="Z19" s="3">
        <f>'S28 Transportation Matrix'!Z19*'S29 Distances Matrix'!Z19</f>
        <v>0</v>
      </c>
      <c r="AA19" s="3">
        <f>'S28 Transportation Matrix'!AA19*'S29 Distances Matrix'!AA19</f>
        <v>0</v>
      </c>
      <c r="AB19" s="3">
        <f>'S28 Transportation Matrix'!AB19*'S29 Distances Matrix'!AB19</f>
        <v>0</v>
      </c>
      <c r="AC19" s="3">
        <f>'S28 Transportation Matrix'!AC19*'S29 Distances Matrix'!AC19</f>
        <v>0</v>
      </c>
      <c r="AD19" s="3">
        <f>'S28 Transportation Matrix'!AD19*'S29 Distances Matrix'!AD19</f>
        <v>0</v>
      </c>
      <c r="AE19" s="3">
        <f>'S28 Transportation Matrix'!AE19*'S29 Distances Matrix'!AE19</f>
        <v>0</v>
      </c>
      <c r="AF19" s="3">
        <f>'S28 Transportation Matrix'!AF19*'S29 Distances Matrix'!AF19</f>
        <v>0</v>
      </c>
      <c r="AG19" s="3">
        <f>'S28 Transportation Matrix'!AG19*'S29 Distances Matrix'!AG19</f>
        <v>0</v>
      </c>
      <c r="AH19" s="3">
        <f>'S28 Transportation Matrix'!AH19*'S29 Distances Matrix'!AH19</f>
        <v>0</v>
      </c>
      <c r="AI19" s="3">
        <f>'S28 Transportation Matrix'!AI19*'S29 Distances Matrix'!AI19</f>
        <v>0</v>
      </c>
      <c r="AJ19" s="3">
        <f>'S28 Transportation Matrix'!AJ19*'S29 Distances Matrix'!AJ19</f>
        <v>0</v>
      </c>
      <c r="AK19" s="3">
        <f>'S28 Transportation Matrix'!AK19*'S29 Distances Matrix'!AK19</f>
        <v>0</v>
      </c>
      <c r="AL19" s="3">
        <f>'S28 Transportation Matrix'!AL19*'S29 Distances Matrix'!AL19</f>
        <v>0</v>
      </c>
      <c r="AM19" s="3">
        <f>'S28 Transportation Matrix'!AM19*'S29 Distances Matrix'!AM19</f>
        <v>0</v>
      </c>
      <c r="AN19" s="3">
        <f>'S28 Transportation Matrix'!AN19*'S29 Distances Matrix'!AN19</f>
        <v>0</v>
      </c>
      <c r="AO19" s="3">
        <f>'S28 Transportation Matrix'!AO19*'S29 Distances Matrix'!AO19</f>
        <v>0</v>
      </c>
      <c r="AP19" s="3">
        <f>'S28 Transportation Matrix'!AP19*'S29 Distances Matrix'!AP19</f>
        <v>0</v>
      </c>
      <c r="AQ19" s="3">
        <f>'S28 Transportation Matrix'!AQ19*'S29 Distances Matrix'!AQ19</f>
        <v>0</v>
      </c>
      <c r="AR19" s="3">
        <f>'S28 Transportation Matrix'!AR19*'S29 Distances Matrix'!AR19</f>
        <v>0</v>
      </c>
      <c r="AS19" s="3">
        <f>'S28 Transportation Matrix'!AS19*'S29 Distances Matrix'!AS19</f>
        <v>0</v>
      </c>
    </row>
    <row r="20" spans="1:45">
      <c r="A20" s="288" t="s">
        <v>590</v>
      </c>
      <c r="B20" s="3">
        <f>'S28 Transportation Matrix'!B20*'S29 Distances Matrix'!B20</f>
        <v>0</v>
      </c>
      <c r="C20" s="3">
        <f>'S28 Transportation Matrix'!C20*'S29 Distances Matrix'!C20</f>
        <v>0</v>
      </c>
      <c r="D20" s="3">
        <f>'S28 Transportation Matrix'!D20*'S29 Distances Matrix'!D20</f>
        <v>0</v>
      </c>
      <c r="E20" s="3">
        <f>'S28 Transportation Matrix'!E20*'S29 Distances Matrix'!E20</f>
        <v>0</v>
      </c>
      <c r="F20" s="3">
        <f>'S28 Transportation Matrix'!F20*'S29 Distances Matrix'!F20</f>
        <v>0</v>
      </c>
      <c r="G20" s="3">
        <f>'S28 Transportation Matrix'!G20*'S29 Distances Matrix'!G20</f>
        <v>0</v>
      </c>
      <c r="H20" s="3">
        <f>'S28 Transportation Matrix'!H20*'S29 Distances Matrix'!H20</f>
        <v>0</v>
      </c>
      <c r="I20" s="3">
        <f>'S28 Transportation Matrix'!I20*'S29 Distances Matrix'!I20</f>
        <v>0</v>
      </c>
      <c r="J20" s="3">
        <f>'S28 Transportation Matrix'!J20*'S29 Distances Matrix'!J20</f>
        <v>0</v>
      </c>
      <c r="K20" s="3">
        <f>'S28 Transportation Matrix'!K20*'S29 Distances Matrix'!K20</f>
        <v>0</v>
      </c>
      <c r="L20" s="3">
        <f>'S28 Transportation Matrix'!L20*'S29 Distances Matrix'!L20</f>
        <v>0</v>
      </c>
      <c r="M20" s="3">
        <f>'S28 Transportation Matrix'!M20*'S29 Distances Matrix'!M20</f>
        <v>0</v>
      </c>
      <c r="N20" s="3">
        <f>'S28 Transportation Matrix'!N20*'S29 Distances Matrix'!N20</f>
        <v>0</v>
      </c>
      <c r="O20" s="3">
        <f>'S28 Transportation Matrix'!O20*'S29 Distances Matrix'!O20</f>
        <v>0</v>
      </c>
      <c r="P20" s="3">
        <f>'S28 Transportation Matrix'!P20*'S29 Distances Matrix'!P20</f>
        <v>0</v>
      </c>
      <c r="Q20" s="3">
        <f>'S28 Transportation Matrix'!Q20*'S29 Distances Matrix'!Q20</f>
        <v>0</v>
      </c>
      <c r="R20" s="3">
        <f>'S28 Transportation Matrix'!R20*'S29 Distances Matrix'!R20</f>
        <v>0</v>
      </c>
      <c r="S20" s="3">
        <f>'S28 Transportation Matrix'!S20*'S29 Distances Matrix'!S20</f>
        <v>0</v>
      </c>
      <c r="T20" s="3">
        <f>'S28 Transportation Matrix'!T20*'S29 Distances Matrix'!T20</f>
        <v>0</v>
      </c>
      <c r="U20" s="3">
        <f>'S28 Transportation Matrix'!U20*'S29 Distances Matrix'!U20</f>
        <v>0</v>
      </c>
      <c r="V20" s="3">
        <f>'S28 Transportation Matrix'!V20*'S29 Distances Matrix'!V20</f>
        <v>0</v>
      </c>
      <c r="W20" s="3">
        <f>'S28 Transportation Matrix'!W20*'S29 Distances Matrix'!W20</f>
        <v>0</v>
      </c>
      <c r="X20" s="3">
        <f>'S28 Transportation Matrix'!X20*'S29 Distances Matrix'!X20</f>
        <v>0</v>
      </c>
      <c r="Y20" s="3">
        <f>'S28 Transportation Matrix'!Y20*'S29 Distances Matrix'!Y20</f>
        <v>0</v>
      </c>
      <c r="Z20" s="3">
        <f>'S28 Transportation Matrix'!Z20*'S29 Distances Matrix'!Z20</f>
        <v>0</v>
      </c>
      <c r="AA20" s="3">
        <f>'S28 Transportation Matrix'!AA20*'S29 Distances Matrix'!AA20</f>
        <v>0</v>
      </c>
      <c r="AB20" s="3">
        <f>'S28 Transportation Matrix'!AB20*'S29 Distances Matrix'!AB20</f>
        <v>0</v>
      </c>
      <c r="AC20" s="3">
        <f>'S28 Transportation Matrix'!AC20*'S29 Distances Matrix'!AC20</f>
        <v>0</v>
      </c>
      <c r="AD20" s="3">
        <f>'S28 Transportation Matrix'!AD20*'S29 Distances Matrix'!AD20</f>
        <v>0</v>
      </c>
      <c r="AE20" s="3">
        <f>'S28 Transportation Matrix'!AE20*'S29 Distances Matrix'!AE20</f>
        <v>0</v>
      </c>
      <c r="AF20" s="3">
        <f>'S28 Transportation Matrix'!AF20*'S29 Distances Matrix'!AF20</f>
        <v>0</v>
      </c>
      <c r="AG20" s="3">
        <f>'S28 Transportation Matrix'!AG20*'S29 Distances Matrix'!AG20</f>
        <v>0</v>
      </c>
      <c r="AH20" s="3">
        <f>'S28 Transportation Matrix'!AH20*'S29 Distances Matrix'!AH20</f>
        <v>0</v>
      </c>
      <c r="AI20" s="3">
        <f>'S28 Transportation Matrix'!AI20*'S29 Distances Matrix'!AI20</f>
        <v>0</v>
      </c>
      <c r="AJ20" s="3">
        <f>'S28 Transportation Matrix'!AJ20*'S29 Distances Matrix'!AJ20</f>
        <v>0</v>
      </c>
      <c r="AK20" s="3">
        <f>'S28 Transportation Matrix'!AK20*'S29 Distances Matrix'!AK20</f>
        <v>0</v>
      </c>
      <c r="AL20" s="3">
        <f>'S28 Transportation Matrix'!AL20*'S29 Distances Matrix'!AL20</f>
        <v>0</v>
      </c>
      <c r="AM20" s="3">
        <f>'S28 Transportation Matrix'!AM20*'S29 Distances Matrix'!AM20</f>
        <v>0</v>
      </c>
      <c r="AN20" s="3">
        <f>'S28 Transportation Matrix'!AN20*'S29 Distances Matrix'!AN20</f>
        <v>0</v>
      </c>
      <c r="AO20" s="3">
        <f>'S28 Transportation Matrix'!AO20*'S29 Distances Matrix'!AO20</f>
        <v>0</v>
      </c>
      <c r="AP20" s="3">
        <f>'S28 Transportation Matrix'!AP20*'S29 Distances Matrix'!AP20</f>
        <v>0</v>
      </c>
      <c r="AQ20" s="3">
        <f>'S28 Transportation Matrix'!AQ20*'S29 Distances Matrix'!AQ20</f>
        <v>0</v>
      </c>
      <c r="AR20" s="3">
        <f>'S28 Transportation Matrix'!AR20*'S29 Distances Matrix'!AR20</f>
        <v>0</v>
      </c>
      <c r="AS20" s="3">
        <f>'S28 Transportation Matrix'!AS20*'S29 Distances Matrix'!AS20</f>
        <v>0</v>
      </c>
    </row>
    <row r="21" spans="1:45">
      <c r="A21" s="288" t="s">
        <v>591</v>
      </c>
      <c r="B21" s="3">
        <f>'S28 Transportation Matrix'!B21*'S29 Distances Matrix'!B21</f>
        <v>0</v>
      </c>
      <c r="C21" s="3">
        <f>'S28 Transportation Matrix'!C21*'S29 Distances Matrix'!C21</f>
        <v>0</v>
      </c>
      <c r="D21" s="3">
        <f>'S28 Transportation Matrix'!D21*'S29 Distances Matrix'!D21</f>
        <v>0</v>
      </c>
      <c r="E21" s="3">
        <f>'S28 Transportation Matrix'!E21*'S29 Distances Matrix'!E21</f>
        <v>0</v>
      </c>
      <c r="F21" s="3">
        <f>'S28 Transportation Matrix'!F21*'S29 Distances Matrix'!F21</f>
        <v>0</v>
      </c>
      <c r="G21" s="3">
        <f>'S28 Transportation Matrix'!G21*'S29 Distances Matrix'!G21</f>
        <v>0</v>
      </c>
      <c r="H21" s="3">
        <f>'S28 Transportation Matrix'!H21*'S29 Distances Matrix'!H21</f>
        <v>0</v>
      </c>
      <c r="I21" s="3">
        <f>'S28 Transportation Matrix'!I21*'S29 Distances Matrix'!I21</f>
        <v>0</v>
      </c>
      <c r="J21" s="3">
        <f>'S28 Transportation Matrix'!J21*'S29 Distances Matrix'!J21</f>
        <v>0</v>
      </c>
      <c r="K21" s="3">
        <f>'S28 Transportation Matrix'!K21*'S29 Distances Matrix'!K21</f>
        <v>0</v>
      </c>
      <c r="L21" s="3">
        <f>'S28 Transportation Matrix'!L21*'S29 Distances Matrix'!L21</f>
        <v>0</v>
      </c>
      <c r="M21" s="3">
        <f>'S28 Transportation Matrix'!M21*'S29 Distances Matrix'!M21</f>
        <v>0</v>
      </c>
      <c r="N21" s="3">
        <f>'S28 Transportation Matrix'!N21*'S29 Distances Matrix'!N21</f>
        <v>0</v>
      </c>
      <c r="O21" s="3">
        <f>'S28 Transportation Matrix'!O21*'S29 Distances Matrix'!O21</f>
        <v>0</v>
      </c>
      <c r="P21" s="3">
        <f>'S28 Transportation Matrix'!P21*'S29 Distances Matrix'!P21</f>
        <v>0</v>
      </c>
      <c r="Q21" s="3">
        <f>'S28 Transportation Matrix'!Q21*'S29 Distances Matrix'!Q21</f>
        <v>0</v>
      </c>
      <c r="R21" s="3">
        <f>'S28 Transportation Matrix'!R21*'S29 Distances Matrix'!R21</f>
        <v>0</v>
      </c>
      <c r="S21" s="3">
        <f>'S28 Transportation Matrix'!S21*'S29 Distances Matrix'!S21</f>
        <v>0</v>
      </c>
      <c r="T21" s="3">
        <f>'S28 Transportation Matrix'!T21*'S29 Distances Matrix'!T21</f>
        <v>0</v>
      </c>
      <c r="U21" s="3">
        <f>'S28 Transportation Matrix'!U21*'S29 Distances Matrix'!U21</f>
        <v>0</v>
      </c>
      <c r="V21" s="3">
        <f>'S28 Transportation Matrix'!V21*'S29 Distances Matrix'!V21</f>
        <v>0</v>
      </c>
      <c r="W21" s="3">
        <f>'S28 Transportation Matrix'!W21*'S29 Distances Matrix'!W21</f>
        <v>0</v>
      </c>
      <c r="X21" s="3">
        <f>'S28 Transportation Matrix'!X21*'S29 Distances Matrix'!X21</f>
        <v>0</v>
      </c>
      <c r="Y21" s="3">
        <f>'S28 Transportation Matrix'!Y21*'S29 Distances Matrix'!Y21</f>
        <v>2265</v>
      </c>
      <c r="Z21" s="3">
        <f>'S28 Transportation Matrix'!Z21*'S29 Distances Matrix'!Z21</f>
        <v>0</v>
      </c>
      <c r="AA21" s="3">
        <f>'S28 Transportation Matrix'!AA21*'S29 Distances Matrix'!AA21</f>
        <v>0</v>
      </c>
      <c r="AB21" s="3">
        <f>'S28 Transportation Matrix'!AB21*'S29 Distances Matrix'!AB21</f>
        <v>0</v>
      </c>
      <c r="AC21" s="3">
        <f>'S28 Transportation Matrix'!AC21*'S29 Distances Matrix'!AC21</f>
        <v>0</v>
      </c>
      <c r="AD21" s="3">
        <f>'S28 Transportation Matrix'!AD21*'S29 Distances Matrix'!AD21</f>
        <v>0</v>
      </c>
      <c r="AE21" s="3">
        <f>'S28 Transportation Matrix'!AE21*'S29 Distances Matrix'!AE21</f>
        <v>0</v>
      </c>
      <c r="AF21" s="3">
        <f>'S28 Transportation Matrix'!AF21*'S29 Distances Matrix'!AF21</f>
        <v>0</v>
      </c>
      <c r="AG21" s="3">
        <f>'S28 Transportation Matrix'!AG21*'S29 Distances Matrix'!AG21</f>
        <v>0</v>
      </c>
      <c r="AH21" s="3">
        <f>'S28 Transportation Matrix'!AH21*'S29 Distances Matrix'!AH21</f>
        <v>0</v>
      </c>
      <c r="AI21" s="3">
        <f>'S28 Transportation Matrix'!AI21*'S29 Distances Matrix'!AI21</f>
        <v>0</v>
      </c>
      <c r="AJ21" s="3">
        <f>'S28 Transportation Matrix'!AJ21*'S29 Distances Matrix'!AJ21</f>
        <v>0</v>
      </c>
      <c r="AK21" s="3">
        <f>'S28 Transportation Matrix'!AK21*'S29 Distances Matrix'!AK21</f>
        <v>0</v>
      </c>
      <c r="AL21" s="3">
        <f>'S28 Transportation Matrix'!AL21*'S29 Distances Matrix'!AL21</f>
        <v>0</v>
      </c>
      <c r="AM21" s="3">
        <f>'S28 Transportation Matrix'!AM21*'S29 Distances Matrix'!AM21</f>
        <v>0</v>
      </c>
      <c r="AN21" s="3">
        <f>'S28 Transportation Matrix'!AN21*'S29 Distances Matrix'!AN21</f>
        <v>0</v>
      </c>
      <c r="AO21" s="3">
        <f>'S28 Transportation Matrix'!AO21*'S29 Distances Matrix'!AO21</f>
        <v>0</v>
      </c>
      <c r="AP21" s="3">
        <f>'S28 Transportation Matrix'!AP21*'S29 Distances Matrix'!AP21</f>
        <v>0</v>
      </c>
      <c r="AQ21" s="3">
        <f>'S28 Transportation Matrix'!AQ21*'S29 Distances Matrix'!AQ21</f>
        <v>0</v>
      </c>
      <c r="AR21" s="3">
        <f>'S28 Transportation Matrix'!AR21*'S29 Distances Matrix'!AR21</f>
        <v>0</v>
      </c>
      <c r="AS21" s="3">
        <f>'S28 Transportation Matrix'!AS21*'S29 Distances Matrix'!AS21</f>
        <v>0</v>
      </c>
    </row>
    <row r="22" spans="1:45">
      <c r="A22" s="288" t="s">
        <v>592</v>
      </c>
      <c r="B22" s="3">
        <f>'S28 Transportation Matrix'!B22*'S29 Distances Matrix'!B22</f>
        <v>0</v>
      </c>
      <c r="C22" s="3">
        <f>'S28 Transportation Matrix'!C22*'S29 Distances Matrix'!C22</f>
        <v>0</v>
      </c>
      <c r="D22" s="3">
        <f>'S28 Transportation Matrix'!D22*'S29 Distances Matrix'!D22</f>
        <v>0</v>
      </c>
      <c r="E22" s="3">
        <f>'S28 Transportation Matrix'!E22*'S29 Distances Matrix'!E22</f>
        <v>0</v>
      </c>
      <c r="F22" s="3">
        <f>'S28 Transportation Matrix'!F22*'S29 Distances Matrix'!F22</f>
        <v>0</v>
      </c>
      <c r="G22" s="3">
        <f>'S28 Transportation Matrix'!G22*'S29 Distances Matrix'!G22</f>
        <v>0</v>
      </c>
      <c r="H22" s="3">
        <f>'S28 Transportation Matrix'!H22*'S29 Distances Matrix'!H22</f>
        <v>0</v>
      </c>
      <c r="I22" s="3">
        <f>'S28 Transportation Matrix'!I22*'S29 Distances Matrix'!I22</f>
        <v>0</v>
      </c>
      <c r="J22" s="3">
        <f>'S28 Transportation Matrix'!J22*'S29 Distances Matrix'!J22</f>
        <v>0</v>
      </c>
      <c r="K22" s="3">
        <f>'S28 Transportation Matrix'!K22*'S29 Distances Matrix'!K22</f>
        <v>0</v>
      </c>
      <c r="L22" s="3">
        <f>'S28 Transportation Matrix'!L22*'S29 Distances Matrix'!L22</f>
        <v>0</v>
      </c>
      <c r="M22" s="3">
        <f>'S28 Transportation Matrix'!M22*'S29 Distances Matrix'!M22</f>
        <v>0</v>
      </c>
      <c r="N22" s="3">
        <f>'S28 Transportation Matrix'!N22*'S29 Distances Matrix'!N22</f>
        <v>0</v>
      </c>
      <c r="O22" s="3">
        <f>'S28 Transportation Matrix'!O22*'S29 Distances Matrix'!O22</f>
        <v>0</v>
      </c>
      <c r="P22" s="3">
        <f>'S28 Transportation Matrix'!P22*'S29 Distances Matrix'!P22</f>
        <v>0</v>
      </c>
      <c r="Q22" s="3">
        <f>'S28 Transportation Matrix'!Q22*'S29 Distances Matrix'!Q22</f>
        <v>0</v>
      </c>
      <c r="R22" s="3">
        <f>'S28 Transportation Matrix'!R22*'S29 Distances Matrix'!R22</f>
        <v>0</v>
      </c>
      <c r="S22" s="3">
        <f>'S28 Transportation Matrix'!S22*'S29 Distances Matrix'!S22</f>
        <v>0</v>
      </c>
      <c r="T22" s="3">
        <f>'S28 Transportation Matrix'!T22*'S29 Distances Matrix'!T22</f>
        <v>0</v>
      </c>
      <c r="U22" s="3">
        <f>'S28 Transportation Matrix'!U22*'S29 Distances Matrix'!U22</f>
        <v>0</v>
      </c>
      <c r="V22" s="3">
        <f>'S28 Transportation Matrix'!V22*'S29 Distances Matrix'!V22</f>
        <v>0</v>
      </c>
      <c r="W22" s="3">
        <f>'S28 Transportation Matrix'!W22*'S29 Distances Matrix'!W22</f>
        <v>0</v>
      </c>
      <c r="X22" s="3">
        <f>'S28 Transportation Matrix'!X22*'S29 Distances Matrix'!X22</f>
        <v>0</v>
      </c>
      <c r="Y22" s="3">
        <f>'S28 Transportation Matrix'!Y22*'S29 Distances Matrix'!Y22</f>
        <v>0</v>
      </c>
      <c r="Z22" s="3">
        <f>'S28 Transportation Matrix'!Z22*'S29 Distances Matrix'!Z22</f>
        <v>0</v>
      </c>
      <c r="AA22" s="3">
        <f>'S28 Transportation Matrix'!AA22*'S29 Distances Matrix'!AA22</f>
        <v>0</v>
      </c>
      <c r="AB22" s="3">
        <f>'S28 Transportation Matrix'!AB22*'S29 Distances Matrix'!AB22</f>
        <v>0</v>
      </c>
      <c r="AC22" s="3">
        <f>'S28 Transportation Matrix'!AC22*'S29 Distances Matrix'!AC22</f>
        <v>0</v>
      </c>
      <c r="AD22" s="3">
        <f>'S28 Transportation Matrix'!AD22*'S29 Distances Matrix'!AD22</f>
        <v>0</v>
      </c>
      <c r="AE22" s="3">
        <f>'S28 Transportation Matrix'!AE22*'S29 Distances Matrix'!AE22</f>
        <v>0</v>
      </c>
      <c r="AF22" s="3">
        <f>'S28 Transportation Matrix'!AF22*'S29 Distances Matrix'!AF22</f>
        <v>0</v>
      </c>
      <c r="AG22" s="3">
        <f>'S28 Transportation Matrix'!AG22*'S29 Distances Matrix'!AG22</f>
        <v>0</v>
      </c>
      <c r="AH22" s="3">
        <f>'S28 Transportation Matrix'!AH22*'S29 Distances Matrix'!AH22</f>
        <v>0</v>
      </c>
      <c r="AI22" s="3">
        <f>'S28 Transportation Matrix'!AI22*'S29 Distances Matrix'!AI22</f>
        <v>0</v>
      </c>
      <c r="AJ22" s="3">
        <f>'S28 Transportation Matrix'!AJ22*'S29 Distances Matrix'!AJ22</f>
        <v>0</v>
      </c>
      <c r="AK22" s="3">
        <f>'S28 Transportation Matrix'!AK22*'S29 Distances Matrix'!AK22</f>
        <v>0</v>
      </c>
      <c r="AL22" s="3">
        <f>'S28 Transportation Matrix'!AL22*'S29 Distances Matrix'!AL22</f>
        <v>0</v>
      </c>
      <c r="AM22" s="3">
        <f>'S28 Transportation Matrix'!AM22*'S29 Distances Matrix'!AM22</f>
        <v>0</v>
      </c>
      <c r="AN22" s="3">
        <f>'S28 Transportation Matrix'!AN22*'S29 Distances Matrix'!AN22</f>
        <v>0</v>
      </c>
      <c r="AO22" s="3">
        <f>'S28 Transportation Matrix'!AO22*'S29 Distances Matrix'!AO22</f>
        <v>0</v>
      </c>
      <c r="AP22" s="3">
        <f>'S28 Transportation Matrix'!AP22*'S29 Distances Matrix'!AP22</f>
        <v>0</v>
      </c>
      <c r="AQ22" s="3">
        <f>'S28 Transportation Matrix'!AQ22*'S29 Distances Matrix'!AQ22</f>
        <v>0</v>
      </c>
      <c r="AR22" s="3">
        <f>'S28 Transportation Matrix'!AR22*'S29 Distances Matrix'!AR22</f>
        <v>0</v>
      </c>
      <c r="AS22" s="3">
        <f>'S28 Transportation Matrix'!AS22*'S29 Distances Matrix'!AS22</f>
        <v>0</v>
      </c>
    </row>
    <row r="23" spans="1:45">
      <c r="A23" s="288" t="s">
        <v>593</v>
      </c>
      <c r="B23" s="3">
        <f>'S28 Transportation Matrix'!B23*'S29 Distances Matrix'!B23</f>
        <v>0</v>
      </c>
      <c r="C23" s="3">
        <f>'S28 Transportation Matrix'!C23*'S29 Distances Matrix'!C23</f>
        <v>0</v>
      </c>
      <c r="D23" s="3">
        <f>'S28 Transportation Matrix'!D23*'S29 Distances Matrix'!D23</f>
        <v>0</v>
      </c>
      <c r="E23" s="3">
        <f>'S28 Transportation Matrix'!E23*'S29 Distances Matrix'!E23</f>
        <v>0</v>
      </c>
      <c r="F23" s="3">
        <f>'S28 Transportation Matrix'!F23*'S29 Distances Matrix'!F23</f>
        <v>0</v>
      </c>
      <c r="G23" s="3">
        <f>'S28 Transportation Matrix'!G23*'S29 Distances Matrix'!G23</f>
        <v>0</v>
      </c>
      <c r="H23" s="3">
        <f>'S28 Transportation Matrix'!H23*'S29 Distances Matrix'!H23</f>
        <v>0</v>
      </c>
      <c r="I23" s="3">
        <f>'S28 Transportation Matrix'!I23*'S29 Distances Matrix'!I23</f>
        <v>0</v>
      </c>
      <c r="J23" s="3">
        <f>'S28 Transportation Matrix'!J23*'S29 Distances Matrix'!J23</f>
        <v>0</v>
      </c>
      <c r="K23" s="3">
        <f>'S28 Transportation Matrix'!K23*'S29 Distances Matrix'!K23</f>
        <v>0</v>
      </c>
      <c r="L23" s="3">
        <f>'S28 Transportation Matrix'!L23*'S29 Distances Matrix'!L23</f>
        <v>0</v>
      </c>
      <c r="M23" s="3">
        <f>'S28 Transportation Matrix'!M23*'S29 Distances Matrix'!M23</f>
        <v>0</v>
      </c>
      <c r="N23" s="3">
        <f>'S28 Transportation Matrix'!N23*'S29 Distances Matrix'!N23</f>
        <v>0</v>
      </c>
      <c r="O23" s="3">
        <f>'S28 Transportation Matrix'!O23*'S29 Distances Matrix'!O23</f>
        <v>0</v>
      </c>
      <c r="P23" s="3">
        <f>'S28 Transportation Matrix'!P23*'S29 Distances Matrix'!P23</f>
        <v>0</v>
      </c>
      <c r="Q23" s="3">
        <f>'S28 Transportation Matrix'!Q23*'S29 Distances Matrix'!Q23</f>
        <v>0</v>
      </c>
      <c r="R23" s="3">
        <f>'S28 Transportation Matrix'!R23*'S29 Distances Matrix'!R23</f>
        <v>0</v>
      </c>
      <c r="S23" s="3">
        <f>'S28 Transportation Matrix'!S23*'S29 Distances Matrix'!S23</f>
        <v>0</v>
      </c>
      <c r="T23" s="3">
        <f>'S28 Transportation Matrix'!T23*'S29 Distances Matrix'!T23</f>
        <v>0</v>
      </c>
      <c r="U23" s="3">
        <f>'S28 Transportation Matrix'!U23*'S29 Distances Matrix'!U23</f>
        <v>0</v>
      </c>
      <c r="V23" s="3">
        <f>'S28 Transportation Matrix'!V23*'S29 Distances Matrix'!V23</f>
        <v>0</v>
      </c>
      <c r="W23" s="3">
        <f>'S28 Transportation Matrix'!W23*'S29 Distances Matrix'!W23</f>
        <v>0</v>
      </c>
      <c r="X23" s="3">
        <f>'S28 Transportation Matrix'!X23*'S29 Distances Matrix'!X23</f>
        <v>0</v>
      </c>
      <c r="Y23" s="3">
        <f>'S28 Transportation Matrix'!Y23*'S29 Distances Matrix'!Y23</f>
        <v>0</v>
      </c>
      <c r="Z23" s="3">
        <f>'S28 Transportation Matrix'!Z23*'S29 Distances Matrix'!Z23</f>
        <v>0</v>
      </c>
      <c r="AA23" s="3">
        <f>'S28 Transportation Matrix'!AA23*'S29 Distances Matrix'!AA23</f>
        <v>1725</v>
      </c>
      <c r="AB23" s="3">
        <f>'S28 Transportation Matrix'!AB23*'S29 Distances Matrix'!AB23</f>
        <v>0</v>
      </c>
      <c r="AC23" s="3">
        <f>'S28 Transportation Matrix'!AC23*'S29 Distances Matrix'!AC23</f>
        <v>0</v>
      </c>
      <c r="AD23" s="3">
        <f>'S28 Transportation Matrix'!AD23*'S29 Distances Matrix'!AD23</f>
        <v>0</v>
      </c>
      <c r="AE23" s="3">
        <f>'S28 Transportation Matrix'!AE23*'S29 Distances Matrix'!AE23</f>
        <v>0</v>
      </c>
      <c r="AF23" s="3">
        <f>'S28 Transportation Matrix'!AF23*'S29 Distances Matrix'!AF23</f>
        <v>0</v>
      </c>
      <c r="AG23" s="3">
        <f>'S28 Transportation Matrix'!AG23*'S29 Distances Matrix'!AG23</f>
        <v>0</v>
      </c>
      <c r="AH23" s="3">
        <f>'S28 Transportation Matrix'!AH23*'S29 Distances Matrix'!AH23</f>
        <v>0</v>
      </c>
      <c r="AI23" s="3">
        <f>'S28 Transportation Matrix'!AI23*'S29 Distances Matrix'!AI23</f>
        <v>0</v>
      </c>
      <c r="AJ23" s="3">
        <f>'S28 Transportation Matrix'!AJ23*'S29 Distances Matrix'!AJ23</f>
        <v>0</v>
      </c>
      <c r="AK23" s="3">
        <f>'S28 Transportation Matrix'!AK23*'S29 Distances Matrix'!AK23</f>
        <v>0</v>
      </c>
      <c r="AL23" s="3">
        <f>'S28 Transportation Matrix'!AL23*'S29 Distances Matrix'!AL23</f>
        <v>0</v>
      </c>
      <c r="AM23" s="3">
        <f>'S28 Transportation Matrix'!AM23*'S29 Distances Matrix'!AM23</f>
        <v>0</v>
      </c>
      <c r="AN23" s="3">
        <f>'S28 Transportation Matrix'!AN23*'S29 Distances Matrix'!AN23</f>
        <v>0</v>
      </c>
      <c r="AO23" s="3">
        <f>'S28 Transportation Matrix'!AO23*'S29 Distances Matrix'!AO23</f>
        <v>0</v>
      </c>
      <c r="AP23" s="3">
        <f>'S28 Transportation Matrix'!AP23*'S29 Distances Matrix'!AP23</f>
        <v>0</v>
      </c>
      <c r="AQ23" s="3">
        <f>'S28 Transportation Matrix'!AQ23*'S29 Distances Matrix'!AQ23</f>
        <v>0</v>
      </c>
      <c r="AR23" s="3">
        <f>'S28 Transportation Matrix'!AR23*'S29 Distances Matrix'!AR23</f>
        <v>0</v>
      </c>
      <c r="AS23" s="3">
        <f>'S28 Transportation Matrix'!AS23*'S29 Distances Matrix'!AS23</f>
        <v>0</v>
      </c>
    </row>
    <row r="24" spans="1:45">
      <c r="A24" s="288" t="s">
        <v>594</v>
      </c>
      <c r="B24" s="3">
        <f>'S28 Transportation Matrix'!B24*'S29 Distances Matrix'!B24</f>
        <v>0</v>
      </c>
      <c r="C24" s="3">
        <f>'S28 Transportation Matrix'!C24*'S29 Distances Matrix'!C24</f>
        <v>0</v>
      </c>
      <c r="D24" s="3">
        <f>'S28 Transportation Matrix'!D24*'S29 Distances Matrix'!D24</f>
        <v>0</v>
      </c>
      <c r="E24" s="3">
        <f>'S28 Transportation Matrix'!E24*'S29 Distances Matrix'!E24</f>
        <v>0</v>
      </c>
      <c r="F24" s="3">
        <f>'S28 Transportation Matrix'!F24*'S29 Distances Matrix'!F24</f>
        <v>0</v>
      </c>
      <c r="G24" s="3">
        <f>'S28 Transportation Matrix'!G24*'S29 Distances Matrix'!G24</f>
        <v>0</v>
      </c>
      <c r="H24" s="3">
        <f>'S28 Transportation Matrix'!H24*'S29 Distances Matrix'!H24</f>
        <v>0</v>
      </c>
      <c r="I24" s="3">
        <f>'S28 Transportation Matrix'!I24*'S29 Distances Matrix'!I24</f>
        <v>0</v>
      </c>
      <c r="J24" s="3">
        <f>'S28 Transportation Matrix'!J24*'S29 Distances Matrix'!J24</f>
        <v>0</v>
      </c>
      <c r="K24" s="3">
        <f>'S28 Transportation Matrix'!K24*'S29 Distances Matrix'!K24</f>
        <v>0</v>
      </c>
      <c r="L24" s="3">
        <f>'S28 Transportation Matrix'!L24*'S29 Distances Matrix'!L24</f>
        <v>0</v>
      </c>
      <c r="M24" s="3">
        <f>'S28 Transportation Matrix'!M24*'S29 Distances Matrix'!M24</f>
        <v>0</v>
      </c>
      <c r="N24" s="3">
        <f>'S28 Transportation Matrix'!N24*'S29 Distances Matrix'!N24</f>
        <v>0</v>
      </c>
      <c r="O24" s="3">
        <f>'S28 Transportation Matrix'!O24*'S29 Distances Matrix'!O24</f>
        <v>0</v>
      </c>
      <c r="P24" s="3">
        <f>'S28 Transportation Matrix'!P24*'S29 Distances Matrix'!P24</f>
        <v>0</v>
      </c>
      <c r="Q24" s="3">
        <f>'S28 Transportation Matrix'!Q24*'S29 Distances Matrix'!Q24</f>
        <v>0</v>
      </c>
      <c r="R24" s="3">
        <f>'S28 Transportation Matrix'!R24*'S29 Distances Matrix'!R24</f>
        <v>0</v>
      </c>
      <c r="S24" s="3">
        <f>'S28 Transportation Matrix'!S24*'S29 Distances Matrix'!S24</f>
        <v>0</v>
      </c>
      <c r="T24" s="3">
        <f>'S28 Transportation Matrix'!T24*'S29 Distances Matrix'!T24</f>
        <v>0</v>
      </c>
      <c r="U24" s="3">
        <f>'S28 Transportation Matrix'!U24*'S29 Distances Matrix'!U24</f>
        <v>0</v>
      </c>
      <c r="V24" s="3">
        <f>'S28 Transportation Matrix'!V24*'S29 Distances Matrix'!V24</f>
        <v>0</v>
      </c>
      <c r="W24" s="3">
        <f>'S28 Transportation Matrix'!W24*'S29 Distances Matrix'!W24</f>
        <v>0</v>
      </c>
      <c r="X24" s="3">
        <f>'S28 Transportation Matrix'!X24*'S29 Distances Matrix'!X24</f>
        <v>0</v>
      </c>
      <c r="Y24" s="3">
        <f>'S28 Transportation Matrix'!Y24*'S29 Distances Matrix'!Y24</f>
        <v>0</v>
      </c>
      <c r="Z24" s="3">
        <f>'S28 Transportation Matrix'!Z24*'S29 Distances Matrix'!Z24</f>
        <v>0</v>
      </c>
      <c r="AA24" s="3">
        <f>'S28 Transportation Matrix'!AA24*'S29 Distances Matrix'!AA24</f>
        <v>0</v>
      </c>
      <c r="AB24" s="3">
        <f>'S28 Transportation Matrix'!AB24*'S29 Distances Matrix'!AB24</f>
        <v>0</v>
      </c>
      <c r="AC24" s="3">
        <f>'S28 Transportation Matrix'!AC24*'S29 Distances Matrix'!AC24</f>
        <v>2136</v>
      </c>
      <c r="AD24" s="3">
        <f>'S28 Transportation Matrix'!AD24*'S29 Distances Matrix'!AD24</f>
        <v>0</v>
      </c>
      <c r="AE24" s="3">
        <f>'S28 Transportation Matrix'!AE24*'S29 Distances Matrix'!AE24</f>
        <v>0</v>
      </c>
      <c r="AF24" s="3">
        <f>'S28 Transportation Matrix'!AF24*'S29 Distances Matrix'!AF24</f>
        <v>0</v>
      </c>
      <c r="AG24" s="3">
        <f>'S28 Transportation Matrix'!AG24*'S29 Distances Matrix'!AG24</f>
        <v>0</v>
      </c>
      <c r="AH24" s="3">
        <f>'S28 Transportation Matrix'!AH24*'S29 Distances Matrix'!AH24</f>
        <v>0</v>
      </c>
      <c r="AI24" s="3">
        <f>'S28 Transportation Matrix'!AI24*'S29 Distances Matrix'!AI24</f>
        <v>0</v>
      </c>
      <c r="AJ24" s="3">
        <f>'S28 Transportation Matrix'!AJ24*'S29 Distances Matrix'!AJ24</f>
        <v>0</v>
      </c>
      <c r="AK24" s="3">
        <f>'S28 Transportation Matrix'!AK24*'S29 Distances Matrix'!AK24</f>
        <v>0</v>
      </c>
      <c r="AL24" s="3">
        <f>'S28 Transportation Matrix'!AL24*'S29 Distances Matrix'!AL24</f>
        <v>0</v>
      </c>
      <c r="AM24" s="3">
        <f>'S28 Transportation Matrix'!AM24*'S29 Distances Matrix'!AM24</f>
        <v>0</v>
      </c>
      <c r="AN24" s="3">
        <f>'S28 Transportation Matrix'!AN24*'S29 Distances Matrix'!AN24</f>
        <v>0</v>
      </c>
      <c r="AO24" s="3">
        <f>'S28 Transportation Matrix'!AO24*'S29 Distances Matrix'!AO24</f>
        <v>0</v>
      </c>
      <c r="AP24" s="3">
        <f>'S28 Transportation Matrix'!AP24*'S29 Distances Matrix'!AP24</f>
        <v>0</v>
      </c>
      <c r="AQ24" s="3">
        <f>'S28 Transportation Matrix'!AQ24*'S29 Distances Matrix'!AQ24</f>
        <v>0</v>
      </c>
      <c r="AR24" s="3">
        <f>'S28 Transportation Matrix'!AR24*'S29 Distances Matrix'!AR24</f>
        <v>0</v>
      </c>
      <c r="AS24" s="3">
        <f>'S28 Transportation Matrix'!AS24*'S29 Distances Matrix'!AS24</f>
        <v>0</v>
      </c>
    </row>
    <row r="25" spans="1:45">
      <c r="A25" s="288" t="s">
        <v>595</v>
      </c>
      <c r="B25" s="3">
        <f>'S28 Transportation Matrix'!B25*'S29 Distances Matrix'!B25</f>
        <v>0</v>
      </c>
      <c r="C25" s="3">
        <f>'S28 Transportation Matrix'!C25*'S29 Distances Matrix'!C25</f>
        <v>0</v>
      </c>
      <c r="D25" s="3">
        <f>'S28 Transportation Matrix'!D25*'S29 Distances Matrix'!D25</f>
        <v>0</v>
      </c>
      <c r="E25" s="3">
        <f>'S28 Transportation Matrix'!E25*'S29 Distances Matrix'!E25</f>
        <v>0</v>
      </c>
      <c r="F25" s="3">
        <f>'S28 Transportation Matrix'!F25*'S29 Distances Matrix'!F25</f>
        <v>0</v>
      </c>
      <c r="G25" s="3">
        <f>'S28 Transportation Matrix'!G25*'S29 Distances Matrix'!G25</f>
        <v>0</v>
      </c>
      <c r="H25" s="3">
        <f>'S28 Transportation Matrix'!H25*'S29 Distances Matrix'!H25</f>
        <v>0</v>
      </c>
      <c r="I25" s="3">
        <f>'S28 Transportation Matrix'!I25*'S29 Distances Matrix'!I25</f>
        <v>0</v>
      </c>
      <c r="J25" s="3">
        <f>'S28 Transportation Matrix'!J25*'S29 Distances Matrix'!J25</f>
        <v>0</v>
      </c>
      <c r="K25" s="3">
        <f>'S28 Transportation Matrix'!K25*'S29 Distances Matrix'!K25</f>
        <v>0</v>
      </c>
      <c r="L25" s="3">
        <f>'S28 Transportation Matrix'!L25*'S29 Distances Matrix'!L25</f>
        <v>0</v>
      </c>
      <c r="M25" s="3">
        <f>'S28 Transportation Matrix'!M25*'S29 Distances Matrix'!M25</f>
        <v>0</v>
      </c>
      <c r="N25" s="3">
        <f>'S28 Transportation Matrix'!N25*'S29 Distances Matrix'!N25</f>
        <v>0</v>
      </c>
      <c r="O25" s="3">
        <f>'S28 Transportation Matrix'!O25*'S29 Distances Matrix'!O25</f>
        <v>0</v>
      </c>
      <c r="P25" s="3">
        <f>'S28 Transportation Matrix'!P25*'S29 Distances Matrix'!P25</f>
        <v>0</v>
      </c>
      <c r="Q25" s="3">
        <f>'S28 Transportation Matrix'!Q25*'S29 Distances Matrix'!Q25</f>
        <v>0</v>
      </c>
      <c r="R25" s="3">
        <f>'S28 Transportation Matrix'!R25*'S29 Distances Matrix'!R25</f>
        <v>0</v>
      </c>
      <c r="S25" s="3">
        <f>'S28 Transportation Matrix'!S25*'S29 Distances Matrix'!S25</f>
        <v>0</v>
      </c>
      <c r="T25" s="3">
        <f>'S28 Transportation Matrix'!T25*'S29 Distances Matrix'!T25</f>
        <v>0</v>
      </c>
      <c r="U25" s="3">
        <f>'S28 Transportation Matrix'!U25*'S29 Distances Matrix'!U25</f>
        <v>0</v>
      </c>
      <c r="V25" s="3">
        <f>'S28 Transportation Matrix'!V25*'S29 Distances Matrix'!V25</f>
        <v>0</v>
      </c>
      <c r="W25" s="3">
        <f>'S28 Transportation Matrix'!W25*'S29 Distances Matrix'!W25</f>
        <v>0</v>
      </c>
      <c r="X25" s="3">
        <f>'S28 Transportation Matrix'!X25*'S29 Distances Matrix'!X25</f>
        <v>0</v>
      </c>
      <c r="Y25" s="3">
        <f>'S28 Transportation Matrix'!Y25*'S29 Distances Matrix'!Y25</f>
        <v>0</v>
      </c>
      <c r="Z25" s="3">
        <f>'S28 Transportation Matrix'!Z25*'S29 Distances Matrix'!Z25</f>
        <v>0</v>
      </c>
      <c r="AA25" s="3">
        <f>'S28 Transportation Matrix'!AA25*'S29 Distances Matrix'!AA25</f>
        <v>0</v>
      </c>
      <c r="AB25" s="3">
        <f>'S28 Transportation Matrix'!AB25*'S29 Distances Matrix'!AB25</f>
        <v>0</v>
      </c>
      <c r="AC25" s="3">
        <f>'S28 Transportation Matrix'!AC25*'S29 Distances Matrix'!AC25</f>
        <v>0</v>
      </c>
      <c r="AD25" s="3">
        <f>'S28 Transportation Matrix'!AD25*'S29 Distances Matrix'!AD25</f>
        <v>0</v>
      </c>
      <c r="AE25" s="3">
        <f>'S28 Transportation Matrix'!AE25*'S29 Distances Matrix'!AE25</f>
        <v>0</v>
      </c>
      <c r="AF25" s="3">
        <f>'S28 Transportation Matrix'!AF25*'S29 Distances Matrix'!AF25</f>
        <v>0</v>
      </c>
      <c r="AG25" s="3">
        <f>'S28 Transportation Matrix'!AG25*'S29 Distances Matrix'!AG25</f>
        <v>0</v>
      </c>
      <c r="AH25" s="3">
        <f>'S28 Transportation Matrix'!AH25*'S29 Distances Matrix'!AH25</f>
        <v>0</v>
      </c>
      <c r="AI25" s="3">
        <f>'S28 Transportation Matrix'!AI25*'S29 Distances Matrix'!AI25</f>
        <v>0</v>
      </c>
      <c r="AJ25" s="3">
        <f>'S28 Transportation Matrix'!AJ25*'S29 Distances Matrix'!AJ25</f>
        <v>0</v>
      </c>
      <c r="AK25" s="3">
        <f>'S28 Transportation Matrix'!AK25*'S29 Distances Matrix'!AK25</f>
        <v>0</v>
      </c>
      <c r="AL25" s="3">
        <f>'S28 Transportation Matrix'!AL25*'S29 Distances Matrix'!AL25</f>
        <v>0</v>
      </c>
      <c r="AM25" s="3">
        <f>'S28 Transportation Matrix'!AM25*'S29 Distances Matrix'!AM25</f>
        <v>0</v>
      </c>
      <c r="AN25" s="3">
        <f>'S28 Transportation Matrix'!AN25*'S29 Distances Matrix'!AN25</f>
        <v>0</v>
      </c>
      <c r="AO25" s="3">
        <f>'S28 Transportation Matrix'!AO25*'S29 Distances Matrix'!AO25</f>
        <v>0</v>
      </c>
      <c r="AP25" s="3">
        <f>'S28 Transportation Matrix'!AP25*'S29 Distances Matrix'!AP25</f>
        <v>0</v>
      </c>
      <c r="AQ25" s="3">
        <f>'S28 Transportation Matrix'!AQ25*'S29 Distances Matrix'!AQ25</f>
        <v>0</v>
      </c>
      <c r="AR25" s="3">
        <f>'S28 Transportation Matrix'!AR25*'S29 Distances Matrix'!AR25</f>
        <v>0</v>
      </c>
      <c r="AS25" s="3">
        <f>'S28 Transportation Matrix'!AS25*'S29 Distances Matrix'!AS25</f>
        <v>0</v>
      </c>
    </row>
    <row r="26" spans="1:45">
      <c r="A26" s="288" t="s">
        <v>596</v>
      </c>
      <c r="B26" s="3">
        <f>'S28 Transportation Matrix'!B26*'S29 Distances Matrix'!B26</f>
        <v>0</v>
      </c>
      <c r="C26" s="3">
        <f>'S28 Transportation Matrix'!C26*'S29 Distances Matrix'!C26</f>
        <v>0</v>
      </c>
      <c r="D26" s="3">
        <f>'S28 Transportation Matrix'!D26*'S29 Distances Matrix'!D26</f>
        <v>0</v>
      </c>
      <c r="E26" s="3">
        <f>'S28 Transportation Matrix'!E26*'S29 Distances Matrix'!E26</f>
        <v>0</v>
      </c>
      <c r="F26" s="3">
        <f>'S28 Transportation Matrix'!F26*'S29 Distances Matrix'!F26</f>
        <v>0</v>
      </c>
      <c r="G26" s="3">
        <f>'S28 Transportation Matrix'!G26*'S29 Distances Matrix'!G26</f>
        <v>0</v>
      </c>
      <c r="H26" s="3">
        <f>'S28 Transportation Matrix'!H26*'S29 Distances Matrix'!H26</f>
        <v>0</v>
      </c>
      <c r="I26" s="3">
        <f>'S28 Transportation Matrix'!I26*'S29 Distances Matrix'!I26</f>
        <v>0</v>
      </c>
      <c r="J26" s="3">
        <f>'S28 Transportation Matrix'!J26*'S29 Distances Matrix'!J26</f>
        <v>0</v>
      </c>
      <c r="K26" s="3">
        <f>'S28 Transportation Matrix'!K26*'S29 Distances Matrix'!K26</f>
        <v>0</v>
      </c>
      <c r="L26" s="3">
        <f>'S28 Transportation Matrix'!L26*'S29 Distances Matrix'!L26</f>
        <v>0</v>
      </c>
      <c r="M26" s="3">
        <f>'S28 Transportation Matrix'!M26*'S29 Distances Matrix'!M26</f>
        <v>0</v>
      </c>
      <c r="N26" s="3">
        <f>'S28 Transportation Matrix'!N26*'S29 Distances Matrix'!N26</f>
        <v>0</v>
      </c>
      <c r="O26" s="3">
        <f>'S28 Transportation Matrix'!O26*'S29 Distances Matrix'!O26</f>
        <v>0</v>
      </c>
      <c r="P26" s="3">
        <f>'S28 Transportation Matrix'!P26*'S29 Distances Matrix'!P26</f>
        <v>0</v>
      </c>
      <c r="Q26" s="3">
        <f>'S28 Transportation Matrix'!Q26*'S29 Distances Matrix'!Q26</f>
        <v>0</v>
      </c>
      <c r="R26" s="3">
        <f>'S28 Transportation Matrix'!R26*'S29 Distances Matrix'!R26</f>
        <v>0</v>
      </c>
      <c r="S26" s="3">
        <f>'S28 Transportation Matrix'!S26*'S29 Distances Matrix'!S26</f>
        <v>0</v>
      </c>
      <c r="T26" s="3">
        <f>'S28 Transportation Matrix'!T26*'S29 Distances Matrix'!T26</f>
        <v>0</v>
      </c>
      <c r="U26" s="3">
        <f>'S28 Transportation Matrix'!U26*'S29 Distances Matrix'!U26</f>
        <v>0</v>
      </c>
      <c r="V26" s="3">
        <f>'S28 Transportation Matrix'!V26*'S29 Distances Matrix'!V26</f>
        <v>0</v>
      </c>
      <c r="W26" s="3">
        <f>'S28 Transportation Matrix'!W26*'S29 Distances Matrix'!W26</f>
        <v>0</v>
      </c>
      <c r="X26" s="3">
        <f>'S28 Transportation Matrix'!X26*'S29 Distances Matrix'!X26</f>
        <v>0</v>
      </c>
      <c r="Y26" s="3">
        <f>'S28 Transportation Matrix'!Y26*'S29 Distances Matrix'!Y26</f>
        <v>0</v>
      </c>
      <c r="Z26" s="3">
        <f>'S28 Transportation Matrix'!Z26*'S29 Distances Matrix'!Z26</f>
        <v>0</v>
      </c>
      <c r="AA26" s="3">
        <f>'S28 Transportation Matrix'!AA26*'S29 Distances Matrix'!AA26</f>
        <v>0</v>
      </c>
      <c r="AB26" s="3">
        <f>'S28 Transportation Matrix'!AB26*'S29 Distances Matrix'!AB26</f>
        <v>0</v>
      </c>
      <c r="AC26" s="3">
        <f>'S28 Transportation Matrix'!AC26*'S29 Distances Matrix'!AC26</f>
        <v>0</v>
      </c>
      <c r="AD26" s="3">
        <f>'S28 Transportation Matrix'!AD26*'S29 Distances Matrix'!AD26</f>
        <v>0</v>
      </c>
      <c r="AE26" s="3">
        <f>'S28 Transportation Matrix'!AE26*'S29 Distances Matrix'!AE26</f>
        <v>0</v>
      </c>
      <c r="AF26" s="3">
        <f>'S28 Transportation Matrix'!AF26*'S29 Distances Matrix'!AF26</f>
        <v>1420</v>
      </c>
      <c r="AG26" s="3">
        <f>'S28 Transportation Matrix'!AG26*'S29 Distances Matrix'!AG26</f>
        <v>0</v>
      </c>
      <c r="AH26" s="3">
        <f>'S28 Transportation Matrix'!AH26*'S29 Distances Matrix'!AH26</f>
        <v>0</v>
      </c>
      <c r="AI26" s="3">
        <f>'S28 Transportation Matrix'!AI26*'S29 Distances Matrix'!AI26</f>
        <v>0</v>
      </c>
      <c r="AJ26" s="3">
        <f>'S28 Transportation Matrix'!AJ26*'S29 Distances Matrix'!AJ26</f>
        <v>0</v>
      </c>
      <c r="AK26" s="3">
        <f>'S28 Transportation Matrix'!AK26*'S29 Distances Matrix'!AK26</f>
        <v>0</v>
      </c>
      <c r="AL26" s="3">
        <f>'S28 Transportation Matrix'!AL26*'S29 Distances Matrix'!AL26</f>
        <v>0</v>
      </c>
      <c r="AM26" s="3">
        <f>'S28 Transportation Matrix'!AM26*'S29 Distances Matrix'!AM26</f>
        <v>0</v>
      </c>
      <c r="AN26" s="3">
        <f>'S28 Transportation Matrix'!AN26*'S29 Distances Matrix'!AN26</f>
        <v>0</v>
      </c>
      <c r="AO26" s="3">
        <f>'S28 Transportation Matrix'!AO26*'S29 Distances Matrix'!AO26</f>
        <v>0</v>
      </c>
      <c r="AP26" s="3">
        <f>'S28 Transportation Matrix'!AP26*'S29 Distances Matrix'!AP26</f>
        <v>0</v>
      </c>
      <c r="AQ26" s="3">
        <f>'S28 Transportation Matrix'!AQ26*'S29 Distances Matrix'!AQ26</f>
        <v>0</v>
      </c>
      <c r="AR26" s="3">
        <f>'S28 Transportation Matrix'!AR26*'S29 Distances Matrix'!AR26</f>
        <v>0</v>
      </c>
      <c r="AS26" s="3">
        <f>'S28 Transportation Matrix'!AS26*'S29 Distances Matrix'!AS26</f>
        <v>0</v>
      </c>
    </row>
    <row r="27" spans="1:45">
      <c r="A27" s="288" t="s">
        <v>597</v>
      </c>
      <c r="B27" s="3">
        <f>'S28 Transportation Matrix'!B27*'S29 Distances Matrix'!B27</f>
        <v>0</v>
      </c>
      <c r="C27" s="3">
        <f>'S28 Transportation Matrix'!C27*'S29 Distances Matrix'!C27</f>
        <v>0</v>
      </c>
      <c r="D27" s="3">
        <f>'S28 Transportation Matrix'!D27*'S29 Distances Matrix'!D27</f>
        <v>0</v>
      </c>
      <c r="E27" s="3">
        <f>'S28 Transportation Matrix'!E27*'S29 Distances Matrix'!E27</f>
        <v>0</v>
      </c>
      <c r="F27" s="3">
        <f>'S28 Transportation Matrix'!F27*'S29 Distances Matrix'!F27</f>
        <v>0</v>
      </c>
      <c r="G27" s="3">
        <f>'S28 Transportation Matrix'!G27*'S29 Distances Matrix'!G27</f>
        <v>0</v>
      </c>
      <c r="H27" s="3">
        <f>'S28 Transportation Matrix'!H27*'S29 Distances Matrix'!H27</f>
        <v>0</v>
      </c>
      <c r="I27" s="3">
        <f>'S28 Transportation Matrix'!I27*'S29 Distances Matrix'!I27</f>
        <v>0</v>
      </c>
      <c r="J27" s="3">
        <f>'S28 Transportation Matrix'!J27*'S29 Distances Matrix'!J27</f>
        <v>0</v>
      </c>
      <c r="K27" s="3">
        <f>'S28 Transportation Matrix'!K27*'S29 Distances Matrix'!K27</f>
        <v>0</v>
      </c>
      <c r="L27" s="3">
        <f>'S28 Transportation Matrix'!L27*'S29 Distances Matrix'!L27</f>
        <v>0</v>
      </c>
      <c r="M27" s="3">
        <f>'S28 Transportation Matrix'!M27*'S29 Distances Matrix'!M27</f>
        <v>0</v>
      </c>
      <c r="N27" s="3">
        <f>'S28 Transportation Matrix'!N27*'S29 Distances Matrix'!N27</f>
        <v>0</v>
      </c>
      <c r="O27" s="3">
        <f>'S28 Transportation Matrix'!O27*'S29 Distances Matrix'!O27</f>
        <v>0</v>
      </c>
      <c r="P27" s="3">
        <f>'S28 Transportation Matrix'!P27*'S29 Distances Matrix'!P27</f>
        <v>0</v>
      </c>
      <c r="Q27" s="3">
        <f>'S28 Transportation Matrix'!Q27*'S29 Distances Matrix'!Q27</f>
        <v>0</v>
      </c>
      <c r="R27" s="3">
        <f>'S28 Transportation Matrix'!R27*'S29 Distances Matrix'!R27</f>
        <v>0</v>
      </c>
      <c r="S27" s="3">
        <f>'S28 Transportation Matrix'!S27*'S29 Distances Matrix'!S27</f>
        <v>0</v>
      </c>
      <c r="T27" s="3">
        <f>'S28 Transportation Matrix'!T27*'S29 Distances Matrix'!T27</f>
        <v>0</v>
      </c>
      <c r="U27" s="3">
        <f>'S28 Transportation Matrix'!U27*'S29 Distances Matrix'!U27</f>
        <v>0</v>
      </c>
      <c r="V27" s="3">
        <f>'S28 Transportation Matrix'!V27*'S29 Distances Matrix'!V27</f>
        <v>0</v>
      </c>
      <c r="W27" s="3">
        <f>'S28 Transportation Matrix'!W27*'S29 Distances Matrix'!W27</f>
        <v>0</v>
      </c>
      <c r="X27" s="3">
        <f>'S28 Transportation Matrix'!X27*'S29 Distances Matrix'!X27</f>
        <v>0</v>
      </c>
      <c r="Y27" s="3">
        <f>'S28 Transportation Matrix'!Y27*'S29 Distances Matrix'!Y27</f>
        <v>0</v>
      </c>
      <c r="Z27" s="3">
        <f>'S28 Transportation Matrix'!Z27*'S29 Distances Matrix'!Z27</f>
        <v>0</v>
      </c>
      <c r="AA27" s="3">
        <f>'S28 Transportation Matrix'!AA27*'S29 Distances Matrix'!AA27</f>
        <v>0</v>
      </c>
      <c r="AB27" s="3">
        <f>'S28 Transportation Matrix'!AB27*'S29 Distances Matrix'!AB27</f>
        <v>0</v>
      </c>
      <c r="AC27" s="3">
        <f>'S28 Transportation Matrix'!AC27*'S29 Distances Matrix'!AC27</f>
        <v>0</v>
      </c>
      <c r="AD27" s="3">
        <f>'S28 Transportation Matrix'!AD27*'S29 Distances Matrix'!AD27</f>
        <v>4379</v>
      </c>
      <c r="AE27" s="3">
        <f>'S28 Transportation Matrix'!AE27*'S29 Distances Matrix'!AE27</f>
        <v>0</v>
      </c>
      <c r="AF27" s="3">
        <f>'S28 Transportation Matrix'!AF27*'S29 Distances Matrix'!AF27</f>
        <v>0</v>
      </c>
      <c r="AG27" s="3">
        <f>'S28 Transportation Matrix'!AG27*'S29 Distances Matrix'!AG27</f>
        <v>0</v>
      </c>
      <c r="AH27" s="3">
        <f>'S28 Transportation Matrix'!AH27*'S29 Distances Matrix'!AH27</f>
        <v>0</v>
      </c>
      <c r="AI27" s="3">
        <f>'S28 Transportation Matrix'!AI27*'S29 Distances Matrix'!AI27</f>
        <v>0</v>
      </c>
      <c r="AJ27" s="3">
        <f>'S28 Transportation Matrix'!AJ27*'S29 Distances Matrix'!AJ27</f>
        <v>0</v>
      </c>
      <c r="AK27" s="3">
        <f>'S28 Transportation Matrix'!AK27*'S29 Distances Matrix'!AK27</f>
        <v>0</v>
      </c>
      <c r="AL27" s="3">
        <f>'S28 Transportation Matrix'!AL27*'S29 Distances Matrix'!AL27</f>
        <v>0</v>
      </c>
      <c r="AM27" s="3">
        <f>'S28 Transportation Matrix'!AM27*'S29 Distances Matrix'!AM27</f>
        <v>0</v>
      </c>
      <c r="AN27" s="3">
        <f>'S28 Transportation Matrix'!AN27*'S29 Distances Matrix'!AN27</f>
        <v>0</v>
      </c>
      <c r="AO27" s="3">
        <f>'S28 Transportation Matrix'!AO27*'S29 Distances Matrix'!AO27</f>
        <v>0</v>
      </c>
      <c r="AP27" s="3">
        <f>'S28 Transportation Matrix'!AP27*'S29 Distances Matrix'!AP27</f>
        <v>0</v>
      </c>
      <c r="AQ27" s="3">
        <f>'S28 Transportation Matrix'!AQ27*'S29 Distances Matrix'!AQ27</f>
        <v>0</v>
      </c>
      <c r="AR27" s="3">
        <f>'S28 Transportation Matrix'!AR27*'S29 Distances Matrix'!AR27</f>
        <v>0</v>
      </c>
      <c r="AS27" s="3">
        <f>'S28 Transportation Matrix'!AS27*'S29 Distances Matrix'!AS27</f>
        <v>0</v>
      </c>
    </row>
    <row r="28" spans="1:45">
      <c r="A28" s="288" t="s">
        <v>598</v>
      </c>
      <c r="B28" s="3">
        <f>'S28 Transportation Matrix'!B28*'S29 Distances Matrix'!B28</f>
        <v>0</v>
      </c>
      <c r="C28" s="3">
        <f>'S28 Transportation Matrix'!C28*'S29 Distances Matrix'!C28</f>
        <v>0</v>
      </c>
      <c r="D28" s="3">
        <f>'S28 Transportation Matrix'!D28*'S29 Distances Matrix'!D28</f>
        <v>0</v>
      </c>
      <c r="E28" s="3">
        <f>'S28 Transportation Matrix'!E28*'S29 Distances Matrix'!E28</f>
        <v>0</v>
      </c>
      <c r="F28" s="3">
        <f>'S28 Transportation Matrix'!F28*'S29 Distances Matrix'!F28</f>
        <v>0</v>
      </c>
      <c r="G28" s="3">
        <f>'S28 Transportation Matrix'!G28*'S29 Distances Matrix'!G28</f>
        <v>0</v>
      </c>
      <c r="H28" s="3">
        <f>'S28 Transportation Matrix'!H28*'S29 Distances Matrix'!H28</f>
        <v>0</v>
      </c>
      <c r="I28" s="3">
        <f>'S28 Transportation Matrix'!I28*'S29 Distances Matrix'!I28</f>
        <v>0</v>
      </c>
      <c r="J28" s="3">
        <f>'S28 Transportation Matrix'!J28*'S29 Distances Matrix'!J28</f>
        <v>0</v>
      </c>
      <c r="K28" s="3">
        <f>'S28 Transportation Matrix'!K28*'S29 Distances Matrix'!K28</f>
        <v>0</v>
      </c>
      <c r="L28" s="3">
        <f>'S28 Transportation Matrix'!L28*'S29 Distances Matrix'!L28</f>
        <v>0</v>
      </c>
      <c r="M28" s="3">
        <f>'S28 Transportation Matrix'!M28*'S29 Distances Matrix'!M28</f>
        <v>0</v>
      </c>
      <c r="N28" s="3">
        <f>'S28 Transportation Matrix'!N28*'S29 Distances Matrix'!N28</f>
        <v>0</v>
      </c>
      <c r="O28" s="3">
        <f>'S28 Transportation Matrix'!O28*'S29 Distances Matrix'!O28</f>
        <v>0</v>
      </c>
      <c r="P28" s="3">
        <f>'S28 Transportation Matrix'!P28*'S29 Distances Matrix'!P28</f>
        <v>0</v>
      </c>
      <c r="Q28" s="3">
        <f>'S28 Transportation Matrix'!Q28*'S29 Distances Matrix'!Q28</f>
        <v>0</v>
      </c>
      <c r="R28" s="3">
        <f>'S28 Transportation Matrix'!R28*'S29 Distances Matrix'!R28</f>
        <v>0</v>
      </c>
      <c r="S28" s="3">
        <f>'S28 Transportation Matrix'!S28*'S29 Distances Matrix'!S28</f>
        <v>0</v>
      </c>
      <c r="T28" s="3">
        <f>'S28 Transportation Matrix'!T28*'S29 Distances Matrix'!T28</f>
        <v>0</v>
      </c>
      <c r="U28" s="3">
        <f>'S28 Transportation Matrix'!U28*'S29 Distances Matrix'!U28</f>
        <v>0</v>
      </c>
      <c r="V28" s="3">
        <f>'S28 Transportation Matrix'!V28*'S29 Distances Matrix'!V28</f>
        <v>0</v>
      </c>
      <c r="W28" s="3">
        <f>'S28 Transportation Matrix'!W28*'S29 Distances Matrix'!W28</f>
        <v>0</v>
      </c>
      <c r="X28" s="3">
        <f>'S28 Transportation Matrix'!X28*'S29 Distances Matrix'!X28</f>
        <v>0</v>
      </c>
      <c r="Y28" s="3">
        <f>'S28 Transportation Matrix'!Y28*'S29 Distances Matrix'!Y28</f>
        <v>0</v>
      </c>
      <c r="Z28" s="3">
        <f>'S28 Transportation Matrix'!Z28*'S29 Distances Matrix'!Z28</f>
        <v>0</v>
      </c>
      <c r="AA28" s="3">
        <f>'S28 Transportation Matrix'!AA28*'S29 Distances Matrix'!AA28</f>
        <v>0</v>
      </c>
      <c r="AB28" s="3">
        <f>'S28 Transportation Matrix'!AB28*'S29 Distances Matrix'!AB28</f>
        <v>0</v>
      </c>
      <c r="AC28" s="3">
        <f>'S28 Transportation Matrix'!AC28*'S29 Distances Matrix'!AC28</f>
        <v>0</v>
      </c>
      <c r="AD28" s="3">
        <f>'S28 Transportation Matrix'!AD28*'S29 Distances Matrix'!AD28</f>
        <v>0</v>
      </c>
      <c r="AE28" s="3">
        <f>'S28 Transportation Matrix'!AE28*'S29 Distances Matrix'!AE28</f>
        <v>0</v>
      </c>
      <c r="AF28" s="3">
        <f>'S28 Transportation Matrix'!AF28*'S29 Distances Matrix'!AF28</f>
        <v>0</v>
      </c>
      <c r="AG28" s="3">
        <f>'S28 Transportation Matrix'!AG28*'S29 Distances Matrix'!AG28</f>
        <v>0</v>
      </c>
      <c r="AH28" s="3">
        <f>'S28 Transportation Matrix'!AH28*'S29 Distances Matrix'!AH28</f>
        <v>0</v>
      </c>
      <c r="AI28" s="3">
        <f>'S28 Transportation Matrix'!AI28*'S29 Distances Matrix'!AI28</f>
        <v>213</v>
      </c>
      <c r="AJ28" s="3">
        <f>'S28 Transportation Matrix'!AJ28*'S29 Distances Matrix'!AJ28</f>
        <v>0</v>
      </c>
      <c r="AK28" s="3">
        <f>'S28 Transportation Matrix'!AK28*'S29 Distances Matrix'!AK28</f>
        <v>0</v>
      </c>
      <c r="AL28" s="3">
        <f>'S28 Transportation Matrix'!AL28*'S29 Distances Matrix'!AL28</f>
        <v>0</v>
      </c>
      <c r="AM28" s="3">
        <f>'S28 Transportation Matrix'!AM28*'S29 Distances Matrix'!AM28</f>
        <v>0</v>
      </c>
      <c r="AN28" s="3">
        <f>'S28 Transportation Matrix'!AN28*'S29 Distances Matrix'!AN28</f>
        <v>0</v>
      </c>
      <c r="AO28" s="3">
        <f>'S28 Transportation Matrix'!AO28*'S29 Distances Matrix'!AO28</f>
        <v>0</v>
      </c>
      <c r="AP28" s="3">
        <f>'S28 Transportation Matrix'!AP28*'S29 Distances Matrix'!AP28</f>
        <v>0</v>
      </c>
      <c r="AQ28" s="3">
        <f>'S28 Transportation Matrix'!AQ28*'S29 Distances Matrix'!AQ28</f>
        <v>0</v>
      </c>
      <c r="AR28" s="3">
        <f>'S28 Transportation Matrix'!AR28*'S29 Distances Matrix'!AR28</f>
        <v>0</v>
      </c>
      <c r="AS28" s="3">
        <f>'S28 Transportation Matrix'!AS28*'S29 Distances Matrix'!AS28</f>
        <v>0</v>
      </c>
    </row>
    <row r="29" spans="1:45">
      <c r="A29" s="288" t="s">
        <v>599</v>
      </c>
      <c r="B29" s="3">
        <f>'S28 Transportation Matrix'!B29*'S29 Distances Matrix'!B29</f>
        <v>0</v>
      </c>
      <c r="C29" s="3">
        <f>'S28 Transportation Matrix'!C29*'S29 Distances Matrix'!C29</f>
        <v>0</v>
      </c>
      <c r="D29" s="3">
        <f>'S28 Transportation Matrix'!D29*'S29 Distances Matrix'!D29</f>
        <v>0</v>
      </c>
      <c r="E29" s="3">
        <f>'S28 Transportation Matrix'!E29*'S29 Distances Matrix'!E29</f>
        <v>0</v>
      </c>
      <c r="F29" s="3">
        <f>'S28 Transportation Matrix'!F29*'S29 Distances Matrix'!F29</f>
        <v>0</v>
      </c>
      <c r="G29" s="3">
        <f>'S28 Transportation Matrix'!G29*'S29 Distances Matrix'!G29</f>
        <v>0</v>
      </c>
      <c r="H29" s="3">
        <f>'S28 Transportation Matrix'!H29*'S29 Distances Matrix'!H29</f>
        <v>0</v>
      </c>
      <c r="I29" s="3">
        <f>'S28 Transportation Matrix'!I29*'S29 Distances Matrix'!I29</f>
        <v>0</v>
      </c>
      <c r="J29" s="3">
        <f>'S28 Transportation Matrix'!J29*'S29 Distances Matrix'!J29</f>
        <v>0</v>
      </c>
      <c r="K29" s="3">
        <f>'S28 Transportation Matrix'!K29*'S29 Distances Matrix'!K29</f>
        <v>0</v>
      </c>
      <c r="L29" s="3">
        <f>'S28 Transportation Matrix'!L29*'S29 Distances Matrix'!L29</f>
        <v>0</v>
      </c>
      <c r="M29" s="3">
        <f>'S28 Transportation Matrix'!M29*'S29 Distances Matrix'!M29</f>
        <v>0</v>
      </c>
      <c r="N29" s="3">
        <f>'S28 Transportation Matrix'!N29*'S29 Distances Matrix'!N29</f>
        <v>0</v>
      </c>
      <c r="O29" s="3">
        <f>'S28 Transportation Matrix'!O29*'S29 Distances Matrix'!O29</f>
        <v>0</v>
      </c>
      <c r="P29" s="3">
        <f>'S28 Transportation Matrix'!P29*'S29 Distances Matrix'!P29</f>
        <v>0</v>
      </c>
      <c r="Q29" s="3">
        <f>'S28 Transportation Matrix'!Q29*'S29 Distances Matrix'!Q29</f>
        <v>0</v>
      </c>
      <c r="R29" s="3">
        <f>'S28 Transportation Matrix'!R29*'S29 Distances Matrix'!R29</f>
        <v>0</v>
      </c>
      <c r="S29" s="3">
        <f>'S28 Transportation Matrix'!S29*'S29 Distances Matrix'!S29</f>
        <v>0</v>
      </c>
      <c r="T29" s="3">
        <f>'S28 Transportation Matrix'!T29*'S29 Distances Matrix'!T29</f>
        <v>0</v>
      </c>
      <c r="U29" s="3">
        <f>'S28 Transportation Matrix'!U29*'S29 Distances Matrix'!U29</f>
        <v>0</v>
      </c>
      <c r="V29" s="3">
        <f>'S28 Transportation Matrix'!V29*'S29 Distances Matrix'!V29</f>
        <v>0</v>
      </c>
      <c r="W29" s="3">
        <f>'S28 Transportation Matrix'!W29*'S29 Distances Matrix'!W29</f>
        <v>0</v>
      </c>
      <c r="X29" s="3">
        <f>'S28 Transportation Matrix'!X29*'S29 Distances Matrix'!X29</f>
        <v>0</v>
      </c>
      <c r="Y29" s="3">
        <f>'S28 Transportation Matrix'!Y29*'S29 Distances Matrix'!Y29</f>
        <v>0</v>
      </c>
      <c r="Z29" s="3">
        <f>'S28 Transportation Matrix'!Z29*'S29 Distances Matrix'!Z29</f>
        <v>0</v>
      </c>
      <c r="AA29" s="3">
        <f>'S28 Transportation Matrix'!AA29*'S29 Distances Matrix'!AA29</f>
        <v>0</v>
      </c>
      <c r="AB29" s="3">
        <f>'S28 Transportation Matrix'!AB29*'S29 Distances Matrix'!AB29</f>
        <v>0</v>
      </c>
      <c r="AC29" s="3">
        <f>'S28 Transportation Matrix'!AC29*'S29 Distances Matrix'!AC29</f>
        <v>0</v>
      </c>
      <c r="AD29" s="3">
        <f>'S28 Transportation Matrix'!AD29*'S29 Distances Matrix'!AD29</f>
        <v>0</v>
      </c>
      <c r="AE29" s="3">
        <f>'S28 Transportation Matrix'!AE29*'S29 Distances Matrix'!AE29</f>
        <v>0</v>
      </c>
      <c r="AF29" s="3">
        <f>'S28 Transportation Matrix'!AF29*'S29 Distances Matrix'!AF29</f>
        <v>0</v>
      </c>
      <c r="AG29" s="3">
        <f>'S28 Transportation Matrix'!AG29*'S29 Distances Matrix'!AG29</f>
        <v>1311</v>
      </c>
      <c r="AH29" s="3">
        <f>'S28 Transportation Matrix'!AH29*'S29 Distances Matrix'!AH29</f>
        <v>0</v>
      </c>
      <c r="AI29" s="3">
        <f>'S28 Transportation Matrix'!AI29*'S29 Distances Matrix'!AI29</f>
        <v>0</v>
      </c>
      <c r="AJ29" s="3">
        <f>'S28 Transportation Matrix'!AJ29*'S29 Distances Matrix'!AJ29</f>
        <v>0</v>
      </c>
      <c r="AK29" s="3">
        <f>'S28 Transportation Matrix'!AK29*'S29 Distances Matrix'!AK29</f>
        <v>0</v>
      </c>
      <c r="AL29" s="3">
        <f>'S28 Transportation Matrix'!AL29*'S29 Distances Matrix'!AL29</f>
        <v>0</v>
      </c>
      <c r="AM29" s="3">
        <f>'S28 Transportation Matrix'!AM29*'S29 Distances Matrix'!AM29</f>
        <v>0</v>
      </c>
      <c r="AN29" s="3">
        <f>'S28 Transportation Matrix'!AN29*'S29 Distances Matrix'!AN29</f>
        <v>0</v>
      </c>
      <c r="AO29" s="3">
        <f>'S28 Transportation Matrix'!AO29*'S29 Distances Matrix'!AO29</f>
        <v>0</v>
      </c>
      <c r="AP29" s="3">
        <f>'S28 Transportation Matrix'!AP29*'S29 Distances Matrix'!AP29</f>
        <v>0</v>
      </c>
      <c r="AQ29" s="3">
        <f>'S28 Transportation Matrix'!AQ29*'S29 Distances Matrix'!AQ29</f>
        <v>0</v>
      </c>
      <c r="AR29" s="3">
        <f>'S28 Transportation Matrix'!AR29*'S29 Distances Matrix'!AR29</f>
        <v>0</v>
      </c>
      <c r="AS29" s="3">
        <f>'S28 Transportation Matrix'!AS29*'S29 Distances Matrix'!AS29</f>
        <v>0</v>
      </c>
    </row>
    <row r="30" spans="1:45">
      <c r="A30" s="288" t="s">
        <v>600</v>
      </c>
      <c r="B30" s="3">
        <f>'S28 Transportation Matrix'!B30*'S29 Distances Matrix'!B30</f>
        <v>0</v>
      </c>
      <c r="C30" s="3">
        <f>'S28 Transportation Matrix'!C30*'S29 Distances Matrix'!C30</f>
        <v>0</v>
      </c>
      <c r="D30" s="3">
        <f>'S28 Transportation Matrix'!D30*'S29 Distances Matrix'!D30</f>
        <v>0</v>
      </c>
      <c r="E30" s="3">
        <f>'S28 Transportation Matrix'!E30*'S29 Distances Matrix'!E30</f>
        <v>0</v>
      </c>
      <c r="F30" s="3">
        <f>'S28 Transportation Matrix'!F30*'S29 Distances Matrix'!F30</f>
        <v>0</v>
      </c>
      <c r="G30" s="3">
        <f>'S28 Transportation Matrix'!G30*'S29 Distances Matrix'!G30</f>
        <v>0</v>
      </c>
      <c r="H30" s="3">
        <f>'S28 Transportation Matrix'!H30*'S29 Distances Matrix'!H30</f>
        <v>0</v>
      </c>
      <c r="I30" s="3">
        <f>'S28 Transportation Matrix'!I30*'S29 Distances Matrix'!I30</f>
        <v>0</v>
      </c>
      <c r="J30" s="3">
        <f>'S28 Transportation Matrix'!J30*'S29 Distances Matrix'!J30</f>
        <v>0</v>
      </c>
      <c r="K30" s="3">
        <f>'S28 Transportation Matrix'!K30*'S29 Distances Matrix'!K30</f>
        <v>0</v>
      </c>
      <c r="L30" s="3">
        <f>'S28 Transportation Matrix'!L30*'S29 Distances Matrix'!L30</f>
        <v>0</v>
      </c>
      <c r="M30" s="3">
        <f>'S28 Transportation Matrix'!M30*'S29 Distances Matrix'!M30</f>
        <v>0</v>
      </c>
      <c r="N30" s="3">
        <f>'S28 Transportation Matrix'!N30*'S29 Distances Matrix'!N30</f>
        <v>0</v>
      </c>
      <c r="O30" s="3">
        <f>'S28 Transportation Matrix'!O30*'S29 Distances Matrix'!O30</f>
        <v>0</v>
      </c>
      <c r="P30" s="3">
        <f>'S28 Transportation Matrix'!P30*'S29 Distances Matrix'!P30</f>
        <v>0</v>
      </c>
      <c r="Q30" s="3">
        <f>'S28 Transportation Matrix'!Q30*'S29 Distances Matrix'!Q30</f>
        <v>0</v>
      </c>
      <c r="R30" s="3">
        <f>'S28 Transportation Matrix'!R30*'S29 Distances Matrix'!R30</f>
        <v>0</v>
      </c>
      <c r="S30" s="3">
        <f>'S28 Transportation Matrix'!S30*'S29 Distances Matrix'!S30</f>
        <v>0</v>
      </c>
      <c r="T30" s="3">
        <f>'S28 Transportation Matrix'!T30*'S29 Distances Matrix'!T30</f>
        <v>0</v>
      </c>
      <c r="U30" s="3">
        <f>'S28 Transportation Matrix'!U30*'S29 Distances Matrix'!U30</f>
        <v>0</v>
      </c>
      <c r="V30" s="3">
        <f>'S28 Transportation Matrix'!V30*'S29 Distances Matrix'!V30</f>
        <v>0</v>
      </c>
      <c r="W30" s="3">
        <f>'S28 Transportation Matrix'!W30*'S29 Distances Matrix'!W30</f>
        <v>0</v>
      </c>
      <c r="X30" s="3">
        <f>'S28 Transportation Matrix'!X30*'S29 Distances Matrix'!X30</f>
        <v>0</v>
      </c>
      <c r="Y30" s="3">
        <f>'S28 Transportation Matrix'!Y30*'S29 Distances Matrix'!Y30</f>
        <v>0</v>
      </c>
      <c r="Z30" s="3">
        <f>'S28 Transportation Matrix'!Z30*'S29 Distances Matrix'!Z30</f>
        <v>0</v>
      </c>
      <c r="AA30" s="3">
        <f>'S28 Transportation Matrix'!AA30*'S29 Distances Matrix'!AA30</f>
        <v>0</v>
      </c>
      <c r="AB30" s="3">
        <f>'S28 Transportation Matrix'!AB30*'S29 Distances Matrix'!AB30</f>
        <v>0</v>
      </c>
      <c r="AC30" s="3">
        <f>'S28 Transportation Matrix'!AC30*'S29 Distances Matrix'!AC30</f>
        <v>0</v>
      </c>
      <c r="AD30" s="3">
        <f>'S28 Transportation Matrix'!AD30*'S29 Distances Matrix'!AD30</f>
        <v>0</v>
      </c>
      <c r="AE30" s="3">
        <f>'S28 Transportation Matrix'!AE30*'S29 Distances Matrix'!AE30</f>
        <v>0</v>
      </c>
      <c r="AF30" s="3">
        <f>'S28 Transportation Matrix'!AF30*'S29 Distances Matrix'!AF30</f>
        <v>0</v>
      </c>
      <c r="AG30" s="3">
        <f>'S28 Transportation Matrix'!AG30*'S29 Distances Matrix'!AG30</f>
        <v>3293</v>
      </c>
      <c r="AH30" s="3">
        <f>'S28 Transportation Matrix'!AH30*'S29 Distances Matrix'!AH30</f>
        <v>0</v>
      </c>
      <c r="AI30" s="3">
        <f>'S28 Transportation Matrix'!AI30*'S29 Distances Matrix'!AI30</f>
        <v>0</v>
      </c>
      <c r="AJ30" s="3">
        <f>'S28 Transportation Matrix'!AJ30*'S29 Distances Matrix'!AJ30</f>
        <v>0</v>
      </c>
      <c r="AK30" s="3">
        <f>'S28 Transportation Matrix'!AK30*'S29 Distances Matrix'!AK30</f>
        <v>0</v>
      </c>
      <c r="AL30" s="3">
        <f>'S28 Transportation Matrix'!AL30*'S29 Distances Matrix'!AL30</f>
        <v>0</v>
      </c>
      <c r="AM30" s="3">
        <f>'S28 Transportation Matrix'!AM30*'S29 Distances Matrix'!AM30</f>
        <v>0</v>
      </c>
      <c r="AN30" s="3">
        <f>'S28 Transportation Matrix'!AN30*'S29 Distances Matrix'!AN30</f>
        <v>0</v>
      </c>
      <c r="AO30" s="3">
        <f>'S28 Transportation Matrix'!AO30*'S29 Distances Matrix'!AO30</f>
        <v>0</v>
      </c>
      <c r="AP30" s="3">
        <f>'S28 Transportation Matrix'!AP30*'S29 Distances Matrix'!AP30</f>
        <v>0</v>
      </c>
      <c r="AQ30" s="3">
        <f>'S28 Transportation Matrix'!AQ30*'S29 Distances Matrix'!AQ30</f>
        <v>0</v>
      </c>
      <c r="AR30" s="3">
        <f>'S28 Transportation Matrix'!AR30*'S29 Distances Matrix'!AR30</f>
        <v>0</v>
      </c>
      <c r="AS30" s="3">
        <f>'S28 Transportation Matrix'!AS30*'S29 Distances Matrix'!AS30</f>
        <v>0</v>
      </c>
    </row>
    <row r="31" spans="1:45">
      <c r="A31" s="288" t="s">
        <v>601</v>
      </c>
      <c r="B31" s="3">
        <f>'S28 Transportation Matrix'!B31*'S29 Distances Matrix'!B31</f>
        <v>0</v>
      </c>
      <c r="C31" s="3">
        <f>'S28 Transportation Matrix'!C31*'S29 Distances Matrix'!C31</f>
        <v>0</v>
      </c>
      <c r="D31" s="3">
        <f>'S28 Transportation Matrix'!D31*'S29 Distances Matrix'!D31</f>
        <v>0</v>
      </c>
      <c r="E31" s="3">
        <f>'S28 Transportation Matrix'!E31*'S29 Distances Matrix'!E31</f>
        <v>0</v>
      </c>
      <c r="F31" s="3">
        <f>'S28 Transportation Matrix'!F31*'S29 Distances Matrix'!F31</f>
        <v>0</v>
      </c>
      <c r="G31" s="3">
        <f>'S28 Transportation Matrix'!G31*'S29 Distances Matrix'!G31</f>
        <v>0</v>
      </c>
      <c r="H31" s="3">
        <f>'S28 Transportation Matrix'!H31*'S29 Distances Matrix'!H31</f>
        <v>0</v>
      </c>
      <c r="I31" s="3">
        <f>'S28 Transportation Matrix'!I31*'S29 Distances Matrix'!I31</f>
        <v>0</v>
      </c>
      <c r="J31" s="3">
        <f>'S28 Transportation Matrix'!J31*'S29 Distances Matrix'!J31</f>
        <v>0</v>
      </c>
      <c r="K31" s="3">
        <f>'S28 Transportation Matrix'!K31*'S29 Distances Matrix'!K31</f>
        <v>0</v>
      </c>
      <c r="L31" s="3">
        <f>'S28 Transportation Matrix'!L31*'S29 Distances Matrix'!L31</f>
        <v>0</v>
      </c>
      <c r="M31" s="3">
        <f>'S28 Transportation Matrix'!M31*'S29 Distances Matrix'!M31</f>
        <v>0</v>
      </c>
      <c r="N31" s="3">
        <f>'S28 Transportation Matrix'!N31*'S29 Distances Matrix'!N31</f>
        <v>0</v>
      </c>
      <c r="O31" s="3">
        <f>'S28 Transportation Matrix'!O31*'S29 Distances Matrix'!O31</f>
        <v>0</v>
      </c>
      <c r="P31" s="3">
        <f>'S28 Transportation Matrix'!P31*'S29 Distances Matrix'!P31</f>
        <v>0</v>
      </c>
      <c r="Q31" s="3">
        <f>'S28 Transportation Matrix'!Q31*'S29 Distances Matrix'!Q31</f>
        <v>0</v>
      </c>
      <c r="R31" s="3">
        <f>'S28 Transportation Matrix'!R31*'S29 Distances Matrix'!R31</f>
        <v>0</v>
      </c>
      <c r="S31" s="3">
        <f>'S28 Transportation Matrix'!S31*'S29 Distances Matrix'!S31</f>
        <v>0</v>
      </c>
      <c r="T31" s="3">
        <f>'S28 Transportation Matrix'!T31*'S29 Distances Matrix'!T31</f>
        <v>0</v>
      </c>
      <c r="U31" s="3">
        <f>'S28 Transportation Matrix'!U31*'S29 Distances Matrix'!U31</f>
        <v>0</v>
      </c>
      <c r="V31" s="3">
        <f>'S28 Transportation Matrix'!V31*'S29 Distances Matrix'!V31</f>
        <v>0</v>
      </c>
      <c r="W31" s="3">
        <f>'S28 Transportation Matrix'!W31*'S29 Distances Matrix'!W31</f>
        <v>0</v>
      </c>
      <c r="X31" s="3">
        <f>'S28 Transportation Matrix'!X31*'S29 Distances Matrix'!X31</f>
        <v>0</v>
      </c>
      <c r="Y31" s="3">
        <f>'S28 Transportation Matrix'!Y31*'S29 Distances Matrix'!Y31</f>
        <v>0</v>
      </c>
      <c r="Z31" s="3">
        <f>'S28 Transportation Matrix'!Z31*'S29 Distances Matrix'!Z31</f>
        <v>0</v>
      </c>
      <c r="AA31" s="3">
        <f>'S28 Transportation Matrix'!AA31*'S29 Distances Matrix'!AA31</f>
        <v>0</v>
      </c>
      <c r="AB31" s="3">
        <f>'S28 Transportation Matrix'!AB31*'S29 Distances Matrix'!AB31</f>
        <v>4539</v>
      </c>
      <c r="AC31" s="3">
        <f>'S28 Transportation Matrix'!AC31*'S29 Distances Matrix'!AC31</f>
        <v>0</v>
      </c>
      <c r="AD31" s="3">
        <f>'S28 Transportation Matrix'!AD31*'S29 Distances Matrix'!AD31</f>
        <v>0</v>
      </c>
      <c r="AE31" s="3">
        <f>'S28 Transportation Matrix'!AE31*'S29 Distances Matrix'!AE31</f>
        <v>0</v>
      </c>
      <c r="AF31" s="3">
        <f>'S28 Transportation Matrix'!AF31*'S29 Distances Matrix'!AF31</f>
        <v>0</v>
      </c>
      <c r="AG31" s="3">
        <f>'S28 Transportation Matrix'!AG31*'S29 Distances Matrix'!AG31</f>
        <v>0</v>
      </c>
      <c r="AH31" s="3">
        <f>'S28 Transportation Matrix'!AH31*'S29 Distances Matrix'!AH31</f>
        <v>0</v>
      </c>
      <c r="AI31" s="3">
        <f>'S28 Transportation Matrix'!AI31*'S29 Distances Matrix'!AI31</f>
        <v>0</v>
      </c>
      <c r="AJ31" s="3">
        <f>'S28 Transportation Matrix'!AJ31*'S29 Distances Matrix'!AJ31</f>
        <v>0</v>
      </c>
      <c r="AK31" s="3">
        <f>'S28 Transportation Matrix'!AK31*'S29 Distances Matrix'!AK31</f>
        <v>0</v>
      </c>
      <c r="AL31" s="3">
        <f>'S28 Transportation Matrix'!AL31*'S29 Distances Matrix'!AL31</f>
        <v>0</v>
      </c>
      <c r="AM31" s="3">
        <f>'S28 Transportation Matrix'!AM31*'S29 Distances Matrix'!AM31</f>
        <v>0</v>
      </c>
      <c r="AN31" s="3">
        <f>'S28 Transportation Matrix'!AN31*'S29 Distances Matrix'!AN31</f>
        <v>0</v>
      </c>
      <c r="AO31" s="3">
        <f>'S28 Transportation Matrix'!AO31*'S29 Distances Matrix'!AO31</f>
        <v>0</v>
      </c>
      <c r="AP31" s="3">
        <f>'S28 Transportation Matrix'!AP31*'S29 Distances Matrix'!AP31</f>
        <v>0</v>
      </c>
      <c r="AQ31" s="3">
        <f>'S28 Transportation Matrix'!AQ31*'S29 Distances Matrix'!AQ31</f>
        <v>0</v>
      </c>
      <c r="AR31" s="3">
        <f>'S28 Transportation Matrix'!AR31*'S29 Distances Matrix'!AR31</f>
        <v>0</v>
      </c>
      <c r="AS31" s="3">
        <f>'S28 Transportation Matrix'!AS31*'S29 Distances Matrix'!AS31</f>
        <v>0</v>
      </c>
    </row>
    <row r="32" spans="1:45">
      <c r="A32" s="288" t="s">
        <v>602</v>
      </c>
      <c r="B32" s="3">
        <f>'S28 Transportation Matrix'!B32*'S29 Distances Matrix'!B32</f>
        <v>0</v>
      </c>
      <c r="C32" s="3">
        <f>'S28 Transportation Matrix'!C32*'S29 Distances Matrix'!C32</f>
        <v>0</v>
      </c>
      <c r="D32" s="3">
        <f>'S28 Transportation Matrix'!D32*'S29 Distances Matrix'!D32</f>
        <v>0</v>
      </c>
      <c r="E32" s="3">
        <f>'S28 Transportation Matrix'!E32*'S29 Distances Matrix'!E32</f>
        <v>0</v>
      </c>
      <c r="F32" s="3">
        <f>'S28 Transportation Matrix'!F32*'S29 Distances Matrix'!F32</f>
        <v>0</v>
      </c>
      <c r="G32" s="3">
        <f>'S28 Transportation Matrix'!G32*'S29 Distances Matrix'!G32</f>
        <v>0</v>
      </c>
      <c r="H32" s="3">
        <f>'S28 Transportation Matrix'!H32*'S29 Distances Matrix'!H32</f>
        <v>0</v>
      </c>
      <c r="I32" s="3">
        <f>'S28 Transportation Matrix'!I32*'S29 Distances Matrix'!I32</f>
        <v>0</v>
      </c>
      <c r="J32" s="3">
        <f>'S28 Transportation Matrix'!J32*'S29 Distances Matrix'!J32</f>
        <v>0</v>
      </c>
      <c r="K32" s="3">
        <f>'S28 Transportation Matrix'!K32*'S29 Distances Matrix'!K32</f>
        <v>0</v>
      </c>
      <c r="L32" s="3">
        <f>'S28 Transportation Matrix'!L32*'S29 Distances Matrix'!L32</f>
        <v>0</v>
      </c>
      <c r="M32" s="3">
        <f>'S28 Transportation Matrix'!M32*'S29 Distances Matrix'!M32</f>
        <v>0</v>
      </c>
      <c r="N32" s="3">
        <f>'S28 Transportation Matrix'!N32*'S29 Distances Matrix'!N32</f>
        <v>0</v>
      </c>
      <c r="O32" s="3">
        <f>'S28 Transportation Matrix'!O32*'S29 Distances Matrix'!O32</f>
        <v>0</v>
      </c>
      <c r="P32" s="3">
        <f>'S28 Transportation Matrix'!P32*'S29 Distances Matrix'!P32</f>
        <v>0</v>
      </c>
      <c r="Q32" s="3">
        <f>'S28 Transportation Matrix'!Q32*'S29 Distances Matrix'!Q32</f>
        <v>0</v>
      </c>
      <c r="R32" s="3">
        <f>'S28 Transportation Matrix'!R32*'S29 Distances Matrix'!R32</f>
        <v>0</v>
      </c>
      <c r="S32" s="3">
        <f>'S28 Transportation Matrix'!S32*'S29 Distances Matrix'!S32</f>
        <v>0</v>
      </c>
      <c r="T32" s="3">
        <f>'S28 Transportation Matrix'!T32*'S29 Distances Matrix'!T32</f>
        <v>0</v>
      </c>
      <c r="U32" s="3">
        <f>'S28 Transportation Matrix'!U32*'S29 Distances Matrix'!U32</f>
        <v>0</v>
      </c>
      <c r="V32" s="3">
        <f>'S28 Transportation Matrix'!V32*'S29 Distances Matrix'!V32</f>
        <v>0</v>
      </c>
      <c r="W32" s="3">
        <f>'S28 Transportation Matrix'!W32*'S29 Distances Matrix'!W32</f>
        <v>0</v>
      </c>
      <c r="X32" s="3">
        <f>'S28 Transportation Matrix'!X32*'S29 Distances Matrix'!X32</f>
        <v>0</v>
      </c>
      <c r="Y32" s="3">
        <f>'S28 Transportation Matrix'!Y32*'S29 Distances Matrix'!Y32</f>
        <v>0</v>
      </c>
      <c r="Z32" s="3">
        <f>'S28 Transportation Matrix'!Z32*'S29 Distances Matrix'!Z32</f>
        <v>0</v>
      </c>
      <c r="AA32" s="3">
        <f>'S28 Transportation Matrix'!AA32*'S29 Distances Matrix'!AA32</f>
        <v>0</v>
      </c>
      <c r="AB32" s="3">
        <f>'S28 Transportation Matrix'!AB32*'S29 Distances Matrix'!AB32</f>
        <v>0</v>
      </c>
      <c r="AC32" s="3">
        <f>'S28 Transportation Matrix'!AC32*'S29 Distances Matrix'!AC32</f>
        <v>0</v>
      </c>
      <c r="AD32" s="3">
        <f>'S28 Transportation Matrix'!AD32*'S29 Distances Matrix'!AD32</f>
        <v>0</v>
      </c>
      <c r="AE32" s="3">
        <f>'S28 Transportation Matrix'!AE32*'S29 Distances Matrix'!AE32</f>
        <v>0</v>
      </c>
      <c r="AF32" s="3">
        <f>'S28 Transportation Matrix'!AF32*'S29 Distances Matrix'!AF32</f>
        <v>0</v>
      </c>
      <c r="AG32" s="3">
        <f>'S28 Transportation Matrix'!AG32*'S29 Distances Matrix'!AG32</f>
        <v>0</v>
      </c>
      <c r="AH32" s="3">
        <f>'S28 Transportation Matrix'!AH32*'S29 Distances Matrix'!AH32</f>
        <v>1359</v>
      </c>
      <c r="AI32" s="3">
        <f>'S28 Transportation Matrix'!AI32*'S29 Distances Matrix'!AI32</f>
        <v>0</v>
      </c>
      <c r="AJ32" s="3">
        <f>'S28 Transportation Matrix'!AJ32*'S29 Distances Matrix'!AJ32</f>
        <v>0</v>
      </c>
      <c r="AK32" s="3">
        <f>'S28 Transportation Matrix'!AK32*'S29 Distances Matrix'!AK32</f>
        <v>0</v>
      </c>
      <c r="AL32" s="3">
        <f>'S28 Transportation Matrix'!AL32*'S29 Distances Matrix'!AL32</f>
        <v>0</v>
      </c>
      <c r="AM32" s="3">
        <f>'S28 Transportation Matrix'!AM32*'S29 Distances Matrix'!AM32</f>
        <v>0</v>
      </c>
      <c r="AN32" s="3">
        <f>'S28 Transportation Matrix'!AN32*'S29 Distances Matrix'!AN32</f>
        <v>0</v>
      </c>
      <c r="AO32" s="3">
        <f>'S28 Transportation Matrix'!AO32*'S29 Distances Matrix'!AO32</f>
        <v>0</v>
      </c>
      <c r="AP32" s="3">
        <f>'S28 Transportation Matrix'!AP32*'S29 Distances Matrix'!AP32</f>
        <v>0</v>
      </c>
      <c r="AQ32" s="3">
        <f>'S28 Transportation Matrix'!AQ32*'S29 Distances Matrix'!AQ32</f>
        <v>0</v>
      </c>
      <c r="AR32" s="3">
        <f>'S28 Transportation Matrix'!AR32*'S29 Distances Matrix'!AR32</f>
        <v>0</v>
      </c>
      <c r="AS32" s="3">
        <f>'S28 Transportation Matrix'!AS32*'S29 Distances Matrix'!AS32</f>
        <v>0</v>
      </c>
    </row>
    <row r="33" spans="1:45">
      <c r="A33" s="288" t="s">
        <v>603</v>
      </c>
      <c r="B33" s="3">
        <f>'S28 Transportation Matrix'!B33*'S29 Distances Matrix'!B33</f>
        <v>0</v>
      </c>
      <c r="C33" s="3">
        <f>'S28 Transportation Matrix'!C33*'S29 Distances Matrix'!C33</f>
        <v>0</v>
      </c>
      <c r="D33" s="3">
        <f>'S28 Transportation Matrix'!D33*'S29 Distances Matrix'!D33</f>
        <v>0</v>
      </c>
      <c r="E33" s="3">
        <f>'S28 Transportation Matrix'!E33*'S29 Distances Matrix'!E33</f>
        <v>0</v>
      </c>
      <c r="F33" s="3">
        <f>'S28 Transportation Matrix'!F33*'S29 Distances Matrix'!F33</f>
        <v>0</v>
      </c>
      <c r="G33" s="3">
        <f>'S28 Transportation Matrix'!G33*'S29 Distances Matrix'!G33</f>
        <v>0</v>
      </c>
      <c r="H33" s="3">
        <f>'S28 Transportation Matrix'!H33*'S29 Distances Matrix'!H33</f>
        <v>0</v>
      </c>
      <c r="I33" s="3">
        <f>'S28 Transportation Matrix'!I33*'S29 Distances Matrix'!I33</f>
        <v>0</v>
      </c>
      <c r="J33" s="3">
        <f>'S28 Transportation Matrix'!J33*'S29 Distances Matrix'!J33</f>
        <v>0</v>
      </c>
      <c r="K33" s="3">
        <f>'S28 Transportation Matrix'!K33*'S29 Distances Matrix'!K33</f>
        <v>0</v>
      </c>
      <c r="L33" s="3">
        <f>'S28 Transportation Matrix'!L33*'S29 Distances Matrix'!L33</f>
        <v>0</v>
      </c>
      <c r="M33" s="3">
        <f>'S28 Transportation Matrix'!M33*'S29 Distances Matrix'!M33</f>
        <v>0</v>
      </c>
      <c r="N33" s="3">
        <f>'S28 Transportation Matrix'!N33*'S29 Distances Matrix'!N33</f>
        <v>0</v>
      </c>
      <c r="O33" s="3">
        <f>'S28 Transportation Matrix'!O33*'S29 Distances Matrix'!O33</f>
        <v>0</v>
      </c>
      <c r="P33" s="3">
        <f>'S28 Transportation Matrix'!P33*'S29 Distances Matrix'!P33</f>
        <v>0</v>
      </c>
      <c r="Q33" s="3">
        <f>'S28 Transportation Matrix'!Q33*'S29 Distances Matrix'!Q33</f>
        <v>0</v>
      </c>
      <c r="R33" s="3">
        <f>'S28 Transportation Matrix'!R33*'S29 Distances Matrix'!R33</f>
        <v>0</v>
      </c>
      <c r="S33" s="3">
        <f>'S28 Transportation Matrix'!S33*'S29 Distances Matrix'!S33</f>
        <v>0</v>
      </c>
      <c r="T33" s="3">
        <f>'S28 Transportation Matrix'!T33*'S29 Distances Matrix'!T33</f>
        <v>0</v>
      </c>
      <c r="U33" s="3">
        <f>'S28 Transportation Matrix'!U33*'S29 Distances Matrix'!U33</f>
        <v>0</v>
      </c>
      <c r="V33" s="3">
        <f>'S28 Transportation Matrix'!V33*'S29 Distances Matrix'!V33</f>
        <v>0</v>
      </c>
      <c r="W33" s="3">
        <f>'S28 Transportation Matrix'!W33*'S29 Distances Matrix'!W33</f>
        <v>0</v>
      </c>
      <c r="X33" s="3">
        <f>'S28 Transportation Matrix'!X33*'S29 Distances Matrix'!X33</f>
        <v>0</v>
      </c>
      <c r="Y33" s="3">
        <f>'S28 Transportation Matrix'!Y33*'S29 Distances Matrix'!Y33</f>
        <v>0</v>
      </c>
      <c r="Z33" s="3">
        <f>'S28 Transportation Matrix'!Z33*'S29 Distances Matrix'!Z33</f>
        <v>0</v>
      </c>
      <c r="AA33" s="3">
        <f>'S28 Transportation Matrix'!AA33*'S29 Distances Matrix'!AA33</f>
        <v>0</v>
      </c>
      <c r="AB33" s="3">
        <f>'S28 Transportation Matrix'!AB33*'S29 Distances Matrix'!AB33</f>
        <v>0</v>
      </c>
      <c r="AC33" s="3">
        <f>'S28 Transportation Matrix'!AC33*'S29 Distances Matrix'!AC33</f>
        <v>0</v>
      </c>
      <c r="AD33" s="3">
        <f>'S28 Transportation Matrix'!AD33*'S29 Distances Matrix'!AD33</f>
        <v>0</v>
      </c>
      <c r="AE33" s="3">
        <f>'S28 Transportation Matrix'!AE33*'S29 Distances Matrix'!AE33</f>
        <v>0</v>
      </c>
      <c r="AF33" s="3">
        <f>'S28 Transportation Matrix'!AF33*'S29 Distances Matrix'!AF33</f>
        <v>0</v>
      </c>
      <c r="AG33" s="3">
        <f>'S28 Transportation Matrix'!AG33*'S29 Distances Matrix'!AG33</f>
        <v>0</v>
      </c>
      <c r="AH33" s="3">
        <f>'S28 Transportation Matrix'!AH33*'S29 Distances Matrix'!AH33</f>
        <v>0</v>
      </c>
      <c r="AI33" s="3">
        <f>'S28 Transportation Matrix'!AI33*'S29 Distances Matrix'!AI33</f>
        <v>0</v>
      </c>
      <c r="AJ33" s="3">
        <f>'S28 Transportation Matrix'!AJ33*'S29 Distances Matrix'!AJ33</f>
        <v>0</v>
      </c>
      <c r="AK33" s="3">
        <f>'S28 Transportation Matrix'!AK33*'S29 Distances Matrix'!AK33</f>
        <v>0</v>
      </c>
      <c r="AL33" s="3">
        <f>'S28 Transportation Matrix'!AL33*'S29 Distances Matrix'!AL33</f>
        <v>0</v>
      </c>
      <c r="AM33" s="3">
        <f>'S28 Transportation Matrix'!AM33*'S29 Distances Matrix'!AM33</f>
        <v>0</v>
      </c>
      <c r="AN33" s="3">
        <f>'S28 Transportation Matrix'!AN33*'S29 Distances Matrix'!AN33</f>
        <v>0</v>
      </c>
      <c r="AO33" s="3">
        <f>'S28 Transportation Matrix'!AO33*'S29 Distances Matrix'!AO33</f>
        <v>0</v>
      </c>
      <c r="AP33" s="3">
        <f>'S28 Transportation Matrix'!AP33*'S29 Distances Matrix'!AP33</f>
        <v>0</v>
      </c>
      <c r="AQ33" s="3">
        <f>'S28 Transportation Matrix'!AQ33*'S29 Distances Matrix'!AQ33</f>
        <v>0</v>
      </c>
      <c r="AR33" s="3">
        <f>'S28 Transportation Matrix'!AR33*'S29 Distances Matrix'!AR33</f>
        <v>0</v>
      </c>
      <c r="AS33" s="3">
        <f>'S28 Transportation Matrix'!AS33*'S29 Distances Matrix'!AS33</f>
        <v>0</v>
      </c>
    </row>
    <row r="34" spans="1:45">
      <c r="A34" s="288" t="s">
        <v>604</v>
      </c>
      <c r="B34" s="3">
        <f>'S28 Transportation Matrix'!B34*'S29 Distances Matrix'!B34</f>
        <v>0</v>
      </c>
      <c r="C34" s="3">
        <f>'S28 Transportation Matrix'!C34*'S29 Distances Matrix'!C34</f>
        <v>0</v>
      </c>
      <c r="D34" s="3">
        <f>'S28 Transportation Matrix'!D34*'S29 Distances Matrix'!D34</f>
        <v>0</v>
      </c>
      <c r="E34" s="3">
        <f>'S28 Transportation Matrix'!E34*'S29 Distances Matrix'!E34</f>
        <v>0</v>
      </c>
      <c r="F34" s="3">
        <f>'S28 Transportation Matrix'!F34*'S29 Distances Matrix'!F34</f>
        <v>0</v>
      </c>
      <c r="G34" s="3">
        <f>'S28 Transportation Matrix'!G34*'S29 Distances Matrix'!G34</f>
        <v>0</v>
      </c>
      <c r="H34" s="3">
        <f>'S28 Transportation Matrix'!H34*'S29 Distances Matrix'!H34</f>
        <v>0</v>
      </c>
      <c r="I34" s="3">
        <f>'S28 Transportation Matrix'!I34*'S29 Distances Matrix'!I34</f>
        <v>0</v>
      </c>
      <c r="J34" s="3">
        <f>'S28 Transportation Matrix'!J34*'S29 Distances Matrix'!J34</f>
        <v>0</v>
      </c>
      <c r="K34" s="3">
        <f>'S28 Transportation Matrix'!K34*'S29 Distances Matrix'!K34</f>
        <v>0</v>
      </c>
      <c r="L34" s="3">
        <f>'S28 Transportation Matrix'!L34*'S29 Distances Matrix'!L34</f>
        <v>0</v>
      </c>
      <c r="M34" s="3">
        <f>'S28 Transportation Matrix'!M34*'S29 Distances Matrix'!M34</f>
        <v>0</v>
      </c>
      <c r="N34" s="3">
        <f>'S28 Transportation Matrix'!N34*'S29 Distances Matrix'!N34</f>
        <v>0</v>
      </c>
      <c r="O34" s="3">
        <f>'S28 Transportation Matrix'!O34*'S29 Distances Matrix'!O34</f>
        <v>0</v>
      </c>
      <c r="P34" s="3">
        <f>'S28 Transportation Matrix'!P34*'S29 Distances Matrix'!P34</f>
        <v>0</v>
      </c>
      <c r="Q34" s="3">
        <f>'S28 Transportation Matrix'!Q34*'S29 Distances Matrix'!Q34</f>
        <v>0</v>
      </c>
      <c r="R34" s="3">
        <f>'S28 Transportation Matrix'!R34*'S29 Distances Matrix'!R34</f>
        <v>0</v>
      </c>
      <c r="S34" s="3">
        <f>'S28 Transportation Matrix'!S34*'S29 Distances Matrix'!S34</f>
        <v>0</v>
      </c>
      <c r="T34" s="3">
        <f>'S28 Transportation Matrix'!T34*'S29 Distances Matrix'!T34</f>
        <v>0</v>
      </c>
      <c r="U34" s="3">
        <f>'S28 Transportation Matrix'!U34*'S29 Distances Matrix'!U34</f>
        <v>0</v>
      </c>
      <c r="V34" s="3">
        <f>'S28 Transportation Matrix'!V34*'S29 Distances Matrix'!V34</f>
        <v>0</v>
      </c>
      <c r="W34" s="3">
        <f>'S28 Transportation Matrix'!W34*'S29 Distances Matrix'!W34</f>
        <v>0</v>
      </c>
      <c r="X34" s="3">
        <f>'S28 Transportation Matrix'!X34*'S29 Distances Matrix'!X34</f>
        <v>0</v>
      </c>
      <c r="Y34" s="3">
        <f>'S28 Transportation Matrix'!Y34*'S29 Distances Matrix'!Y34</f>
        <v>0</v>
      </c>
      <c r="Z34" s="3">
        <f>'S28 Transportation Matrix'!Z34*'S29 Distances Matrix'!Z34</f>
        <v>0</v>
      </c>
      <c r="AA34" s="3">
        <f>'S28 Transportation Matrix'!AA34*'S29 Distances Matrix'!AA34</f>
        <v>0</v>
      </c>
      <c r="AB34" s="3">
        <f>'S28 Transportation Matrix'!AB34*'S29 Distances Matrix'!AB34</f>
        <v>0</v>
      </c>
      <c r="AC34" s="3">
        <f>'S28 Transportation Matrix'!AC34*'S29 Distances Matrix'!AC34</f>
        <v>0</v>
      </c>
      <c r="AD34" s="3">
        <f>'S28 Transportation Matrix'!AD34*'S29 Distances Matrix'!AD34</f>
        <v>0</v>
      </c>
      <c r="AE34" s="3">
        <f>'S28 Transportation Matrix'!AE34*'S29 Distances Matrix'!AE34</f>
        <v>0</v>
      </c>
      <c r="AF34" s="3">
        <f>'S28 Transportation Matrix'!AF34*'S29 Distances Matrix'!AF34</f>
        <v>0</v>
      </c>
      <c r="AG34" s="3">
        <f>'S28 Transportation Matrix'!AG34*'S29 Distances Matrix'!AG34</f>
        <v>497</v>
      </c>
      <c r="AH34" s="3">
        <f>'S28 Transportation Matrix'!AH34*'S29 Distances Matrix'!AH34</f>
        <v>0</v>
      </c>
      <c r="AI34" s="3">
        <f>'S28 Transportation Matrix'!AI34*'S29 Distances Matrix'!AI34</f>
        <v>0</v>
      </c>
      <c r="AJ34" s="3">
        <f>'S28 Transportation Matrix'!AJ34*'S29 Distances Matrix'!AJ34</f>
        <v>0</v>
      </c>
      <c r="AK34" s="3">
        <f>'S28 Transportation Matrix'!AK34*'S29 Distances Matrix'!AK34</f>
        <v>0</v>
      </c>
      <c r="AL34" s="3">
        <f>'S28 Transportation Matrix'!AL34*'S29 Distances Matrix'!AL34</f>
        <v>0</v>
      </c>
      <c r="AM34" s="3">
        <f>'S28 Transportation Matrix'!AM34*'S29 Distances Matrix'!AM34</f>
        <v>0</v>
      </c>
      <c r="AN34" s="3">
        <f>'S28 Transportation Matrix'!AN34*'S29 Distances Matrix'!AN34</f>
        <v>0</v>
      </c>
      <c r="AO34" s="3">
        <f>'S28 Transportation Matrix'!AO34*'S29 Distances Matrix'!AO34</f>
        <v>0</v>
      </c>
      <c r="AP34" s="3">
        <f>'S28 Transportation Matrix'!AP34*'S29 Distances Matrix'!AP34</f>
        <v>0</v>
      </c>
      <c r="AQ34" s="3">
        <f>'S28 Transportation Matrix'!AQ34*'S29 Distances Matrix'!AQ34</f>
        <v>0</v>
      </c>
      <c r="AR34" s="3">
        <f>'S28 Transportation Matrix'!AR34*'S29 Distances Matrix'!AR34</f>
        <v>0</v>
      </c>
      <c r="AS34" s="3">
        <f>'S28 Transportation Matrix'!AS34*'S29 Distances Matrix'!AS34</f>
        <v>0</v>
      </c>
    </row>
    <row r="35" spans="1:45">
      <c r="A35" s="288" t="s">
        <v>605</v>
      </c>
      <c r="B35" s="3">
        <f>'S28 Transportation Matrix'!B35*'S29 Distances Matrix'!B35</f>
        <v>0</v>
      </c>
      <c r="C35" s="3">
        <f>'S28 Transportation Matrix'!C35*'S29 Distances Matrix'!C35</f>
        <v>0</v>
      </c>
      <c r="D35" s="3">
        <f>'S28 Transportation Matrix'!D35*'S29 Distances Matrix'!D35</f>
        <v>0</v>
      </c>
      <c r="E35" s="3">
        <f>'S28 Transportation Matrix'!E35*'S29 Distances Matrix'!E35</f>
        <v>0</v>
      </c>
      <c r="F35" s="3">
        <f>'S28 Transportation Matrix'!F35*'S29 Distances Matrix'!F35</f>
        <v>0</v>
      </c>
      <c r="G35" s="3">
        <f>'S28 Transportation Matrix'!G35*'S29 Distances Matrix'!G35</f>
        <v>0</v>
      </c>
      <c r="H35" s="3">
        <f>'S28 Transportation Matrix'!H35*'S29 Distances Matrix'!H35</f>
        <v>0</v>
      </c>
      <c r="I35" s="3">
        <f>'S28 Transportation Matrix'!I35*'S29 Distances Matrix'!I35</f>
        <v>0</v>
      </c>
      <c r="J35" s="3">
        <f>'S28 Transportation Matrix'!J35*'S29 Distances Matrix'!J35</f>
        <v>0</v>
      </c>
      <c r="K35" s="3">
        <f>'S28 Transportation Matrix'!K35*'S29 Distances Matrix'!K35</f>
        <v>0</v>
      </c>
      <c r="L35" s="3">
        <f>'S28 Transportation Matrix'!L35*'S29 Distances Matrix'!L35</f>
        <v>0</v>
      </c>
      <c r="M35" s="3">
        <f>'S28 Transportation Matrix'!M35*'S29 Distances Matrix'!M35</f>
        <v>0</v>
      </c>
      <c r="N35" s="3">
        <f>'S28 Transportation Matrix'!N35*'S29 Distances Matrix'!N35</f>
        <v>0</v>
      </c>
      <c r="O35" s="3">
        <f>'S28 Transportation Matrix'!O35*'S29 Distances Matrix'!O35</f>
        <v>0</v>
      </c>
      <c r="P35" s="3">
        <f>'S28 Transportation Matrix'!P35*'S29 Distances Matrix'!P35</f>
        <v>0</v>
      </c>
      <c r="Q35" s="3">
        <f>'S28 Transportation Matrix'!Q35*'S29 Distances Matrix'!Q35</f>
        <v>0</v>
      </c>
      <c r="R35" s="3">
        <f>'S28 Transportation Matrix'!R35*'S29 Distances Matrix'!R35</f>
        <v>0</v>
      </c>
      <c r="S35" s="3">
        <f>'S28 Transportation Matrix'!S35*'S29 Distances Matrix'!S35</f>
        <v>0</v>
      </c>
      <c r="T35" s="3">
        <f>'S28 Transportation Matrix'!T35*'S29 Distances Matrix'!T35</f>
        <v>0</v>
      </c>
      <c r="U35" s="3">
        <f>'S28 Transportation Matrix'!U35*'S29 Distances Matrix'!U35</f>
        <v>0</v>
      </c>
      <c r="V35" s="3">
        <f>'S28 Transportation Matrix'!V35*'S29 Distances Matrix'!V35</f>
        <v>0</v>
      </c>
      <c r="W35" s="3">
        <f>'S28 Transportation Matrix'!W35*'S29 Distances Matrix'!W35</f>
        <v>0</v>
      </c>
      <c r="X35" s="3">
        <f>'S28 Transportation Matrix'!X35*'S29 Distances Matrix'!X35</f>
        <v>0</v>
      </c>
      <c r="Y35" s="3">
        <f>'S28 Transportation Matrix'!Y35*'S29 Distances Matrix'!Y35</f>
        <v>0</v>
      </c>
      <c r="Z35" s="3">
        <f>'S28 Transportation Matrix'!Z35*'S29 Distances Matrix'!Z35</f>
        <v>0</v>
      </c>
      <c r="AA35" s="3">
        <f>'S28 Transportation Matrix'!AA35*'S29 Distances Matrix'!AA35</f>
        <v>0</v>
      </c>
      <c r="AB35" s="3">
        <f>'S28 Transportation Matrix'!AB35*'S29 Distances Matrix'!AB35</f>
        <v>0</v>
      </c>
      <c r="AC35" s="3">
        <f>'S28 Transportation Matrix'!AC35*'S29 Distances Matrix'!AC35</f>
        <v>0</v>
      </c>
      <c r="AD35" s="3">
        <f>'S28 Transportation Matrix'!AD35*'S29 Distances Matrix'!AD35</f>
        <v>0</v>
      </c>
      <c r="AE35" s="3">
        <f>'S28 Transportation Matrix'!AE35*'S29 Distances Matrix'!AE35</f>
        <v>0</v>
      </c>
      <c r="AF35" s="3">
        <f>'S28 Transportation Matrix'!AF35*'S29 Distances Matrix'!AF35</f>
        <v>0</v>
      </c>
      <c r="AG35" s="3">
        <f>'S28 Transportation Matrix'!AG35*'S29 Distances Matrix'!AG35</f>
        <v>0</v>
      </c>
      <c r="AH35" s="3">
        <f>'S28 Transportation Matrix'!AH35*'S29 Distances Matrix'!AH35</f>
        <v>0</v>
      </c>
      <c r="AI35" s="3">
        <f>'S28 Transportation Matrix'!AI35*'S29 Distances Matrix'!AI35</f>
        <v>0</v>
      </c>
      <c r="AJ35" s="3">
        <f>'S28 Transportation Matrix'!AJ35*'S29 Distances Matrix'!AJ35</f>
        <v>0</v>
      </c>
      <c r="AK35" s="3">
        <f>'S28 Transportation Matrix'!AK35*'S29 Distances Matrix'!AK35</f>
        <v>0</v>
      </c>
      <c r="AL35" s="3">
        <f>'S28 Transportation Matrix'!AL35*'S29 Distances Matrix'!AL35</f>
        <v>0</v>
      </c>
      <c r="AM35" s="3">
        <f>'S28 Transportation Matrix'!AM35*'S29 Distances Matrix'!AM35</f>
        <v>0</v>
      </c>
      <c r="AN35" s="3">
        <f>'S28 Transportation Matrix'!AN35*'S29 Distances Matrix'!AN35</f>
        <v>0</v>
      </c>
      <c r="AO35" s="3">
        <f>'S28 Transportation Matrix'!AO35*'S29 Distances Matrix'!AO35</f>
        <v>0</v>
      </c>
      <c r="AP35" s="3">
        <f>'S28 Transportation Matrix'!AP35*'S29 Distances Matrix'!AP35</f>
        <v>0</v>
      </c>
      <c r="AQ35" s="3">
        <f>'S28 Transportation Matrix'!AQ35*'S29 Distances Matrix'!AQ35</f>
        <v>880</v>
      </c>
      <c r="AR35" s="3">
        <f>'S28 Transportation Matrix'!AR35*'S29 Distances Matrix'!AR35</f>
        <v>0</v>
      </c>
      <c r="AS35" s="3">
        <f>'S28 Transportation Matrix'!AS35*'S29 Distances Matrix'!AS35</f>
        <v>1104</v>
      </c>
    </row>
    <row r="36" spans="1:45">
      <c r="A36" s="288" t="s">
        <v>606</v>
      </c>
      <c r="B36" s="3">
        <f>'S28 Transportation Matrix'!B36*'S29 Distances Matrix'!B36</f>
        <v>0</v>
      </c>
      <c r="C36" s="3">
        <f>'S28 Transportation Matrix'!C36*'S29 Distances Matrix'!C36</f>
        <v>0</v>
      </c>
      <c r="D36" s="3">
        <f>'S28 Transportation Matrix'!D36*'S29 Distances Matrix'!D36</f>
        <v>0</v>
      </c>
      <c r="E36" s="3">
        <f>'S28 Transportation Matrix'!E36*'S29 Distances Matrix'!E36</f>
        <v>0</v>
      </c>
      <c r="F36" s="3">
        <f>'S28 Transportation Matrix'!F36*'S29 Distances Matrix'!F36</f>
        <v>0</v>
      </c>
      <c r="G36" s="3">
        <f>'S28 Transportation Matrix'!G36*'S29 Distances Matrix'!G36</f>
        <v>0</v>
      </c>
      <c r="H36" s="3">
        <f>'S28 Transportation Matrix'!H36*'S29 Distances Matrix'!H36</f>
        <v>0</v>
      </c>
      <c r="I36" s="3">
        <f>'S28 Transportation Matrix'!I36*'S29 Distances Matrix'!I36</f>
        <v>0</v>
      </c>
      <c r="J36" s="3">
        <f>'S28 Transportation Matrix'!J36*'S29 Distances Matrix'!J36</f>
        <v>0</v>
      </c>
      <c r="K36" s="3">
        <f>'S28 Transportation Matrix'!K36*'S29 Distances Matrix'!K36</f>
        <v>0</v>
      </c>
      <c r="L36" s="3">
        <f>'S28 Transportation Matrix'!L36*'S29 Distances Matrix'!L36</f>
        <v>0</v>
      </c>
      <c r="M36" s="3">
        <f>'S28 Transportation Matrix'!M36*'S29 Distances Matrix'!M36</f>
        <v>0</v>
      </c>
      <c r="N36" s="3">
        <f>'S28 Transportation Matrix'!N36*'S29 Distances Matrix'!N36</f>
        <v>0</v>
      </c>
      <c r="O36" s="3">
        <f>'S28 Transportation Matrix'!O36*'S29 Distances Matrix'!O36</f>
        <v>0</v>
      </c>
      <c r="P36" s="3">
        <f>'S28 Transportation Matrix'!P36*'S29 Distances Matrix'!P36</f>
        <v>0</v>
      </c>
      <c r="Q36" s="3">
        <f>'S28 Transportation Matrix'!Q36*'S29 Distances Matrix'!Q36</f>
        <v>0</v>
      </c>
      <c r="R36" s="3">
        <f>'S28 Transportation Matrix'!R36*'S29 Distances Matrix'!R36</f>
        <v>0</v>
      </c>
      <c r="S36" s="3">
        <f>'S28 Transportation Matrix'!S36*'S29 Distances Matrix'!S36</f>
        <v>0</v>
      </c>
      <c r="T36" s="3">
        <f>'S28 Transportation Matrix'!T36*'S29 Distances Matrix'!T36</f>
        <v>0</v>
      </c>
      <c r="U36" s="3">
        <f>'S28 Transportation Matrix'!U36*'S29 Distances Matrix'!U36</f>
        <v>0</v>
      </c>
      <c r="V36" s="3">
        <f>'S28 Transportation Matrix'!V36*'S29 Distances Matrix'!V36</f>
        <v>0</v>
      </c>
      <c r="W36" s="3">
        <f>'S28 Transportation Matrix'!W36*'S29 Distances Matrix'!W36</f>
        <v>0</v>
      </c>
      <c r="X36" s="3">
        <f>'S28 Transportation Matrix'!X36*'S29 Distances Matrix'!X36</f>
        <v>0</v>
      </c>
      <c r="Y36" s="3">
        <f>'S28 Transportation Matrix'!Y36*'S29 Distances Matrix'!Y36</f>
        <v>0</v>
      </c>
      <c r="Z36" s="3">
        <f>'S28 Transportation Matrix'!Z36*'S29 Distances Matrix'!Z36</f>
        <v>0</v>
      </c>
      <c r="AA36" s="3">
        <f>'S28 Transportation Matrix'!AA36*'S29 Distances Matrix'!AA36</f>
        <v>0</v>
      </c>
      <c r="AB36" s="3">
        <f>'S28 Transportation Matrix'!AB36*'S29 Distances Matrix'!AB36</f>
        <v>0</v>
      </c>
      <c r="AC36" s="3">
        <f>'S28 Transportation Matrix'!AC36*'S29 Distances Matrix'!AC36</f>
        <v>0</v>
      </c>
      <c r="AD36" s="3">
        <f>'S28 Transportation Matrix'!AD36*'S29 Distances Matrix'!AD36</f>
        <v>0</v>
      </c>
      <c r="AE36" s="3">
        <f>'S28 Transportation Matrix'!AE36*'S29 Distances Matrix'!AE36</f>
        <v>0</v>
      </c>
      <c r="AF36" s="3">
        <f>'S28 Transportation Matrix'!AF36*'S29 Distances Matrix'!AF36</f>
        <v>0</v>
      </c>
      <c r="AG36" s="3">
        <f>'S28 Transportation Matrix'!AG36*'S29 Distances Matrix'!AG36</f>
        <v>0</v>
      </c>
      <c r="AH36" s="3">
        <f>'S28 Transportation Matrix'!AH36*'S29 Distances Matrix'!AH36</f>
        <v>0</v>
      </c>
      <c r="AI36" s="3">
        <f>'S28 Transportation Matrix'!AI36*'S29 Distances Matrix'!AI36</f>
        <v>0</v>
      </c>
      <c r="AJ36" s="3">
        <f>'S28 Transportation Matrix'!AJ36*'S29 Distances Matrix'!AJ36</f>
        <v>0</v>
      </c>
      <c r="AK36" s="3">
        <f>'S28 Transportation Matrix'!AK36*'S29 Distances Matrix'!AK36</f>
        <v>0</v>
      </c>
      <c r="AL36" s="3">
        <f>'S28 Transportation Matrix'!AL36*'S29 Distances Matrix'!AL36</f>
        <v>0</v>
      </c>
      <c r="AM36" s="3">
        <f>'S28 Transportation Matrix'!AM36*'S29 Distances Matrix'!AM36</f>
        <v>0</v>
      </c>
      <c r="AN36" s="3">
        <f>'S28 Transportation Matrix'!AN36*'S29 Distances Matrix'!AN36</f>
        <v>0</v>
      </c>
      <c r="AO36" s="3">
        <f>'S28 Transportation Matrix'!AO36*'S29 Distances Matrix'!AO36</f>
        <v>0</v>
      </c>
      <c r="AP36" s="3">
        <f>'S28 Transportation Matrix'!AP36*'S29 Distances Matrix'!AP36</f>
        <v>0</v>
      </c>
      <c r="AQ36" s="3">
        <f>'S28 Transportation Matrix'!AQ36*'S29 Distances Matrix'!AQ36</f>
        <v>0</v>
      </c>
      <c r="AR36" s="3">
        <f>'S28 Transportation Matrix'!AR36*'S29 Distances Matrix'!AR36</f>
        <v>0</v>
      </c>
      <c r="AS36" s="3">
        <f>'S28 Transportation Matrix'!AS36*'S29 Distances Matrix'!AS36</f>
        <v>6795</v>
      </c>
    </row>
    <row r="37" spans="1:45">
      <c r="A37" s="288" t="s">
        <v>607</v>
      </c>
      <c r="B37" s="3">
        <f>'S28 Transportation Matrix'!B37*'S29 Distances Matrix'!B37</f>
        <v>0</v>
      </c>
      <c r="C37" s="3">
        <f>'S28 Transportation Matrix'!C37*'S29 Distances Matrix'!C37</f>
        <v>0</v>
      </c>
      <c r="D37" s="3">
        <f>'S28 Transportation Matrix'!D37*'S29 Distances Matrix'!D37</f>
        <v>0</v>
      </c>
      <c r="E37" s="3">
        <f>'S28 Transportation Matrix'!E37*'S29 Distances Matrix'!E37</f>
        <v>0</v>
      </c>
      <c r="F37" s="3">
        <f>'S28 Transportation Matrix'!F37*'S29 Distances Matrix'!F37</f>
        <v>0</v>
      </c>
      <c r="G37" s="3">
        <f>'S28 Transportation Matrix'!G37*'S29 Distances Matrix'!G37</f>
        <v>0</v>
      </c>
      <c r="H37" s="3">
        <f>'S28 Transportation Matrix'!H37*'S29 Distances Matrix'!H37</f>
        <v>0</v>
      </c>
      <c r="I37" s="3">
        <f>'S28 Transportation Matrix'!I37*'S29 Distances Matrix'!I37</f>
        <v>0</v>
      </c>
      <c r="J37" s="3">
        <f>'S28 Transportation Matrix'!J37*'S29 Distances Matrix'!J37</f>
        <v>0</v>
      </c>
      <c r="K37" s="3">
        <f>'S28 Transportation Matrix'!K37*'S29 Distances Matrix'!K37</f>
        <v>0</v>
      </c>
      <c r="L37" s="3">
        <f>'S28 Transportation Matrix'!L37*'S29 Distances Matrix'!L37</f>
        <v>0</v>
      </c>
      <c r="M37" s="3">
        <f>'S28 Transportation Matrix'!M37*'S29 Distances Matrix'!M37</f>
        <v>0</v>
      </c>
      <c r="N37" s="3">
        <f>'S28 Transportation Matrix'!N37*'S29 Distances Matrix'!N37</f>
        <v>0</v>
      </c>
      <c r="O37" s="3">
        <f>'S28 Transportation Matrix'!O37*'S29 Distances Matrix'!O37</f>
        <v>0</v>
      </c>
      <c r="P37" s="3">
        <f>'S28 Transportation Matrix'!P37*'S29 Distances Matrix'!P37</f>
        <v>0</v>
      </c>
      <c r="Q37" s="3">
        <f>'S28 Transportation Matrix'!Q37*'S29 Distances Matrix'!Q37</f>
        <v>0</v>
      </c>
      <c r="R37" s="3">
        <f>'S28 Transportation Matrix'!R37*'S29 Distances Matrix'!R37</f>
        <v>0</v>
      </c>
      <c r="S37" s="3">
        <f>'S28 Transportation Matrix'!S37*'S29 Distances Matrix'!S37</f>
        <v>0</v>
      </c>
      <c r="T37" s="3">
        <f>'S28 Transportation Matrix'!T37*'S29 Distances Matrix'!T37</f>
        <v>0</v>
      </c>
      <c r="U37" s="3">
        <f>'S28 Transportation Matrix'!U37*'S29 Distances Matrix'!U37</f>
        <v>0</v>
      </c>
      <c r="V37" s="3">
        <f>'S28 Transportation Matrix'!V37*'S29 Distances Matrix'!V37</f>
        <v>0</v>
      </c>
      <c r="W37" s="3">
        <f>'S28 Transportation Matrix'!W37*'S29 Distances Matrix'!W37</f>
        <v>0</v>
      </c>
      <c r="X37" s="3">
        <f>'S28 Transportation Matrix'!X37*'S29 Distances Matrix'!X37</f>
        <v>0</v>
      </c>
      <c r="Y37" s="3">
        <f>'S28 Transportation Matrix'!Y37*'S29 Distances Matrix'!Y37</f>
        <v>0</v>
      </c>
      <c r="Z37" s="3">
        <f>'S28 Transportation Matrix'!Z37*'S29 Distances Matrix'!Z37</f>
        <v>0</v>
      </c>
      <c r="AA37" s="3">
        <f>'S28 Transportation Matrix'!AA37*'S29 Distances Matrix'!AA37</f>
        <v>0</v>
      </c>
      <c r="AB37" s="3">
        <f>'S28 Transportation Matrix'!AB37*'S29 Distances Matrix'!AB37</f>
        <v>0</v>
      </c>
      <c r="AC37" s="3">
        <f>'S28 Transportation Matrix'!AC37*'S29 Distances Matrix'!AC37</f>
        <v>0</v>
      </c>
      <c r="AD37" s="3">
        <f>'S28 Transportation Matrix'!AD37*'S29 Distances Matrix'!AD37</f>
        <v>0</v>
      </c>
      <c r="AE37" s="3">
        <f>'S28 Transportation Matrix'!AE37*'S29 Distances Matrix'!AE37</f>
        <v>0</v>
      </c>
      <c r="AF37" s="3">
        <f>'S28 Transportation Matrix'!AF37*'S29 Distances Matrix'!AF37</f>
        <v>0</v>
      </c>
      <c r="AG37" s="3">
        <f>'S28 Transportation Matrix'!AG37*'S29 Distances Matrix'!AG37</f>
        <v>0</v>
      </c>
      <c r="AH37" s="3">
        <f>'S28 Transportation Matrix'!AH37*'S29 Distances Matrix'!AH37</f>
        <v>0</v>
      </c>
      <c r="AI37" s="3">
        <f>'S28 Transportation Matrix'!AI37*'S29 Distances Matrix'!AI37</f>
        <v>0</v>
      </c>
      <c r="AJ37" s="3">
        <f>'S28 Transportation Matrix'!AJ37*'S29 Distances Matrix'!AJ37</f>
        <v>0</v>
      </c>
      <c r="AK37" s="3">
        <f>'S28 Transportation Matrix'!AK37*'S29 Distances Matrix'!AK37</f>
        <v>0</v>
      </c>
      <c r="AL37" s="3">
        <f>'S28 Transportation Matrix'!AL37*'S29 Distances Matrix'!AL37</f>
        <v>0</v>
      </c>
      <c r="AM37" s="3">
        <f>'S28 Transportation Matrix'!AM37*'S29 Distances Matrix'!AM37</f>
        <v>0</v>
      </c>
      <c r="AN37" s="3">
        <f>'S28 Transportation Matrix'!AN37*'S29 Distances Matrix'!AN37</f>
        <v>0</v>
      </c>
      <c r="AO37" s="3">
        <f>'S28 Transportation Matrix'!AO37*'S29 Distances Matrix'!AO37</f>
        <v>0</v>
      </c>
      <c r="AP37" s="3">
        <f>'S28 Transportation Matrix'!AP37*'S29 Distances Matrix'!AP37</f>
        <v>0</v>
      </c>
      <c r="AQ37" s="3">
        <f>'S28 Transportation Matrix'!AQ37*'S29 Distances Matrix'!AQ37</f>
        <v>0</v>
      </c>
      <c r="AR37" s="3">
        <f>'S28 Transportation Matrix'!AR37*'S29 Distances Matrix'!AR37</f>
        <v>0</v>
      </c>
      <c r="AS37" s="3">
        <f>'S28 Transportation Matrix'!AS37*'S29 Distances Matrix'!AS37</f>
        <v>5325</v>
      </c>
    </row>
    <row r="38" spans="1:45">
      <c r="A38" s="288" t="s">
        <v>608</v>
      </c>
      <c r="B38" s="3">
        <f>'S28 Transportation Matrix'!B38*'S29 Distances Matrix'!B38</f>
        <v>0</v>
      </c>
      <c r="C38" s="3">
        <f>'S28 Transportation Matrix'!C38*'S29 Distances Matrix'!C38</f>
        <v>0</v>
      </c>
      <c r="D38" s="3">
        <f>'S28 Transportation Matrix'!D38*'S29 Distances Matrix'!D38</f>
        <v>0</v>
      </c>
      <c r="E38" s="3">
        <f>'S28 Transportation Matrix'!E38*'S29 Distances Matrix'!E38</f>
        <v>0</v>
      </c>
      <c r="F38" s="3">
        <f>'S28 Transportation Matrix'!F38*'S29 Distances Matrix'!F38</f>
        <v>0</v>
      </c>
      <c r="G38" s="3">
        <f>'S28 Transportation Matrix'!G38*'S29 Distances Matrix'!G38</f>
        <v>0</v>
      </c>
      <c r="H38" s="3">
        <f>'S28 Transportation Matrix'!H38*'S29 Distances Matrix'!H38</f>
        <v>0</v>
      </c>
      <c r="I38" s="3">
        <f>'S28 Transportation Matrix'!I38*'S29 Distances Matrix'!I38</f>
        <v>0</v>
      </c>
      <c r="J38" s="3">
        <f>'S28 Transportation Matrix'!J38*'S29 Distances Matrix'!J38</f>
        <v>0</v>
      </c>
      <c r="K38" s="3">
        <f>'S28 Transportation Matrix'!K38*'S29 Distances Matrix'!K38</f>
        <v>0</v>
      </c>
      <c r="L38" s="3">
        <f>'S28 Transportation Matrix'!L38*'S29 Distances Matrix'!L38</f>
        <v>0</v>
      </c>
      <c r="M38" s="3">
        <f>'S28 Transportation Matrix'!M38*'S29 Distances Matrix'!M38</f>
        <v>0</v>
      </c>
      <c r="N38" s="3">
        <f>'S28 Transportation Matrix'!N38*'S29 Distances Matrix'!N38</f>
        <v>0</v>
      </c>
      <c r="O38" s="3">
        <f>'S28 Transportation Matrix'!O38*'S29 Distances Matrix'!O38</f>
        <v>0</v>
      </c>
      <c r="P38" s="3">
        <f>'S28 Transportation Matrix'!P38*'S29 Distances Matrix'!P38</f>
        <v>0</v>
      </c>
      <c r="Q38" s="3">
        <f>'S28 Transportation Matrix'!Q38*'S29 Distances Matrix'!Q38</f>
        <v>0</v>
      </c>
      <c r="R38" s="3">
        <f>'S28 Transportation Matrix'!R38*'S29 Distances Matrix'!R38</f>
        <v>0</v>
      </c>
      <c r="S38" s="3">
        <f>'S28 Transportation Matrix'!S38*'S29 Distances Matrix'!S38</f>
        <v>0</v>
      </c>
      <c r="T38" s="3">
        <f>'S28 Transportation Matrix'!T38*'S29 Distances Matrix'!T38</f>
        <v>0</v>
      </c>
      <c r="U38" s="3">
        <f>'S28 Transportation Matrix'!U38*'S29 Distances Matrix'!U38</f>
        <v>0</v>
      </c>
      <c r="V38" s="3">
        <f>'S28 Transportation Matrix'!V38*'S29 Distances Matrix'!V38</f>
        <v>0</v>
      </c>
      <c r="W38" s="3">
        <f>'S28 Transportation Matrix'!W38*'S29 Distances Matrix'!W38</f>
        <v>0</v>
      </c>
      <c r="X38" s="3">
        <f>'S28 Transportation Matrix'!X38*'S29 Distances Matrix'!X38</f>
        <v>0</v>
      </c>
      <c r="Y38" s="3">
        <f>'S28 Transportation Matrix'!Y38*'S29 Distances Matrix'!Y38</f>
        <v>0</v>
      </c>
      <c r="Z38" s="3">
        <f>'S28 Transportation Matrix'!Z38*'S29 Distances Matrix'!Z38</f>
        <v>0</v>
      </c>
      <c r="AA38" s="3">
        <f>'S28 Transportation Matrix'!AA38*'S29 Distances Matrix'!AA38</f>
        <v>0</v>
      </c>
      <c r="AB38" s="3">
        <f>'S28 Transportation Matrix'!AB38*'S29 Distances Matrix'!AB38</f>
        <v>0</v>
      </c>
      <c r="AC38" s="3">
        <f>'S28 Transportation Matrix'!AC38*'S29 Distances Matrix'!AC38</f>
        <v>0</v>
      </c>
      <c r="AD38" s="3">
        <f>'S28 Transportation Matrix'!AD38*'S29 Distances Matrix'!AD38</f>
        <v>0</v>
      </c>
      <c r="AE38" s="3">
        <f>'S28 Transportation Matrix'!AE38*'S29 Distances Matrix'!AE38</f>
        <v>0</v>
      </c>
      <c r="AF38" s="3">
        <f>'S28 Transportation Matrix'!AF38*'S29 Distances Matrix'!AF38</f>
        <v>0</v>
      </c>
      <c r="AG38" s="3">
        <f>'S28 Transportation Matrix'!AG38*'S29 Distances Matrix'!AG38</f>
        <v>0</v>
      </c>
      <c r="AH38" s="3">
        <f>'S28 Transportation Matrix'!AH38*'S29 Distances Matrix'!AH38</f>
        <v>0</v>
      </c>
      <c r="AI38" s="3">
        <f>'S28 Transportation Matrix'!AI38*'S29 Distances Matrix'!AI38</f>
        <v>0</v>
      </c>
      <c r="AJ38" s="3">
        <f>'S28 Transportation Matrix'!AJ38*'S29 Distances Matrix'!AJ38</f>
        <v>0</v>
      </c>
      <c r="AK38" s="3">
        <f>'S28 Transportation Matrix'!AK38*'S29 Distances Matrix'!AK38</f>
        <v>0</v>
      </c>
      <c r="AL38" s="3">
        <f>'S28 Transportation Matrix'!AL38*'S29 Distances Matrix'!AL38</f>
        <v>0</v>
      </c>
      <c r="AM38" s="3">
        <f>'S28 Transportation Matrix'!AM38*'S29 Distances Matrix'!AM38</f>
        <v>0</v>
      </c>
      <c r="AN38" s="3">
        <f>'S28 Transportation Matrix'!AN38*'S29 Distances Matrix'!AN38</f>
        <v>0</v>
      </c>
      <c r="AO38" s="3">
        <f>'S28 Transportation Matrix'!AO38*'S29 Distances Matrix'!AO38</f>
        <v>0</v>
      </c>
      <c r="AP38" s="3">
        <f>'S28 Transportation Matrix'!AP38*'S29 Distances Matrix'!AP38</f>
        <v>0</v>
      </c>
      <c r="AQ38" s="3">
        <f>'S28 Transportation Matrix'!AQ38*'S29 Distances Matrix'!AQ38</f>
        <v>0</v>
      </c>
      <c r="AR38" s="3">
        <f>'S28 Transportation Matrix'!AR38*'S29 Distances Matrix'!AR38</f>
        <v>0</v>
      </c>
      <c r="AS38" s="3">
        <f>'S28 Transportation Matrix'!AS38*'S29 Distances Matrix'!AS38</f>
        <v>0</v>
      </c>
    </row>
    <row r="39" spans="1:45">
      <c r="A39" s="288" t="s">
        <v>609</v>
      </c>
      <c r="B39" s="3">
        <f>'S28 Transportation Matrix'!B39*'S29 Distances Matrix'!B39</f>
        <v>0</v>
      </c>
      <c r="C39" s="3">
        <f>'S28 Transportation Matrix'!C39*'S29 Distances Matrix'!C39</f>
        <v>0</v>
      </c>
      <c r="D39" s="3">
        <f>'S28 Transportation Matrix'!D39*'S29 Distances Matrix'!D39</f>
        <v>0</v>
      </c>
      <c r="E39" s="3">
        <f>'S28 Transportation Matrix'!E39*'S29 Distances Matrix'!E39</f>
        <v>0</v>
      </c>
      <c r="F39" s="3">
        <f>'S28 Transportation Matrix'!F39*'S29 Distances Matrix'!F39</f>
        <v>3408</v>
      </c>
      <c r="G39" s="3">
        <f>'S28 Transportation Matrix'!G39*'S29 Distances Matrix'!G39</f>
        <v>0</v>
      </c>
      <c r="H39" s="3">
        <f>'S28 Transportation Matrix'!H39*'S29 Distances Matrix'!H39</f>
        <v>0</v>
      </c>
      <c r="I39" s="3">
        <f>'S28 Transportation Matrix'!I39*'S29 Distances Matrix'!I39</f>
        <v>0</v>
      </c>
      <c r="J39" s="3">
        <f>'S28 Transportation Matrix'!J39*'S29 Distances Matrix'!J39</f>
        <v>0</v>
      </c>
      <c r="K39" s="3">
        <f>'S28 Transportation Matrix'!K39*'S29 Distances Matrix'!K39</f>
        <v>0</v>
      </c>
      <c r="L39" s="3">
        <f>'S28 Transportation Matrix'!L39*'S29 Distances Matrix'!L39</f>
        <v>0</v>
      </c>
      <c r="M39" s="3">
        <f>'S28 Transportation Matrix'!M39*'S29 Distances Matrix'!M39</f>
        <v>0</v>
      </c>
      <c r="N39" s="3">
        <f>'S28 Transportation Matrix'!N39*'S29 Distances Matrix'!N39</f>
        <v>0</v>
      </c>
      <c r="O39" s="3">
        <f>'S28 Transportation Matrix'!O39*'S29 Distances Matrix'!O39</f>
        <v>0</v>
      </c>
      <c r="P39" s="3">
        <f>'S28 Transportation Matrix'!P39*'S29 Distances Matrix'!P39</f>
        <v>0</v>
      </c>
      <c r="Q39" s="3">
        <f>'S28 Transportation Matrix'!Q39*'S29 Distances Matrix'!Q39</f>
        <v>0</v>
      </c>
      <c r="R39" s="3">
        <f>'S28 Transportation Matrix'!R39*'S29 Distances Matrix'!R39</f>
        <v>0</v>
      </c>
      <c r="S39" s="3">
        <f>'S28 Transportation Matrix'!S39*'S29 Distances Matrix'!S39</f>
        <v>0</v>
      </c>
      <c r="T39" s="3">
        <f>'S28 Transportation Matrix'!T39*'S29 Distances Matrix'!T39</f>
        <v>0</v>
      </c>
      <c r="U39" s="3">
        <f>'S28 Transportation Matrix'!U39*'S29 Distances Matrix'!U39</f>
        <v>0</v>
      </c>
      <c r="V39" s="3">
        <f>'S28 Transportation Matrix'!V39*'S29 Distances Matrix'!V39</f>
        <v>0</v>
      </c>
      <c r="W39" s="3">
        <f>'S28 Transportation Matrix'!W39*'S29 Distances Matrix'!W39</f>
        <v>0</v>
      </c>
      <c r="X39" s="3">
        <f>'S28 Transportation Matrix'!X39*'S29 Distances Matrix'!X39</f>
        <v>0</v>
      </c>
      <c r="Y39" s="3">
        <f>'S28 Transportation Matrix'!Y39*'S29 Distances Matrix'!Y39</f>
        <v>0</v>
      </c>
      <c r="Z39" s="3">
        <f>'S28 Transportation Matrix'!Z39*'S29 Distances Matrix'!Z39</f>
        <v>0</v>
      </c>
      <c r="AA39" s="3">
        <f>'S28 Transportation Matrix'!AA39*'S29 Distances Matrix'!AA39</f>
        <v>0</v>
      </c>
      <c r="AB39" s="3">
        <f>'S28 Transportation Matrix'!AB39*'S29 Distances Matrix'!AB39</f>
        <v>0</v>
      </c>
      <c r="AC39" s="3">
        <f>'S28 Transportation Matrix'!AC39*'S29 Distances Matrix'!AC39</f>
        <v>0</v>
      </c>
      <c r="AD39" s="3">
        <f>'S28 Transportation Matrix'!AD39*'S29 Distances Matrix'!AD39</f>
        <v>0</v>
      </c>
      <c r="AE39" s="3">
        <f>'S28 Transportation Matrix'!AE39*'S29 Distances Matrix'!AE39</f>
        <v>0</v>
      </c>
      <c r="AF39" s="3">
        <f>'S28 Transportation Matrix'!AF39*'S29 Distances Matrix'!AF39</f>
        <v>0</v>
      </c>
      <c r="AG39" s="3">
        <f>'S28 Transportation Matrix'!AG39*'S29 Distances Matrix'!AG39</f>
        <v>0</v>
      </c>
      <c r="AH39" s="3">
        <f>'S28 Transportation Matrix'!AH39*'S29 Distances Matrix'!AH39</f>
        <v>0</v>
      </c>
      <c r="AI39" s="3">
        <f>'S28 Transportation Matrix'!AI39*'S29 Distances Matrix'!AI39</f>
        <v>0</v>
      </c>
      <c r="AJ39" s="3">
        <f>'S28 Transportation Matrix'!AJ39*'S29 Distances Matrix'!AJ39</f>
        <v>0</v>
      </c>
      <c r="AK39" s="3">
        <f>'S28 Transportation Matrix'!AK39*'S29 Distances Matrix'!AK39</f>
        <v>0</v>
      </c>
      <c r="AL39" s="3">
        <f>'S28 Transportation Matrix'!AL39*'S29 Distances Matrix'!AL39</f>
        <v>0</v>
      </c>
      <c r="AM39" s="3">
        <f>'S28 Transportation Matrix'!AM39*'S29 Distances Matrix'!AM39</f>
        <v>0</v>
      </c>
      <c r="AN39" s="3">
        <f>'S28 Transportation Matrix'!AN39*'S29 Distances Matrix'!AN39</f>
        <v>0</v>
      </c>
      <c r="AO39" s="3">
        <f>'S28 Transportation Matrix'!AO39*'S29 Distances Matrix'!AO39</f>
        <v>0</v>
      </c>
      <c r="AP39" s="3">
        <f>'S28 Transportation Matrix'!AP39*'S29 Distances Matrix'!AP39</f>
        <v>0</v>
      </c>
      <c r="AQ39" s="3">
        <f>'S28 Transportation Matrix'!AQ39*'S29 Distances Matrix'!AQ39</f>
        <v>0</v>
      </c>
      <c r="AR39" s="3">
        <f>'S28 Transportation Matrix'!AR39*'S29 Distances Matrix'!AR39</f>
        <v>0</v>
      </c>
      <c r="AS39" s="3">
        <f>'S28 Transportation Matrix'!AS39*'S29 Distances Matrix'!AS39</f>
        <v>0</v>
      </c>
    </row>
    <row r="40" spans="1:45">
      <c r="A40" s="288" t="s">
        <v>610</v>
      </c>
      <c r="B40" s="3">
        <f>'S28 Transportation Matrix'!B40*'S29 Distances Matrix'!B40</f>
        <v>0</v>
      </c>
      <c r="C40" s="3">
        <f>'S28 Transportation Matrix'!C40*'S29 Distances Matrix'!C40</f>
        <v>0</v>
      </c>
      <c r="D40" s="3">
        <f>'S28 Transportation Matrix'!D40*'S29 Distances Matrix'!D40</f>
        <v>0</v>
      </c>
      <c r="E40" s="3">
        <f>'S28 Transportation Matrix'!E40*'S29 Distances Matrix'!E40</f>
        <v>0</v>
      </c>
      <c r="F40" s="3">
        <f>'S28 Transportation Matrix'!F40*'S29 Distances Matrix'!F40</f>
        <v>0</v>
      </c>
      <c r="G40" s="3">
        <f>'S28 Transportation Matrix'!G40*'S29 Distances Matrix'!G40</f>
        <v>0</v>
      </c>
      <c r="H40" s="3">
        <f>'S28 Transportation Matrix'!H40*'S29 Distances Matrix'!H40</f>
        <v>0</v>
      </c>
      <c r="I40" s="3">
        <f>'S28 Transportation Matrix'!I40*'S29 Distances Matrix'!I40</f>
        <v>0</v>
      </c>
      <c r="J40" s="3">
        <f>'S28 Transportation Matrix'!J40*'S29 Distances Matrix'!J40</f>
        <v>0</v>
      </c>
      <c r="K40" s="3">
        <f>'S28 Transportation Matrix'!K40*'S29 Distances Matrix'!K40</f>
        <v>0</v>
      </c>
      <c r="L40" s="3">
        <f>'S28 Transportation Matrix'!L40*'S29 Distances Matrix'!L40</f>
        <v>0</v>
      </c>
      <c r="M40" s="3">
        <f>'S28 Transportation Matrix'!M40*'S29 Distances Matrix'!M40</f>
        <v>0</v>
      </c>
      <c r="N40" s="3">
        <f>'S28 Transportation Matrix'!N40*'S29 Distances Matrix'!N40</f>
        <v>0</v>
      </c>
      <c r="O40" s="3">
        <f>'S28 Transportation Matrix'!O40*'S29 Distances Matrix'!O40</f>
        <v>0</v>
      </c>
      <c r="P40" s="3">
        <f>'S28 Transportation Matrix'!P40*'S29 Distances Matrix'!P40</f>
        <v>0</v>
      </c>
      <c r="Q40" s="3">
        <f>'S28 Transportation Matrix'!Q40*'S29 Distances Matrix'!Q40</f>
        <v>0</v>
      </c>
      <c r="R40" s="3">
        <f>'S28 Transportation Matrix'!R40*'S29 Distances Matrix'!R40</f>
        <v>0</v>
      </c>
      <c r="S40" s="3">
        <f>'S28 Transportation Matrix'!S40*'S29 Distances Matrix'!S40</f>
        <v>0</v>
      </c>
      <c r="T40" s="3">
        <f>'S28 Transportation Matrix'!T40*'S29 Distances Matrix'!T40</f>
        <v>0</v>
      </c>
      <c r="U40" s="3">
        <f>'S28 Transportation Matrix'!U40*'S29 Distances Matrix'!U40</f>
        <v>0</v>
      </c>
      <c r="V40" s="3">
        <f>'S28 Transportation Matrix'!V40*'S29 Distances Matrix'!V40</f>
        <v>0</v>
      </c>
      <c r="W40" s="3">
        <f>'S28 Transportation Matrix'!W40*'S29 Distances Matrix'!W40</f>
        <v>0</v>
      </c>
      <c r="X40" s="3">
        <f>'S28 Transportation Matrix'!X40*'S29 Distances Matrix'!X40</f>
        <v>0</v>
      </c>
      <c r="Y40" s="3">
        <f>'S28 Transportation Matrix'!Y40*'S29 Distances Matrix'!Y40</f>
        <v>0</v>
      </c>
      <c r="Z40" s="3">
        <f>'S28 Transportation Matrix'!Z40*'S29 Distances Matrix'!Z40</f>
        <v>0</v>
      </c>
      <c r="AA40" s="3">
        <f>'S28 Transportation Matrix'!AA40*'S29 Distances Matrix'!AA40</f>
        <v>0</v>
      </c>
      <c r="AB40" s="3">
        <f>'S28 Transportation Matrix'!AB40*'S29 Distances Matrix'!AB40</f>
        <v>0</v>
      </c>
      <c r="AC40" s="3">
        <f>'S28 Transportation Matrix'!AC40*'S29 Distances Matrix'!AC40</f>
        <v>0</v>
      </c>
      <c r="AD40" s="3">
        <f>'S28 Transportation Matrix'!AD40*'S29 Distances Matrix'!AD40</f>
        <v>0</v>
      </c>
      <c r="AE40" s="3">
        <f>'S28 Transportation Matrix'!AE40*'S29 Distances Matrix'!AE40</f>
        <v>0</v>
      </c>
      <c r="AF40" s="3">
        <f>'S28 Transportation Matrix'!AF40*'S29 Distances Matrix'!AF40</f>
        <v>0</v>
      </c>
      <c r="AG40" s="3">
        <f>'S28 Transportation Matrix'!AG40*'S29 Distances Matrix'!AG40</f>
        <v>0</v>
      </c>
      <c r="AH40" s="3">
        <f>'S28 Transportation Matrix'!AH40*'S29 Distances Matrix'!AH40</f>
        <v>0</v>
      </c>
      <c r="AI40" s="3">
        <f>'S28 Transportation Matrix'!AI40*'S29 Distances Matrix'!AI40</f>
        <v>0</v>
      </c>
      <c r="AJ40" s="3">
        <f>'S28 Transportation Matrix'!AJ40*'S29 Distances Matrix'!AJ40</f>
        <v>0</v>
      </c>
      <c r="AK40" s="3">
        <f>'S28 Transportation Matrix'!AK40*'S29 Distances Matrix'!AK40</f>
        <v>0</v>
      </c>
      <c r="AL40" s="3">
        <f>'S28 Transportation Matrix'!AL40*'S29 Distances Matrix'!AL40</f>
        <v>0</v>
      </c>
      <c r="AM40" s="3">
        <f>'S28 Transportation Matrix'!AM40*'S29 Distances Matrix'!AM40</f>
        <v>0</v>
      </c>
      <c r="AN40" s="3">
        <f>'S28 Transportation Matrix'!AN40*'S29 Distances Matrix'!AN40</f>
        <v>0</v>
      </c>
      <c r="AO40" s="3">
        <f>'S28 Transportation Matrix'!AO40*'S29 Distances Matrix'!AO40</f>
        <v>0</v>
      </c>
      <c r="AP40" s="3">
        <f>'S28 Transportation Matrix'!AP40*'S29 Distances Matrix'!AP40</f>
        <v>0</v>
      </c>
      <c r="AQ40" s="3">
        <f>'S28 Transportation Matrix'!AQ40*'S29 Distances Matrix'!AQ40</f>
        <v>0</v>
      </c>
      <c r="AR40" s="3">
        <f>'S28 Transportation Matrix'!AR40*'S29 Distances Matrix'!AR40</f>
        <v>0</v>
      </c>
      <c r="AS40" s="3">
        <f>'S28 Transportation Matrix'!AS40*'S29 Distances Matrix'!AS40</f>
        <v>0</v>
      </c>
    </row>
    <row r="41" spans="1:45">
      <c r="A41" s="288" t="s">
        <v>611</v>
      </c>
      <c r="B41" s="3">
        <f>'S28 Transportation Matrix'!B41*'S29 Distances Matrix'!B41</f>
        <v>0</v>
      </c>
      <c r="C41" s="3">
        <f>'S28 Transportation Matrix'!C41*'S29 Distances Matrix'!C41</f>
        <v>0</v>
      </c>
      <c r="D41" s="3">
        <f>'S28 Transportation Matrix'!D41*'S29 Distances Matrix'!D41</f>
        <v>0</v>
      </c>
      <c r="E41" s="3">
        <f>'S28 Transportation Matrix'!E41*'S29 Distances Matrix'!E41</f>
        <v>0</v>
      </c>
      <c r="F41" s="3">
        <f>'S28 Transportation Matrix'!F41*'S29 Distances Matrix'!F41</f>
        <v>0</v>
      </c>
      <c r="G41" s="3">
        <f>'S28 Transportation Matrix'!G41*'S29 Distances Matrix'!G41</f>
        <v>0</v>
      </c>
      <c r="H41" s="3">
        <f>'S28 Transportation Matrix'!H41*'S29 Distances Matrix'!H41</f>
        <v>3293</v>
      </c>
      <c r="I41" s="3">
        <f>'S28 Transportation Matrix'!I41*'S29 Distances Matrix'!I41</f>
        <v>0</v>
      </c>
      <c r="J41" s="3">
        <f>'S28 Transportation Matrix'!J41*'S29 Distances Matrix'!J41</f>
        <v>0</v>
      </c>
      <c r="K41" s="3">
        <f>'S28 Transportation Matrix'!K41*'S29 Distances Matrix'!K41</f>
        <v>0</v>
      </c>
      <c r="L41" s="3">
        <f>'S28 Transportation Matrix'!L41*'S29 Distances Matrix'!L41</f>
        <v>0</v>
      </c>
      <c r="M41" s="3">
        <f>'S28 Transportation Matrix'!M41*'S29 Distances Matrix'!M41</f>
        <v>0</v>
      </c>
      <c r="N41" s="3">
        <f>'S28 Transportation Matrix'!N41*'S29 Distances Matrix'!N41</f>
        <v>0</v>
      </c>
      <c r="O41" s="3">
        <f>'S28 Transportation Matrix'!O41*'S29 Distances Matrix'!O41</f>
        <v>0</v>
      </c>
      <c r="P41" s="3">
        <f>'S28 Transportation Matrix'!P41*'S29 Distances Matrix'!P41</f>
        <v>0</v>
      </c>
      <c r="Q41" s="3">
        <f>'S28 Transportation Matrix'!Q41*'S29 Distances Matrix'!Q41</f>
        <v>0</v>
      </c>
      <c r="R41" s="3">
        <f>'S28 Transportation Matrix'!R41*'S29 Distances Matrix'!R41</f>
        <v>0</v>
      </c>
      <c r="S41" s="3">
        <f>'S28 Transportation Matrix'!S41*'S29 Distances Matrix'!S41</f>
        <v>0</v>
      </c>
      <c r="T41" s="3">
        <f>'S28 Transportation Matrix'!T41*'S29 Distances Matrix'!T41</f>
        <v>0</v>
      </c>
      <c r="U41" s="3">
        <f>'S28 Transportation Matrix'!U41*'S29 Distances Matrix'!U41</f>
        <v>0</v>
      </c>
      <c r="V41" s="3">
        <f>'S28 Transportation Matrix'!V41*'S29 Distances Matrix'!V41</f>
        <v>0</v>
      </c>
      <c r="W41" s="3">
        <f>'S28 Transportation Matrix'!W41*'S29 Distances Matrix'!W41</f>
        <v>0</v>
      </c>
      <c r="X41" s="3">
        <f>'S28 Transportation Matrix'!X41*'S29 Distances Matrix'!X41</f>
        <v>0</v>
      </c>
      <c r="Y41" s="3">
        <f>'S28 Transportation Matrix'!Y41*'S29 Distances Matrix'!Y41</f>
        <v>0</v>
      </c>
      <c r="Z41" s="3">
        <f>'S28 Transportation Matrix'!Z41*'S29 Distances Matrix'!Z41</f>
        <v>0</v>
      </c>
      <c r="AA41" s="3">
        <f>'S28 Transportation Matrix'!AA41*'S29 Distances Matrix'!AA41</f>
        <v>0</v>
      </c>
      <c r="AB41" s="3">
        <f>'S28 Transportation Matrix'!AB41*'S29 Distances Matrix'!AB41</f>
        <v>0</v>
      </c>
      <c r="AC41" s="3">
        <f>'S28 Transportation Matrix'!AC41*'S29 Distances Matrix'!AC41</f>
        <v>0</v>
      </c>
      <c r="AD41" s="3">
        <f>'S28 Transportation Matrix'!AD41*'S29 Distances Matrix'!AD41</f>
        <v>0</v>
      </c>
      <c r="AE41" s="3">
        <f>'S28 Transportation Matrix'!AE41*'S29 Distances Matrix'!AE41</f>
        <v>0</v>
      </c>
      <c r="AF41" s="3">
        <f>'S28 Transportation Matrix'!AF41*'S29 Distances Matrix'!AF41</f>
        <v>0</v>
      </c>
      <c r="AG41" s="3">
        <f>'S28 Transportation Matrix'!AG41*'S29 Distances Matrix'!AG41</f>
        <v>0</v>
      </c>
      <c r="AH41" s="3">
        <f>'S28 Transportation Matrix'!AH41*'S29 Distances Matrix'!AH41</f>
        <v>0</v>
      </c>
      <c r="AI41" s="3">
        <f>'S28 Transportation Matrix'!AI41*'S29 Distances Matrix'!AI41</f>
        <v>0</v>
      </c>
      <c r="AJ41" s="3">
        <f>'S28 Transportation Matrix'!AJ41*'S29 Distances Matrix'!AJ41</f>
        <v>0</v>
      </c>
      <c r="AK41" s="3">
        <f>'S28 Transportation Matrix'!AK41*'S29 Distances Matrix'!AK41</f>
        <v>0</v>
      </c>
      <c r="AL41" s="3">
        <f>'S28 Transportation Matrix'!AL41*'S29 Distances Matrix'!AL41</f>
        <v>0</v>
      </c>
      <c r="AM41" s="3">
        <f>'S28 Transportation Matrix'!AM41*'S29 Distances Matrix'!AM41</f>
        <v>0</v>
      </c>
      <c r="AN41" s="3">
        <f>'S28 Transportation Matrix'!AN41*'S29 Distances Matrix'!AN41</f>
        <v>0</v>
      </c>
      <c r="AO41" s="3">
        <f>'S28 Transportation Matrix'!AO41*'S29 Distances Matrix'!AO41</f>
        <v>0</v>
      </c>
      <c r="AP41" s="3">
        <f>'S28 Transportation Matrix'!AP41*'S29 Distances Matrix'!AP41</f>
        <v>0</v>
      </c>
      <c r="AQ41" s="3">
        <f>'S28 Transportation Matrix'!AQ41*'S29 Distances Matrix'!AQ41</f>
        <v>0</v>
      </c>
      <c r="AR41" s="3">
        <f>'S28 Transportation Matrix'!AR41*'S29 Distances Matrix'!AR41</f>
        <v>0</v>
      </c>
      <c r="AS41" s="3">
        <f>'S28 Transportation Matrix'!AS41*'S29 Distances Matrix'!AS41</f>
        <v>0</v>
      </c>
    </row>
    <row r="42" spans="1:45">
      <c r="A42" s="288" t="s">
        <v>612</v>
      </c>
      <c r="B42" s="3">
        <f>'S28 Transportation Matrix'!B42*'S29 Distances Matrix'!B42</f>
        <v>0</v>
      </c>
      <c r="C42" s="3">
        <f>'S28 Transportation Matrix'!C42*'S29 Distances Matrix'!C42</f>
        <v>0</v>
      </c>
      <c r="D42" s="3">
        <f>'S28 Transportation Matrix'!D42*'S29 Distances Matrix'!D42</f>
        <v>0</v>
      </c>
      <c r="E42" s="3">
        <f>'S28 Transportation Matrix'!E42*'S29 Distances Matrix'!E42</f>
        <v>0</v>
      </c>
      <c r="F42" s="3">
        <f>'S28 Transportation Matrix'!F42*'S29 Distances Matrix'!F42</f>
        <v>0</v>
      </c>
      <c r="G42" s="3">
        <f>'S28 Transportation Matrix'!G42*'S29 Distances Matrix'!G42</f>
        <v>0</v>
      </c>
      <c r="H42" s="3">
        <f>'S28 Transportation Matrix'!H42*'S29 Distances Matrix'!H42</f>
        <v>0</v>
      </c>
      <c r="I42" s="3">
        <f>'S28 Transportation Matrix'!I42*'S29 Distances Matrix'!I42</f>
        <v>0</v>
      </c>
      <c r="J42" s="3">
        <f>'S28 Transportation Matrix'!J42*'S29 Distances Matrix'!J42</f>
        <v>0</v>
      </c>
      <c r="K42" s="3">
        <f>'S28 Transportation Matrix'!K42*'S29 Distances Matrix'!K42</f>
        <v>0</v>
      </c>
      <c r="L42" s="3">
        <f>'S28 Transportation Matrix'!L42*'S29 Distances Matrix'!L42</f>
        <v>0</v>
      </c>
      <c r="M42" s="3">
        <f>'S28 Transportation Matrix'!M42*'S29 Distances Matrix'!M42</f>
        <v>0</v>
      </c>
      <c r="N42" s="3">
        <f>'S28 Transportation Matrix'!N42*'S29 Distances Matrix'!N42</f>
        <v>0</v>
      </c>
      <c r="O42" s="3">
        <f>'S28 Transportation Matrix'!O42*'S29 Distances Matrix'!O42</f>
        <v>0</v>
      </c>
      <c r="P42" s="3">
        <f>'S28 Transportation Matrix'!P42*'S29 Distances Matrix'!P42</f>
        <v>0</v>
      </c>
      <c r="Q42" s="3">
        <f>'S28 Transportation Matrix'!Q42*'S29 Distances Matrix'!Q42</f>
        <v>0</v>
      </c>
      <c r="R42" s="3">
        <f>'S28 Transportation Matrix'!R42*'S29 Distances Matrix'!R42</f>
        <v>0</v>
      </c>
      <c r="S42" s="3">
        <f>'S28 Transportation Matrix'!S42*'S29 Distances Matrix'!S42</f>
        <v>0</v>
      </c>
      <c r="T42" s="3">
        <f>'S28 Transportation Matrix'!T42*'S29 Distances Matrix'!T42</f>
        <v>0</v>
      </c>
      <c r="U42" s="3">
        <f>'S28 Transportation Matrix'!U42*'S29 Distances Matrix'!U42</f>
        <v>0</v>
      </c>
      <c r="V42" s="3">
        <f>'S28 Transportation Matrix'!V42*'S29 Distances Matrix'!V42</f>
        <v>0</v>
      </c>
      <c r="W42" s="3">
        <f>'S28 Transportation Matrix'!W42*'S29 Distances Matrix'!W42</f>
        <v>0</v>
      </c>
      <c r="X42" s="3">
        <f>'S28 Transportation Matrix'!X42*'S29 Distances Matrix'!X42</f>
        <v>0</v>
      </c>
      <c r="Y42" s="3">
        <f>'S28 Transportation Matrix'!Y42*'S29 Distances Matrix'!Y42</f>
        <v>0</v>
      </c>
      <c r="Z42" s="3">
        <f>'S28 Transportation Matrix'!Z42*'S29 Distances Matrix'!Z42</f>
        <v>0</v>
      </c>
      <c r="AA42" s="3">
        <f>'S28 Transportation Matrix'!AA42*'S29 Distances Matrix'!AA42</f>
        <v>0</v>
      </c>
      <c r="AB42" s="3">
        <f>'S28 Transportation Matrix'!AB42*'S29 Distances Matrix'!AB42</f>
        <v>0</v>
      </c>
      <c r="AC42" s="3">
        <f>'S28 Transportation Matrix'!AC42*'S29 Distances Matrix'!AC42</f>
        <v>0</v>
      </c>
      <c r="AD42" s="3">
        <f>'S28 Transportation Matrix'!AD42*'S29 Distances Matrix'!AD42</f>
        <v>0</v>
      </c>
      <c r="AE42" s="3">
        <f>'S28 Transportation Matrix'!AE42*'S29 Distances Matrix'!AE42</f>
        <v>0</v>
      </c>
      <c r="AF42" s="3">
        <f>'S28 Transportation Matrix'!AF42*'S29 Distances Matrix'!AF42</f>
        <v>0</v>
      </c>
      <c r="AG42" s="3">
        <f>'S28 Transportation Matrix'!AG42*'S29 Distances Matrix'!AG42</f>
        <v>0</v>
      </c>
      <c r="AH42" s="3">
        <f>'S28 Transportation Matrix'!AH42*'S29 Distances Matrix'!AH42</f>
        <v>0</v>
      </c>
      <c r="AI42" s="3">
        <f>'S28 Transportation Matrix'!AI42*'S29 Distances Matrix'!AI42</f>
        <v>0</v>
      </c>
      <c r="AJ42" s="3">
        <f>'S28 Transportation Matrix'!AJ42*'S29 Distances Matrix'!AJ42</f>
        <v>0</v>
      </c>
      <c r="AK42" s="3">
        <f>'S28 Transportation Matrix'!AK42*'S29 Distances Matrix'!AK42</f>
        <v>0</v>
      </c>
      <c r="AL42" s="3">
        <f>'S28 Transportation Matrix'!AL42*'S29 Distances Matrix'!AL42</f>
        <v>0</v>
      </c>
      <c r="AM42" s="3">
        <f>'S28 Transportation Matrix'!AM42*'S29 Distances Matrix'!AM42</f>
        <v>0</v>
      </c>
      <c r="AN42" s="3">
        <f>'S28 Transportation Matrix'!AN42*'S29 Distances Matrix'!AN42</f>
        <v>0</v>
      </c>
      <c r="AO42" s="3">
        <f>'S28 Transportation Matrix'!AO42*'S29 Distances Matrix'!AO42</f>
        <v>0</v>
      </c>
      <c r="AP42" s="3">
        <f>'S28 Transportation Matrix'!AP42*'S29 Distances Matrix'!AP42</f>
        <v>0</v>
      </c>
      <c r="AQ42" s="3">
        <f>'S28 Transportation Matrix'!AQ42*'S29 Distances Matrix'!AQ42</f>
        <v>0</v>
      </c>
      <c r="AR42" s="3">
        <f>'S28 Transportation Matrix'!AR42*'S29 Distances Matrix'!AR42</f>
        <v>0</v>
      </c>
      <c r="AS42" s="3">
        <f>'S28 Transportation Matrix'!AS42*'S29 Distances Matrix'!AS42</f>
        <v>0</v>
      </c>
    </row>
    <row r="43" spans="1:45">
      <c r="A43" s="288" t="s">
        <v>613</v>
      </c>
      <c r="B43" s="3">
        <f>'S28 Transportation Matrix'!B43*'S29 Distances Matrix'!B43</f>
        <v>0</v>
      </c>
      <c r="C43" s="3">
        <f>'S28 Transportation Matrix'!C43*'S29 Distances Matrix'!C43</f>
        <v>2416</v>
      </c>
      <c r="D43" s="3">
        <f>'S28 Transportation Matrix'!D43*'S29 Distances Matrix'!D43</f>
        <v>0</v>
      </c>
      <c r="E43" s="3">
        <f>'S28 Transportation Matrix'!E43*'S29 Distances Matrix'!E43</f>
        <v>2556</v>
      </c>
      <c r="F43" s="3">
        <f>'S28 Transportation Matrix'!F43*'S29 Distances Matrix'!F43</f>
        <v>0</v>
      </c>
      <c r="G43" s="3">
        <f>'S28 Transportation Matrix'!G43*'S29 Distances Matrix'!G43</f>
        <v>0</v>
      </c>
      <c r="H43" s="3">
        <f>'S28 Transportation Matrix'!H43*'S29 Distances Matrix'!H43</f>
        <v>1104</v>
      </c>
      <c r="I43" s="3">
        <f>'S28 Transportation Matrix'!I43*'S29 Distances Matrix'!I43</f>
        <v>0</v>
      </c>
      <c r="J43" s="3">
        <f>'S28 Transportation Matrix'!J43*'S29 Distances Matrix'!J43</f>
        <v>0</v>
      </c>
      <c r="K43" s="3">
        <f>'S28 Transportation Matrix'!K43*'S29 Distances Matrix'!K43</f>
        <v>0</v>
      </c>
      <c r="L43" s="3">
        <f>'S28 Transportation Matrix'!L43*'S29 Distances Matrix'!L43</f>
        <v>0</v>
      </c>
      <c r="M43" s="3">
        <f>'S28 Transportation Matrix'!M43*'S29 Distances Matrix'!M43</f>
        <v>0</v>
      </c>
      <c r="N43" s="3">
        <f>'S28 Transportation Matrix'!N43*'S29 Distances Matrix'!N43</f>
        <v>0</v>
      </c>
      <c r="O43" s="3">
        <f>'S28 Transportation Matrix'!O43*'S29 Distances Matrix'!O43</f>
        <v>0</v>
      </c>
      <c r="P43" s="3">
        <f>'S28 Transportation Matrix'!P43*'S29 Distances Matrix'!P43</f>
        <v>0</v>
      </c>
      <c r="Q43" s="3">
        <f>'S28 Transportation Matrix'!Q43*'S29 Distances Matrix'!Q43</f>
        <v>0</v>
      </c>
      <c r="R43" s="3">
        <f>'S28 Transportation Matrix'!R43*'S29 Distances Matrix'!R43</f>
        <v>0</v>
      </c>
      <c r="S43" s="3">
        <f>'S28 Transportation Matrix'!S43*'S29 Distances Matrix'!S43</f>
        <v>0</v>
      </c>
      <c r="T43" s="3">
        <f>'S28 Transportation Matrix'!T43*'S29 Distances Matrix'!T43</f>
        <v>0</v>
      </c>
      <c r="U43" s="3">
        <f>'S28 Transportation Matrix'!U43*'S29 Distances Matrix'!U43</f>
        <v>0</v>
      </c>
      <c r="V43" s="3">
        <f>'S28 Transportation Matrix'!V43*'S29 Distances Matrix'!V43</f>
        <v>0</v>
      </c>
      <c r="W43" s="3">
        <f>'S28 Transportation Matrix'!W43*'S29 Distances Matrix'!W43</f>
        <v>0</v>
      </c>
      <c r="X43" s="3">
        <f>'S28 Transportation Matrix'!X43*'S29 Distances Matrix'!X43</f>
        <v>0</v>
      </c>
      <c r="Y43" s="3">
        <f>'S28 Transportation Matrix'!Y43*'S29 Distances Matrix'!Y43</f>
        <v>0</v>
      </c>
      <c r="Z43" s="3">
        <f>'S28 Transportation Matrix'!Z43*'S29 Distances Matrix'!Z43</f>
        <v>0</v>
      </c>
      <c r="AA43" s="3">
        <f>'S28 Transportation Matrix'!AA43*'S29 Distances Matrix'!AA43</f>
        <v>0</v>
      </c>
      <c r="AB43" s="3">
        <f>'S28 Transportation Matrix'!AB43*'S29 Distances Matrix'!AB43</f>
        <v>0</v>
      </c>
      <c r="AC43" s="3">
        <f>'S28 Transportation Matrix'!AC43*'S29 Distances Matrix'!AC43</f>
        <v>0</v>
      </c>
      <c r="AD43" s="3">
        <f>'S28 Transportation Matrix'!AD43*'S29 Distances Matrix'!AD43</f>
        <v>0</v>
      </c>
      <c r="AE43" s="3">
        <f>'S28 Transportation Matrix'!AE43*'S29 Distances Matrix'!AE43</f>
        <v>0</v>
      </c>
      <c r="AF43" s="3">
        <f>'S28 Transportation Matrix'!AF43*'S29 Distances Matrix'!AF43</f>
        <v>0</v>
      </c>
      <c r="AG43" s="3">
        <f>'S28 Transportation Matrix'!AG43*'S29 Distances Matrix'!AG43</f>
        <v>0</v>
      </c>
      <c r="AH43" s="3">
        <f>'S28 Transportation Matrix'!AH43*'S29 Distances Matrix'!AH43</f>
        <v>0</v>
      </c>
      <c r="AI43" s="3">
        <f>'S28 Transportation Matrix'!AI43*'S29 Distances Matrix'!AI43</f>
        <v>0</v>
      </c>
      <c r="AJ43" s="3">
        <f>'S28 Transportation Matrix'!AJ43*'S29 Distances Matrix'!AJ43</f>
        <v>0</v>
      </c>
      <c r="AK43" s="3">
        <f>'S28 Transportation Matrix'!AK43*'S29 Distances Matrix'!AK43</f>
        <v>0</v>
      </c>
      <c r="AL43" s="3">
        <f>'S28 Transportation Matrix'!AL43*'S29 Distances Matrix'!AL43</f>
        <v>0</v>
      </c>
      <c r="AM43" s="3">
        <f>'S28 Transportation Matrix'!AM43*'S29 Distances Matrix'!AM43</f>
        <v>0</v>
      </c>
      <c r="AN43" s="3">
        <f>'S28 Transportation Matrix'!AN43*'S29 Distances Matrix'!AN43</f>
        <v>0</v>
      </c>
      <c r="AO43" s="3">
        <f>'S28 Transportation Matrix'!AO43*'S29 Distances Matrix'!AO43</f>
        <v>0</v>
      </c>
      <c r="AP43" s="3">
        <f>'S28 Transportation Matrix'!AP43*'S29 Distances Matrix'!AP43</f>
        <v>0</v>
      </c>
      <c r="AQ43" s="3">
        <f>'S28 Transportation Matrix'!AQ43*'S29 Distances Matrix'!AQ43</f>
        <v>0</v>
      </c>
      <c r="AR43" s="3">
        <f>'S28 Transportation Matrix'!AR43*'S29 Distances Matrix'!AR43</f>
        <v>0</v>
      </c>
      <c r="AS43" s="3">
        <f>'S28 Transportation Matrix'!AS43*'S29 Distances Matrix'!AS43</f>
        <v>0</v>
      </c>
    </row>
    <row r="44" spans="1:45">
      <c r="A44" s="288" t="s">
        <v>614</v>
      </c>
      <c r="B44" s="3">
        <f>'S28 Transportation Matrix'!B44*'S29 Distances Matrix'!B44</f>
        <v>0</v>
      </c>
      <c r="C44" s="3">
        <f>'S28 Transportation Matrix'!C44*'S29 Distances Matrix'!C44</f>
        <v>0</v>
      </c>
      <c r="D44" s="3">
        <f>'S28 Transportation Matrix'!D44*'S29 Distances Matrix'!D44</f>
        <v>0</v>
      </c>
      <c r="E44" s="3">
        <f>'S28 Transportation Matrix'!E44*'S29 Distances Matrix'!E44</f>
        <v>0</v>
      </c>
      <c r="F44" s="3">
        <f>'S28 Transportation Matrix'!F44*'S29 Distances Matrix'!F44</f>
        <v>0</v>
      </c>
      <c r="G44" s="3">
        <f>'S28 Transportation Matrix'!G44*'S29 Distances Matrix'!G44</f>
        <v>0</v>
      </c>
      <c r="H44" s="3">
        <f>'S28 Transportation Matrix'!H44*'S29 Distances Matrix'!H44</f>
        <v>0</v>
      </c>
      <c r="I44" s="3">
        <f>'S28 Transportation Matrix'!I44*'S29 Distances Matrix'!I44</f>
        <v>0</v>
      </c>
      <c r="J44" s="3">
        <f>'S28 Transportation Matrix'!J44*'S29 Distances Matrix'!J44</f>
        <v>0</v>
      </c>
      <c r="K44" s="3">
        <f>'S28 Transportation Matrix'!K44*'S29 Distances Matrix'!K44</f>
        <v>0</v>
      </c>
      <c r="L44" s="3">
        <f>'S28 Transportation Matrix'!L44*'S29 Distances Matrix'!L44</f>
        <v>0</v>
      </c>
      <c r="M44" s="3">
        <f>'S28 Transportation Matrix'!M44*'S29 Distances Matrix'!M44</f>
        <v>0</v>
      </c>
      <c r="N44" s="3">
        <f>'S28 Transportation Matrix'!N44*'S29 Distances Matrix'!N44</f>
        <v>0</v>
      </c>
      <c r="O44" s="3">
        <f>'S28 Transportation Matrix'!O44*'S29 Distances Matrix'!O44</f>
        <v>0</v>
      </c>
      <c r="P44" s="3">
        <f>'S28 Transportation Matrix'!P44*'S29 Distances Matrix'!P44</f>
        <v>0</v>
      </c>
      <c r="Q44" s="3">
        <f>'S28 Transportation Matrix'!Q44*'S29 Distances Matrix'!Q44</f>
        <v>0</v>
      </c>
      <c r="R44" s="3">
        <f>'S28 Transportation Matrix'!R44*'S29 Distances Matrix'!R44</f>
        <v>0</v>
      </c>
      <c r="S44" s="3">
        <f>'S28 Transportation Matrix'!S44*'S29 Distances Matrix'!S44</f>
        <v>0</v>
      </c>
      <c r="T44" s="3">
        <f>'S28 Transportation Matrix'!T44*'S29 Distances Matrix'!T44</f>
        <v>0</v>
      </c>
      <c r="U44" s="3">
        <f>'S28 Transportation Matrix'!U44*'S29 Distances Matrix'!U44</f>
        <v>0</v>
      </c>
      <c r="V44" s="3">
        <f>'S28 Transportation Matrix'!V44*'S29 Distances Matrix'!V44</f>
        <v>0</v>
      </c>
      <c r="W44" s="3">
        <f>'S28 Transportation Matrix'!W44*'S29 Distances Matrix'!W44</f>
        <v>0</v>
      </c>
      <c r="X44" s="3">
        <f>'S28 Transportation Matrix'!X44*'S29 Distances Matrix'!X44</f>
        <v>0</v>
      </c>
      <c r="Y44" s="3">
        <f>'S28 Transportation Matrix'!Y44*'S29 Distances Matrix'!Y44</f>
        <v>0</v>
      </c>
      <c r="Z44" s="3">
        <f>'S28 Transportation Matrix'!Z44*'S29 Distances Matrix'!Z44</f>
        <v>0</v>
      </c>
      <c r="AA44" s="3">
        <f>'S28 Transportation Matrix'!AA44*'S29 Distances Matrix'!AA44</f>
        <v>0</v>
      </c>
      <c r="AB44" s="3">
        <f>'S28 Transportation Matrix'!AB44*'S29 Distances Matrix'!AB44</f>
        <v>0</v>
      </c>
      <c r="AC44" s="3">
        <f>'S28 Transportation Matrix'!AC44*'S29 Distances Matrix'!AC44</f>
        <v>0</v>
      </c>
      <c r="AD44" s="3">
        <f>'S28 Transportation Matrix'!AD44*'S29 Distances Matrix'!AD44</f>
        <v>0</v>
      </c>
      <c r="AE44" s="3">
        <f>'S28 Transportation Matrix'!AE44*'S29 Distances Matrix'!AE44</f>
        <v>0</v>
      </c>
      <c r="AF44" s="3">
        <f>'S28 Transportation Matrix'!AF44*'S29 Distances Matrix'!AF44</f>
        <v>0</v>
      </c>
      <c r="AG44" s="3">
        <f>'S28 Transportation Matrix'!AG44*'S29 Distances Matrix'!AG44</f>
        <v>0</v>
      </c>
      <c r="AH44" s="3">
        <f>'S28 Transportation Matrix'!AH44*'S29 Distances Matrix'!AH44</f>
        <v>0</v>
      </c>
      <c r="AI44" s="3">
        <f>'S28 Transportation Matrix'!AI44*'S29 Distances Matrix'!AI44</f>
        <v>0</v>
      </c>
      <c r="AJ44" s="3">
        <f>'S28 Transportation Matrix'!AJ44*'S29 Distances Matrix'!AJ44</f>
        <v>0</v>
      </c>
      <c r="AK44" s="3">
        <f>'S28 Transportation Matrix'!AK44*'S29 Distances Matrix'!AK44</f>
        <v>0</v>
      </c>
      <c r="AL44" s="3">
        <f>'S28 Transportation Matrix'!AL44*'S29 Distances Matrix'!AL44</f>
        <v>0</v>
      </c>
      <c r="AM44" s="3">
        <f>'S28 Transportation Matrix'!AM44*'S29 Distances Matrix'!AM44</f>
        <v>0</v>
      </c>
      <c r="AN44" s="3">
        <f>'S28 Transportation Matrix'!AN44*'S29 Distances Matrix'!AN44</f>
        <v>0</v>
      </c>
      <c r="AO44" s="3">
        <f>'S28 Transportation Matrix'!AO44*'S29 Distances Matrix'!AO44</f>
        <v>0</v>
      </c>
      <c r="AP44" s="3">
        <f>'S28 Transportation Matrix'!AP44*'S29 Distances Matrix'!AP44</f>
        <v>0</v>
      </c>
      <c r="AQ44" s="3">
        <f>'S28 Transportation Matrix'!AQ44*'S29 Distances Matrix'!AQ44</f>
        <v>0</v>
      </c>
      <c r="AR44" s="3">
        <f>'S28 Transportation Matrix'!AR44*'S29 Distances Matrix'!AR44</f>
        <v>0</v>
      </c>
      <c r="AS44" s="3">
        <f>'S28 Transportation Matrix'!AS44*'S29 Distances Matrix'!AS44</f>
        <v>0</v>
      </c>
    </row>
    <row r="45" spans="1:45">
      <c r="A45" s="288" t="s">
        <v>615</v>
      </c>
      <c r="B45" s="3">
        <f>'S28 Transportation Matrix'!B45*'S29 Distances Matrix'!B45</f>
        <v>0</v>
      </c>
      <c r="C45" s="3">
        <f>'S28 Transportation Matrix'!C45*'S29 Distances Matrix'!C45</f>
        <v>0</v>
      </c>
      <c r="D45" s="3">
        <f>'S28 Transportation Matrix'!D45*'S29 Distances Matrix'!D45</f>
        <v>0</v>
      </c>
      <c r="E45" s="3">
        <f>'S28 Transportation Matrix'!E45*'S29 Distances Matrix'!E45</f>
        <v>0</v>
      </c>
      <c r="F45" s="3">
        <f>'S28 Transportation Matrix'!F45*'S29 Distances Matrix'!F45</f>
        <v>0</v>
      </c>
      <c r="G45" s="3">
        <f>'S28 Transportation Matrix'!G45*'S29 Distances Matrix'!G45</f>
        <v>0</v>
      </c>
      <c r="H45" s="3">
        <f>'S28 Transportation Matrix'!H45*'S29 Distances Matrix'!H45</f>
        <v>0</v>
      </c>
      <c r="I45" s="3">
        <f>'S28 Transportation Matrix'!I45*'S29 Distances Matrix'!I45</f>
        <v>0</v>
      </c>
      <c r="J45" s="3">
        <f>'S28 Transportation Matrix'!J45*'S29 Distances Matrix'!J45</f>
        <v>0</v>
      </c>
      <c r="K45" s="3">
        <f>'S28 Transportation Matrix'!K45*'S29 Distances Matrix'!K45</f>
        <v>0</v>
      </c>
      <c r="L45" s="3">
        <f>'S28 Transportation Matrix'!L45*'S29 Distances Matrix'!L45</f>
        <v>0</v>
      </c>
      <c r="M45" s="3">
        <f>'S28 Transportation Matrix'!M45*'S29 Distances Matrix'!M45</f>
        <v>0</v>
      </c>
      <c r="N45" s="3">
        <f>'S28 Transportation Matrix'!N45*'S29 Distances Matrix'!N45</f>
        <v>0</v>
      </c>
      <c r="O45" s="3">
        <f>'S28 Transportation Matrix'!O45*'S29 Distances Matrix'!O45</f>
        <v>0</v>
      </c>
      <c r="P45" s="3">
        <f>'S28 Transportation Matrix'!P45*'S29 Distances Matrix'!P45</f>
        <v>0</v>
      </c>
      <c r="Q45" s="3">
        <f>'S28 Transportation Matrix'!Q45*'S29 Distances Matrix'!Q45</f>
        <v>0</v>
      </c>
      <c r="R45" s="3">
        <f>'S28 Transportation Matrix'!R45*'S29 Distances Matrix'!R45</f>
        <v>0</v>
      </c>
      <c r="S45" s="3">
        <f>'S28 Transportation Matrix'!S45*'S29 Distances Matrix'!S45</f>
        <v>0</v>
      </c>
      <c r="T45" s="3">
        <f>'S28 Transportation Matrix'!T45*'S29 Distances Matrix'!T45</f>
        <v>0</v>
      </c>
      <c r="U45" s="3">
        <f>'S28 Transportation Matrix'!U45*'S29 Distances Matrix'!U45</f>
        <v>0</v>
      </c>
      <c r="V45" s="3">
        <f>'S28 Transportation Matrix'!V45*'S29 Distances Matrix'!V45</f>
        <v>0</v>
      </c>
      <c r="W45" s="3">
        <f>'S28 Transportation Matrix'!W45*'S29 Distances Matrix'!W45</f>
        <v>0</v>
      </c>
      <c r="X45" s="3">
        <f>'S28 Transportation Matrix'!X45*'S29 Distances Matrix'!X45</f>
        <v>0</v>
      </c>
      <c r="Y45" s="3">
        <f>'S28 Transportation Matrix'!Y45*'S29 Distances Matrix'!Y45</f>
        <v>0</v>
      </c>
      <c r="Z45" s="3">
        <f>'S28 Transportation Matrix'!Z45*'S29 Distances Matrix'!Z45</f>
        <v>0</v>
      </c>
      <c r="AA45" s="3">
        <f>'S28 Transportation Matrix'!AA45*'S29 Distances Matrix'!AA45</f>
        <v>0</v>
      </c>
      <c r="AB45" s="3">
        <f>'S28 Transportation Matrix'!AB45*'S29 Distances Matrix'!AB45</f>
        <v>0</v>
      </c>
      <c r="AC45" s="3">
        <f>'S28 Transportation Matrix'!AC45*'S29 Distances Matrix'!AC45</f>
        <v>0</v>
      </c>
      <c r="AD45" s="3">
        <f>'S28 Transportation Matrix'!AD45*'S29 Distances Matrix'!AD45</f>
        <v>0</v>
      </c>
      <c r="AE45" s="3">
        <f>'S28 Transportation Matrix'!AE45*'S29 Distances Matrix'!AE45</f>
        <v>0</v>
      </c>
      <c r="AF45" s="3">
        <f>'S28 Transportation Matrix'!AF45*'S29 Distances Matrix'!AF45</f>
        <v>0</v>
      </c>
      <c r="AG45" s="3">
        <f>'S28 Transportation Matrix'!AG45*'S29 Distances Matrix'!AG45</f>
        <v>0</v>
      </c>
      <c r="AH45" s="3">
        <f>'S28 Transportation Matrix'!AH45*'S29 Distances Matrix'!AH45</f>
        <v>0</v>
      </c>
      <c r="AI45" s="3">
        <f>'S28 Transportation Matrix'!AI45*'S29 Distances Matrix'!AI45</f>
        <v>0</v>
      </c>
      <c r="AJ45" s="3">
        <f>'S28 Transportation Matrix'!AJ45*'S29 Distances Matrix'!AJ45</f>
        <v>0</v>
      </c>
      <c r="AK45" s="3">
        <f>'S28 Transportation Matrix'!AK45*'S29 Distances Matrix'!AK45</f>
        <v>0</v>
      </c>
      <c r="AL45" s="3">
        <f>'S28 Transportation Matrix'!AL45*'S29 Distances Matrix'!AL45</f>
        <v>0</v>
      </c>
      <c r="AM45" s="3">
        <f>'S28 Transportation Matrix'!AM45*'S29 Distances Matrix'!AM45</f>
        <v>0</v>
      </c>
      <c r="AN45" s="3">
        <f>'S28 Transportation Matrix'!AN45*'S29 Distances Matrix'!AN45</f>
        <v>0</v>
      </c>
      <c r="AO45" s="3">
        <f>'S28 Transportation Matrix'!AO45*'S29 Distances Matrix'!AO45</f>
        <v>0</v>
      </c>
      <c r="AP45" s="3">
        <f>'S28 Transportation Matrix'!AP45*'S29 Distances Matrix'!AP45</f>
        <v>0</v>
      </c>
      <c r="AQ45" s="3">
        <f>'S28 Transportation Matrix'!AQ45*'S29 Distances Matrix'!AQ45</f>
        <v>0</v>
      </c>
      <c r="AR45" s="3">
        <f>'S28 Transportation Matrix'!AR45*'S29 Distances Matrix'!AR45</f>
        <v>0</v>
      </c>
      <c r="AS45" s="3">
        <f>'S28 Transportation Matrix'!AS45*'S29 Distances Matrix'!AS45</f>
        <v>0</v>
      </c>
    </row>
    <row r="46" spans="1:45">
      <c r="A46" s="288" t="s">
        <v>616</v>
      </c>
      <c r="B46" s="3">
        <f>'S28 Transportation Matrix'!B46*'S29 Distances Matrix'!B46</f>
        <v>0</v>
      </c>
      <c r="C46" s="3">
        <f>'S28 Transportation Matrix'!C46*'S29 Distances Matrix'!C46</f>
        <v>0</v>
      </c>
      <c r="D46" s="3">
        <f>'S28 Transportation Matrix'!D46*'S29 Distances Matrix'!D46</f>
        <v>0</v>
      </c>
      <c r="E46" s="3">
        <f>'S28 Transportation Matrix'!E46*'S29 Distances Matrix'!E46</f>
        <v>0</v>
      </c>
      <c r="F46" s="3">
        <f>'S28 Transportation Matrix'!F46*'S29 Distances Matrix'!F46</f>
        <v>0</v>
      </c>
      <c r="G46" s="3">
        <f>'S28 Transportation Matrix'!G46*'S29 Distances Matrix'!G46</f>
        <v>0</v>
      </c>
      <c r="H46" s="3">
        <f>'S28 Transportation Matrix'!H46*'S29 Distances Matrix'!H46</f>
        <v>0</v>
      </c>
      <c r="I46" s="3">
        <f>'S28 Transportation Matrix'!I46*'S29 Distances Matrix'!I46</f>
        <v>0</v>
      </c>
      <c r="J46" s="3">
        <f>'S28 Transportation Matrix'!J46*'S29 Distances Matrix'!J46</f>
        <v>0</v>
      </c>
      <c r="K46" s="3">
        <f>'S28 Transportation Matrix'!K46*'S29 Distances Matrix'!K46</f>
        <v>0</v>
      </c>
      <c r="L46" s="3">
        <f>'S28 Transportation Matrix'!L46*'S29 Distances Matrix'!L46</f>
        <v>0</v>
      </c>
      <c r="M46" s="3">
        <f>'S28 Transportation Matrix'!M46*'S29 Distances Matrix'!M46</f>
        <v>0</v>
      </c>
      <c r="N46" s="3">
        <f>'S28 Transportation Matrix'!N46*'S29 Distances Matrix'!N46</f>
        <v>0</v>
      </c>
      <c r="O46" s="3">
        <f>'S28 Transportation Matrix'!O46*'S29 Distances Matrix'!O46</f>
        <v>0</v>
      </c>
      <c r="P46" s="3">
        <f>'S28 Transportation Matrix'!P46*'S29 Distances Matrix'!P46</f>
        <v>0</v>
      </c>
      <c r="Q46" s="3">
        <f>'S28 Transportation Matrix'!Q46*'S29 Distances Matrix'!Q46</f>
        <v>0</v>
      </c>
      <c r="R46" s="3">
        <f>'S28 Transportation Matrix'!R46*'S29 Distances Matrix'!R46</f>
        <v>0</v>
      </c>
      <c r="S46" s="3">
        <f>'S28 Transportation Matrix'!S46*'S29 Distances Matrix'!S46</f>
        <v>0</v>
      </c>
      <c r="T46" s="3">
        <f>'S28 Transportation Matrix'!T46*'S29 Distances Matrix'!T46</f>
        <v>0</v>
      </c>
      <c r="U46" s="3">
        <f>'S28 Transportation Matrix'!U46*'S29 Distances Matrix'!U46</f>
        <v>0</v>
      </c>
      <c r="V46" s="3">
        <f>'S28 Transportation Matrix'!V46*'S29 Distances Matrix'!V46</f>
        <v>0</v>
      </c>
      <c r="W46" s="3">
        <f>'S28 Transportation Matrix'!W46*'S29 Distances Matrix'!W46</f>
        <v>0</v>
      </c>
      <c r="X46" s="3">
        <f>'S28 Transportation Matrix'!X46*'S29 Distances Matrix'!X46</f>
        <v>0</v>
      </c>
      <c r="Y46" s="3">
        <f>'S28 Transportation Matrix'!Y46*'S29 Distances Matrix'!Y46</f>
        <v>0</v>
      </c>
      <c r="Z46" s="3">
        <f>'S28 Transportation Matrix'!Z46*'S29 Distances Matrix'!Z46</f>
        <v>0</v>
      </c>
      <c r="AA46" s="3">
        <f>'S28 Transportation Matrix'!AA46*'S29 Distances Matrix'!AA46</f>
        <v>0</v>
      </c>
      <c r="AB46" s="3">
        <f>'S28 Transportation Matrix'!AB46*'S29 Distances Matrix'!AB46</f>
        <v>0</v>
      </c>
      <c r="AC46" s="3">
        <f>'S28 Transportation Matrix'!AC46*'S29 Distances Matrix'!AC46</f>
        <v>0</v>
      </c>
      <c r="AD46" s="3">
        <f>'S28 Transportation Matrix'!AD46*'S29 Distances Matrix'!AD46</f>
        <v>0</v>
      </c>
      <c r="AE46" s="3">
        <f>'S28 Transportation Matrix'!AE46*'S29 Distances Matrix'!AE46</f>
        <v>0</v>
      </c>
      <c r="AF46" s="3">
        <f>'S28 Transportation Matrix'!AF46*'S29 Distances Matrix'!AF46</f>
        <v>0</v>
      </c>
      <c r="AG46" s="3">
        <f>'S28 Transportation Matrix'!AG46*'S29 Distances Matrix'!AG46</f>
        <v>0</v>
      </c>
      <c r="AH46" s="3">
        <f>'S28 Transportation Matrix'!AH46*'S29 Distances Matrix'!AH46</f>
        <v>0</v>
      </c>
      <c r="AI46" s="3">
        <f>'S28 Transportation Matrix'!AI46*'S29 Distances Matrix'!AI46</f>
        <v>0</v>
      </c>
      <c r="AJ46" s="3">
        <f>'S28 Transportation Matrix'!AJ46*'S29 Distances Matrix'!AJ46</f>
        <v>0</v>
      </c>
      <c r="AK46" s="3">
        <f>'S28 Transportation Matrix'!AK46*'S29 Distances Matrix'!AK46</f>
        <v>7242</v>
      </c>
      <c r="AL46" s="3">
        <f>'S28 Transportation Matrix'!AL46*'S29 Distances Matrix'!AL46</f>
        <v>0</v>
      </c>
      <c r="AM46" s="3">
        <f>'S28 Transportation Matrix'!AM46*'S29 Distances Matrix'!AM46</f>
        <v>2403</v>
      </c>
      <c r="AN46" s="3">
        <f>'S28 Transportation Matrix'!AN46*'S29 Distances Matrix'!AN46</f>
        <v>0</v>
      </c>
      <c r="AO46" s="3">
        <f>'S28 Transportation Matrix'!AO46*'S29 Distances Matrix'!AO46</f>
        <v>9860</v>
      </c>
      <c r="AP46" s="3">
        <f>'S28 Transportation Matrix'!AP46*'S29 Distances Matrix'!AP46</f>
        <v>0</v>
      </c>
      <c r="AQ46" s="3">
        <f>'S28 Transportation Matrix'!AQ46*'S29 Distances Matrix'!AQ46</f>
        <v>0</v>
      </c>
      <c r="AR46" s="3">
        <f>'S28 Transportation Matrix'!AR46*'S29 Distances Matrix'!AR46</f>
        <v>0</v>
      </c>
      <c r="AS46" s="3">
        <f>'S28 Transportation Matrix'!AS46*'S29 Distances Matrix'!AS46</f>
        <v>0</v>
      </c>
    </row>
    <row r="47" spans="1:45">
      <c r="A47" s="288" t="s">
        <v>617</v>
      </c>
      <c r="B47" s="3">
        <f>'S28 Transportation Matrix'!B47*'S29 Distances Matrix'!B47</f>
        <v>0</v>
      </c>
      <c r="C47" s="3">
        <f>'S28 Transportation Matrix'!C47*'S29 Distances Matrix'!C47</f>
        <v>0</v>
      </c>
      <c r="D47" s="3">
        <f>'S28 Transportation Matrix'!D47*'S29 Distances Matrix'!D47</f>
        <v>0</v>
      </c>
      <c r="E47" s="3">
        <f>'S28 Transportation Matrix'!E47*'S29 Distances Matrix'!E47</f>
        <v>0</v>
      </c>
      <c r="F47" s="3">
        <f>'S28 Transportation Matrix'!F47*'S29 Distances Matrix'!F47</f>
        <v>0</v>
      </c>
      <c r="G47" s="3">
        <f>'S28 Transportation Matrix'!G47*'S29 Distances Matrix'!G47</f>
        <v>0</v>
      </c>
      <c r="H47" s="3">
        <f>'S28 Transportation Matrix'!H47*'S29 Distances Matrix'!H47</f>
        <v>0</v>
      </c>
      <c r="I47" s="3">
        <f>'S28 Transportation Matrix'!I47*'S29 Distances Matrix'!I47</f>
        <v>0</v>
      </c>
      <c r="J47" s="3">
        <f>'S28 Transportation Matrix'!J47*'S29 Distances Matrix'!J47</f>
        <v>0</v>
      </c>
      <c r="K47" s="3">
        <f>'S28 Transportation Matrix'!K47*'S29 Distances Matrix'!K47</f>
        <v>0</v>
      </c>
      <c r="L47" s="3">
        <f>'S28 Transportation Matrix'!L47*'S29 Distances Matrix'!L47</f>
        <v>0</v>
      </c>
      <c r="M47" s="3">
        <f>'S28 Transportation Matrix'!M47*'S29 Distances Matrix'!M47</f>
        <v>0</v>
      </c>
      <c r="N47" s="3">
        <f>'S28 Transportation Matrix'!N47*'S29 Distances Matrix'!N47</f>
        <v>0</v>
      </c>
      <c r="O47" s="3">
        <f>'S28 Transportation Matrix'!O47*'S29 Distances Matrix'!O47</f>
        <v>0</v>
      </c>
      <c r="P47" s="3">
        <f>'S28 Transportation Matrix'!P47*'S29 Distances Matrix'!P47</f>
        <v>0</v>
      </c>
      <c r="Q47" s="3">
        <f>'S28 Transportation Matrix'!Q47*'S29 Distances Matrix'!Q47</f>
        <v>0</v>
      </c>
      <c r="R47" s="3">
        <f>'S28 Transportation Matrix'!R47*'S29 Distances Matrix'!R47</f>
        <v>0</v>
      </c>
      <c r="S47" s="3">
        <f>'S28 Transportation Matrix'!S47*'S29 Distances Matrix'!S47</f>
        <v>0</v>
      </c>
      <c r="T47" s="3">
        <f>'S28 Transportation Matrix'!T47*'S29 Distances Matrix'!T47</f>
        <v>0</v>
      </c>
      <c r="U47" s="3">
        <f>'S28 Transportation Matrix'!U47*'S29 Distances Matrix'!U47</f>
        <v>0</v>
      </c>
      <c r="V47" s="3">
        <f>'S28 Transportation Matrix'!V47*'S29 Distances Matrix'!V47</f>
        <v>0</v>
      </c>
      <c r="W47" s="3">
        <f>'S28 Transportation Matrix'!W47*'S29 Distances Matrix'!W47</f>
        <v>0</v>
      </c>
      <c r="X47" s="3">
        <f>'S28 Transportation Matrix'!X47*'S29 Distances Matrix'!X47</f>
        <v>0</v>
      </c>
      <c r="Y47" s="3">
        <f>'S28 Transportation Matrix'!Y47*'S29 Distances Matrix'!Y47</f>
        <v>0</v>
      </c>
      <c r="Z47" s="3">
        <f>'S28 Transportation Matrix'!Z47*'S29 Distances Matrix'!Z47</f>
        <v>0</v>
      </c>
      <c r="AA47" s="3">
        <f>'S28 Transportation Matrix'!AA47*'S29 Distances Matrix'!AA47</f>
        <v>0</v>
      </c>
      <c r="AB47" s="3">
        <f>'S28 Transportation Matrix'!AB47*'S29 Distances Matrix'!AB47</f>
        <v>0</v>
      </c>
      <c r="AC47" s="3">
        <f>'S28 Transportation Matrix'!AC47*'S29 Distances Matrix'!AC47</f>
        <v>0</v>
      </c>
      <c r="AD47" s="3">
        <f>'S28 Transportation Matrix'!AD47*'S29 Distances Matrix'!AD47</f>
        <v>0</v>
      </c>
      <c r="AE47" s="3">
        <f>'S28 Transportation Matrix'!AE47*'S29 Distances Matrix'!AE47</f>
        <v>0</v>
      </c>
      <c r="AF47" s="3">
        <f>'S28 Transportation Matrix'!AF47*'S29 Distances Matrix'!AF47</f>
        <v>0</v>
      </c>
      <c r="AG47" s="3">
        <f>'S28 Transportation Matrix'!AG47*'S29 Distances Matrix'!AG47</f>
        <v>0</v>
      </c>
      <c r="AH47" s="3">
        <f>'S28 Transportation Matrix'!AH47*'S29 Distances Matrix'!AH47</f>
        <v>0</v>
      </c>
      <c r="AI47" s="3">
        <f>'S28 Transportation Matrix'!AI47*'S29 Distances Matrix'!AI47</f>
        <v>0</v>
      </c>
      <c r="AJ47" s="3">
        <f>'S28 Transportation Matrix'!AJ47*'S29 Distances Matrix'!AJ47</f>
        <v>0</v>
      </c>
      <c r="AK47" s="3">
        <f>'S28 Transportation Matrix'!AK47*'S29 Distances Matrix'!AK47</f>
        <v>0</v>
      </c>
      <c r="AL47" s="3">
        <f>'S28 Transportation Matrix'!AL47*'S29 Distances Matrix'!AL47</f>
        <v>0</v>
      </c>
      <c r="AM47" s="3">
        <f>'S28 Transportation Matrix'!AM47*'S29 Distances Matrix'!AM47</f>
        <v>0</v>
      </c>
      <c r="AN47" s="3">
        <f>'S28 Transportation Matrix'!AN47*'S29 Distances Matrix'!AN47</f>
        <v>0</v>
      </c>
      <c r="AO47" s="3">
        <f>'S28 Transportation Matrix'!AO47*'S29 Distances Matrix'!AO47</f>
        <v>0</v>
      </c>
      <c r="AP47" s="3">
        <f>'S28 Transportation Matrix'!AP47*'S29 Distances Matrix'!AP47</f>
        <v>0</v>
      </c>
      <c r="AQ47" s="3">
        <f>'S28 Transportation Matrix'!AQ47*'S29 Distances Matrix'!AQ47</f>
        <v>0</v>
      </c>
      <c r="AR47" s="3">
        <f>'S28 Transportation Matrix'!AR47*'S29 Distances Matrix'!AR47</f>
        <v>0</v>
      </c>
      <c r="AS47" s="3">
        <f>'S28 Transportation Matrix'!AS47*'S29 Distances Matrix'!AS47</f>
        <v>0</v>
      </c>
    </row>
  </sheetData>
  <conditionalFormatting sqref="B4:AS47">
    <cfRule type="cellIs" dxfId="1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F7F53-5B99-9643-BFB6-4382A8395616}">
  <sheetPr codeName="Sheet28"/>
  <dimension ref="A1:CH45"/>
  <sheetViews>
    <sheetView topLeftCell="A15" zoomScale="50" workbookViewId="0">
      <selection activeCell="AX45" sqref="AX45"/>
    </sheetView>
  </sheetViews>
  <sheetFormatPr baseColWidth="10" defaultRowHeight="16"/>
  <cols>
    <col min="1" max="1" width="12.6640625" customWidth="1"/>
  </cols>
  <sheetData>
    <row r="1" spans="1:86">
      <c r="A1" s="294" t="s">
        <v>1108</v>
      </c>
      <c r="E1" s="298" t="s">
        <v>1106</v>
      </c>
      <c r="F1" s="294" t="s">
        <v>574</v>
      </c>
      <c r="G1" s="294" t="s">
        <v>575</v>
      </c>
      <c r="H1" s="294" t="s">
        <v>576</v>
      </c>
      <c r="I1" s="294" t="s">
        <v>577</v>
      </c>
      <c r="J1" s="294" t="s">
        <v>578</v>
      </c>
      <c r="K1" s="294" t="s">
        <v>579</v>
      </c>
      <c r="L1" s="294" t="s">
        <v>580</v>
      </c>
      <c r="M1" s="294" t="s">
        <v>581</v>
      </c>
      <c r="N1" s="294" t="s">
        <v>582</v>
      </c>
      <c r="O1" s="294" t="s">
        <v>583</v>
      </c>
      <c r="P1" s="294" t="s">
        <v>584</v>
      </c>
      <c r="Q1" s="294" t="s">
        <v>585</v>
      </c>
      <c r="R1" s="294" t="s">
        <v>586</v>
      </c>
      <c r="S1" s="294" t="s">
        <v>587</v>
      </c>
      <c r="T1" s="294" t="s">
        <v>588</v>
      </c>
      <c r="U1" s="294" t="s">
        <v>589</v>
      </c>
      <c r="V1" s="294" t="s">
        <v>590</v>
      </c>
      <c r="W1" s="294" t="s">
        <v>591</v>
      </c>
      <c r="X1" s="294" t="s">
        <v>592</v>
      </c>
      <c r="Y1" s="294" t="s">
        <v>593</v>
      </c>
      <c r="Z1" s="294" t="s">
        <v>594</v>
      </c>
      <c r="AA1" s="294" t="s">
        <v>595</v>
      </c>
      <c r="AB1" s="294" t="s">
        <v>596</v>
      </c>
      <c r="AC1" s="294" t="s">
        <v>597</v>
      </c>
      <c r="AD1" s="294" t="s">
        <v>598</v>
      </c>
      <c r="AE1" s="294" t="s">
        <v>599</v>
      </c>
      <c r="AF1" s="294" t="s">
        <v>600</v>
      </c>
      <c r="AG1" s="294" t="s">
        <v>601</v>
      </c>
      <c r="AH1" s="294" t="s">
        <v>602</v>
      </c>
      <c r="AI1" s="294" t="s">
        <v>603</v>
      </c>
      <c r="AJ1" s="294" t="s">
        <v>604</v>
      </c>
      <c r="AK1" s="294" t="s">
        <v>605</v>
      </c>
      <c r="AL1" s="294" t="s">
        <v>606</v>
      </c>
      <c r="AM1" s="294" t="s">
        <v>607</v>
      </c>
      <c r="AN1" s="294" t="s">
        <v>608</v>
      </c>
      <c r="AO1" s="294" t="s">
        <v>609</v>
      </c>
      <c r="AP1" s="294" t="s">
        <v>610</v>
      </c>
      <c r="AQ1" s="294" t="s">
        <v>611</v>
      </c>
      <c r="AR1" s="294" t="s">
        <v>612</v>
      </c>
      <c r="AS1" s="294" t="s">
        <v>613</v>
      </c>
      <c r="AT1" s="294" t="s">
        <v>614</v>
      </c>
      <c r="AU1" s="294" t="s">
        <v>615</v>
      </c>
      <c r="AV1" s="294" t="s">
        <v>616</v>
      </c>
      <c r="AW1" s="294" t="s">
        <v>617</v>
      </c>
    </row>
    <row r="2" spans="1:86">
      <c r="A2" s="3">
        <f>ROUND(SQRT(_xlfn.XLOOKUP(E2, 'S26 Space Requirements'!$B$5:$B$30, 'S26 Space Requirements'!$R$5:$R$30, 0, 0)), 0)</f>
        <v>0</v>
      </c>
      <c r="E2" s="295" t="s">
        <v>574</v>
      </c>
      <c r="F2" s="3">
        <f>'S28 Transportation Matrix'!B4</f>
        <v>0</v>
      </c>
      <c r="G2" s="3">
        <f>'S28 Transportation Matrix'!C4</f>
        <v>0</v>
      </c>
      <c r="H2" s="3">
        <f>'S28 Transportation Matrix'!D4</f>
        <v>0</v>
      </c>
      <c r="I2" s="3">
        <f>'S28 Transportation Matrix'!E4</f>
        <v>0</v>
      </c>
      <c r="J2" s="3">
        <f>'S28 Transportation Matrix'!F4</f>
        <v>0</v>
      </c>
      <c r="K2" s="3">
        <f>'S28 Transportation Matrix'!G4</f>
        <v>0</v>
      </c>
      <c r="L2" s="3">
        <f>'S28 Transportation Matrix'!H4</f>
        <v>0</v>
      </c>
      <c r="M2" s="3">
        <f>'S28 Transportation Matrix'!I4</f>
        <v>0</v>
      </c>
      <c r="N2" s="3">
        <f>'S28 Transportation Matrix'!J4</f>
        <v>0</v>
      </c>
      <c r="O2" s="3">
        <f>'S28 Transportation Matrix'!K4</f>
        <v>0</v>
      </c>
      <c r="P2" s="3">
        <f>'S28 Transportation Matrix'!L4</f>
        <v>0</v>
      </c>
      <c r="Q2" s="3">
        <f>'S28 Transportation Matrix'!M4</f>
        <v>0</v>
      </c>
      <c r="R2" s="3">
        <f>'S28 Transportation Matrix'!N4</f>
        <v>0</v>
      </c>
      <c r="S2" s="3">
        <f>'S28 Transportation Matrix'!O4</f>
        <v>0</v>
      </c>
      <c r="T2" s="3">
        <f>'S28 Transportation Matrix'!P4</f>
        <v>0</v>
      </c>
      <c r="U2" s="3">
        <f>'S28 Transportation Matrix'!Q4</f>
        <v>0</v>
      </c>
      <c r="V2" s="3">
        <f>'S28 Transportation Matrix'!R4</f>
        <v>0</v>
      </c>
      <c r="W2" s="3">
        <f>'S28 Transportation Matrix'!S4</f>
        <v>0</v>
      </c>
      <c r="X2" s="3">
        <f>'S28 Transportation Matrix'!T4</f>
        <v>0</v>
      </c>
      <c r="Y2" s="3">
        <f>'S28 Transportation Matrix'!U4</f>
        <v>0</v>
      </c>
      <c r="Z2" s="3">
        <f>'S28 Transportation Matrix'!V4</f>
        <v>0</v>
      </c>
      <c r="AA2" s="3">
        <f>'S28 Transportation Matrix'!W4</f>
        <v>0</v>
      </c>
      <c r="AB2" s="3">
        <f>'S28 Transportation Matrix'!X4</f>
        <v>0</v>
      </c>
      <c r="AC2" s="3">
        <f>'S28 Transportation Matrix'!Y4</f>
        <v>0</v>
      </c>
      <c r="AD2" s="3">
        <f>'S28 Transportation Matrix'!Z4</f>
        <v>0</v>
      </c>
      <c r="AE2" s="3">
        <f>'S28 Transportation Matrix'!AA4</f>
        <v>0</v>
      </c>
      <c r="AF2" s="3">
        <f>'S28 Transportation Matrix'!AB4</f>
        <v>0</v>
      </c>
      <c r="AG2" s="3">
        <f>'S28 Transportation Matrix'!AC4</f>
        <v>0</v>
      </c>
      <c r="AH2" s="3">
        <f>'S28 Transportation Matrix'!AD4</f>
        <v>0</v>
      </c>
      <c r="AI2" s="3">
        <f>'S28 Transportation Matrix'!AE4</f>
        <v>0</v>
      </c>
      <c r="AJ2" s="3">
        <f>'S28 Transportation Matrix'!AF4</f>
        <v>0</v>
      </c>
      <c r="AK2" s="3">
        <f>'S28 Transportation Matrix'!AG4</f>
        <v>0</v>
      </c>
      <c r="AL2" s="3">
        <f>'S28 Transportation Matrix'!AH4</f>
        <v>0</v>
      </c>
      <c r="AM2" s="3">
        <f>'S28 Transportation Matrix'!AI4</f>
        <v>0</v>
      </c>
      <c r="AN2" s="3">
        <f>'S28 Transportation Matrix'!AJ4</f>
        <v>0</v>
      </c>
      <c r="AO2" s="3">
        <f>'S28 Transportation Matrix'!AK4</f>
        <v>0</v>
      </c>
      <c r="AP2" s="3">
        <f>'S28 Transportation Matrix'!AL4</f>
        <v>0</v>
      </c>
      <c r="AQ2" s="3">
        <f>'S28 Transportation Matrix'!AM4</f>
        <v>0</v>
      </c>
      <c r="AR2" s="3">
        <f>'S28 Transportation Matrix'!AN4</f>
        <v>0</v>
      </c>
      <c r="AS2" s="3">
        <f>'S28 Transportation Matrix'!AO4</f>
        <v>0</v>
      </c>
      <c r="AT2" s="3">
        <f>'S28 Transportation Matrix'!AP4</f>
        <v>0</v>
      </c>
      <c r="AU2" s="3">
        <f>'S28 Transportation Matrix'!AQ4</f>
        <v>0</v>
      </c>
      <c r="AV2" s="3">
        <f>'S28 Transportation Matrix'!AR4</f>
        <v>0</v>
      </c>
      <c r="AW2" s="3">
        <f>'S28 Transportation Matrix'!AS4</f>
        <v>0</v>
      </c>
    </row>
    <row r="3" spans="1:86" ht="17" thickBot="1">
      <c r="A3" s="3">
        <f>ROUND(SQRT(_xlfn.XLOOKUP(E3, 'S26 Space Requirements'!$B$5:$B$30, 'S26 Space Requirements'!$R$5:$R$30, 0, 0)), 0)</f>
        <v>23</v>
      </c>
      <c r="E3" s="295" t="s">
        <v>575</v>
      </c>
      <c r="F3" s="3">
        <f>'S28 Transportation Matrix'!B5</f>
        <v>0</v>
      </c>
      <c r="G3" s="3">
        <f>'S28 Transportation Matrix'!C5</f>
        <v>0</v>
      </c>
      <c r="H3" s="3">
        <f>'S28 Transportation Matrix'!D5</f>
        <v>0</v>
      </c>
      <c r="I3" s="3">
        <f>'S28 Transportation Matrix'!E5</f>
        <v>0</v>
      </c>
      <c r="J3" s="3">
        <f>'S28 Transportation Matrix'!F5</f>
        <v>0</v>
      </c>
      <c r="K3" s="3">
        <f>'S28 Transportation Matrix'!G5</f>
        <v>0</v>
      </c>
      <c r="L3" s="3">
        <f>'S28 Transportation Matrix'!H5</f>
        <v>0</v>
      </c>
      <c r="M3" s="3">
        <f>'S28 Transportation Matrix'!I5</f>
        <v>0</v>
      </c>
      <c r="N3" s="3">
        <f>'S28 Transportation Matrix'!J5</f>
        <v>0</v>
      </c>
      <c r="O3" s="3">
        <f>'S28 Transportation Matrix'!K5</f>
        <v>0</v>
      </c>
      <c r="P3" s="3">
        <f>'S28 Transportation Matrix'!L5</f>
        <v>0</v>
      </c>
      <c r="Q3" s="3">
        <f>'S28 Transportation Matrix'!M5</f>
        <v>0</v>
      </c>
      <c r="R3" s="3">
        <f>'S28 Transportation Matrix'!N5</f>
        <v>0</v>
      </c>
      <c r="S3" s="3">
        <f>'S28 Transportation Matrix'!O5</f>
        <v>0</v>
      </c>
      <c r="T3" s="3">
        <f>'S28 Transportation Matrix'!P5</f>
        <v>0</v>
      </c>
      <c r="U3" s="3">
        <f>'S28 Transportation Matrix'!Q5</f>
        <v>0</v>
      </c>
      <c r="V3" s="3">
        <f>'S28 Transportation Matrix'!R5</f>
        <v>0</v>
      </c>
      <c r="W3" s="3">
        <f>'S28 Transportation Matrix'!S5</f>
        <v>151</v>
      </c>
      <c r="X3" s="3">
        <f>'S28 Transportation Matrix'!T5</f>
        <v>0</v>
      </c>
      <c r="Y3" s="3">
        <f>'S28 Transportation Matrix'!U5</f>
        <v>0</v>
      </c>
      <c r="Z3" s="3">
        <f>'S28 Transportation Matrix'!V5</f>
        <v>0</v>
      </c>
      <c r="AA3" s="3">
        <f>'S28 Transportation Matrix'!W5</f>
        <v>0</v>
      </c>
      <c r="AB3" s="3">
        <f>'S28 Transportation Matrix'!X5</f>
        <v>0</v>
      </c>
      <c r="AC3" s="3">
        <f>'S28 Transportation Matrix'!Y5</f>
        <v>0</v>
      </c>
      <c r="AD3" s="3">
        <f>'S28 Transportation Matrix'!Z5</f>
        <v>0</v>
      </c>
      <c r="AE3" s="3">
        <f>'S28 Transportation Matrix'!AA5</f>
        <v>0</v>
      </c>
      <c r="AF3" s="3">
        <f>'S28 Transportation Matrix'!AB5</f>
        <v>0</v>
      </c>
      <c r="AG3" s="3">
        <f>'S28 Transportation Matrix'!AC5</f>
        <v>0</v>
      </c>
      <c r="AH3" s="3">
        <f>'S28 Transportation Matrix'!AD5</f>
        <v>0</v>
      </c>
      <c r="AI3" s="3">
        <f>'S28 Transportation Matrix'!AE5</f>
        <v>0</v>
      </c>
      <c r="AJ3" s="3">
        <f>'S28 Transportation Matrix'!AF5</f>
        <v>0</v>
      </c>
      <c r="AK3" s="3">
        <f>'S28 Transportation Matrix'!AG5</f>
        <v>0</v>
      </c>
      <c r="AL3" s="3">
        <f>'S28 Transportation Matrix'!AH5</f>
        <v>0</v>
      </c>
      <c r="AM3" s="3">
        <f>'S28 Transportation Matrix'!AI5</f>
        <v>0</v>
      </c>
      <c r="AN3" s="3">
        <f>'S28 Transportation Matrix'!AJ5</f>
        <v>0</v>
      </c>
      <c r="AO3" s="3">
        <f>'S28 Transportation Matrix'!AK5</f>
        <v>0</v>
      </c>
      <c r="AP3" s="3">
        <f>'S28 Transportation Matrix'!AL5</f>
        <v>0</v>
      </c>
      <c r="AQ3" s="3">
        <f>'S28 Transportation Matrix'!AM5</f>
        <v>0</v>
      </c>
      <c r="AR3" s="3">
        <f>'S28 Transportation Matrix'!AN5</f>
        <v>0</v>
      </c>
      <c r="AS3" s="3">
        <f>'S28 Transportation Matrix'!AO5</f>
        <v>0</v>
      </c>
      <c r="AT3" s="3">
        <f>'S28 Transportation Matrix'!AP5</f>
        <v>0</v>
      </c>
      <c r="AU3" s="3">
        <f>'S28 Transportation Matrix'!AQ5</f>
        <v>0</v>
      </c>
      <c r="AV3" s="3">
        <f>'S28 Transportation Matrix'!AR5</f>
        <v>0</v>
      </c>
      <c r="AW3" s="3">
        <f>'S28 Transportation Matrix'!AS5</f>
        <v>0</v>
      </c>
    </row>
    <row r="4" spans="1:86" ht="18" thickBot="1">
      <c r="A4" s="3">
        <f>ROUND(SQRT(_xlfn.XLOOKUP(E4, 'S26 Space Requirements'!$B$5:$B$30, 'S26 Space Requirements'!$R$5:$R$30, 0, 0)), 0)</f>
        <v>12</v>
      </c>
      <c r="E4" s="295" t="s">
        <v>576</v>
      </c>
      <c r="F4" s="3">
        <f>'S28 Transportation Matrix'!B6</f>
        <v>0</v>
      </c>
      <c r="G4" s="3">
        <f>'S28 Transportation Matrix'!C6</f>
        <v>0</v>
      </c>
      <c r="H4" s="3">
        <f>'S28 Transportation Matrix'!D6</f>
        <v>0</v>
      </c>
      <c r="I4" s="3">
        <f>'S28 Transportation Matrix'!E6</f>
        <v>0</v>
      </c>
      <c r="J4" s="3">
        <f>'S28 Transportation Matrix'!F6</f>
        <v>0</v>
      </c>
      <c r="K4" s="3">
        <f>'S28 Transportation Matrix'!G6</f>
        <v>0</v>
      </c>
      <c r="L4" s="3">
        <f>'S28 Transportation Matrix'!H6</f>
        <v>0</v>
      </c>
      <c r="M4" s="3">
        <f>'S28 Transportation Matrix'!I6</f>
        <v>0</v>
      </c>
      <c r="N4" s="3">
        <f>'S28 Transportation Matrix'!J6</f>
        <v>0</v>
      </c>
      <c r="O4" s="3">
        <f>'S28 Transportation Matrix'!K6</f>
        <v>0</v>
      </c>
      <c r="P4" s="3">
        <f>'S28 Transportation Matrix'!L6</f>
        <v>0</v>
      </c>
      <c r="Q4" s="3">
        <f>'S28 Transportation Matrix'!M6</f>
        <v>0</v>
      </c>
      <c r="R4" s="3">
        <f>'S28 Transportation Matrix'!N6</f>
        <v>0</v>
      </c>
      <c r="S4" s="3">
        <f>'S28 Transportation Matrix'!O6</f>
        <v>0</v>
      </c>
      <c r="T4" s="3">
        <f>'S28 Transportation Matrix'!P6</f>
        <v>0</v>
      </c>
      <c r="U4" s="3">
        <f>'S28 Transportation Matrix'!Q6</f>
        <v>0</v>
      </c>
      <c r="V4" s="3">
        <f>'S28 Transportation Matrix'!R6</f>
        <v>0</v>
      </c>
      <c r="W4" s="3">
        <f>'S28 Transportation Matrix'!S6</f>
        <v>0</v>
      </c>
      <c r="X4" s="3">
        <f>'S28 Transportation Matrix'!T6</f>
        <v>0</v>
      </c>
      <c r="Y4" s="3">
        <f>'S28 Transportation Matrix'!U6</f>
        <v>0</v>
      </c>
      <c r="Z4" s="3">
        <f>'S28 Transportation Matrix'!V6</f>
        <v>0</v>
      </c>
      <c r="AA4" s="3">
        <f>'S28 Transportation Matrix'!W6</f>
        <v>0</v>
      </c>
      <c r="AB4" s="3">
        <f>'S28 Transportation Matrix'!X6</f>
        <v>71</v>
      </c>
      <c r="AC4" s="3">
        <f>'S28 Transportation Matrix'!Y6</f>
        <v>0</v>
      </c>
      <c r="AD4" s="3">
        <f>'S28 Transportation Matrix'!Z6</f>
        <v>0</v>
      </c>
      <c r="AE4" s="3">
        <f>'S28 Transportation Matrix'!AA6</f>
        <v>0</v>
      </c>
      <c r="AF4" s="3">
        <f>'S28 Transportation Matrix'!AB6</f>
        <v>0</v>
      </c>
      <c r="AG4" s="3">
        <f>'S28 Transportation Matrix'!AC6</f>
        <v>0</v>
      </c>
      <c r="AH4" s="3">
        <f>'S28 Transportation Matrix'!AD6</f>
        <v>0</v>
      </c>
      <c r="AI4" s="3">
        <f>'S28 Transportation Matrix'!AE6</f>
        <v>0</v>
      </c>
      <c r="AJ4" s="3">
        <f>'S28 Transportation Matrix'!AF6</f>
        <v>0</v>
      </c>
      <c r="AK4" s="3">
        <f>'S28 Transportation Matrix'!AG6</f>
        <v>0</v>
      </c>
      <c r="AL4" s="3">
        <f>'S28 Transportation Matrix'!AH6</f>
        <v>0</v>
      </c>
      <c r="AM4" s="3">
        <f>'S28 Transportation Matrix'!AI6</f>
        <v>0</v>
      </c>
      <c r="AN4" s="3">
        <f>'S28 Transportation Matrix'!AJ6</f>
        <v>0</v>
      </c>
      <c r="AO4" s="3">
        <f>'S28 Transportation Matrix'!AK6</f>
        <v>0</v>
      </c>
      <c r="AP4" s="3">
        <f>'S28 Transportation Matrix'!AL6</f>
        <v>0</v>
      </c>
      <c r="AQ4" s="3">
        <f>'S28 Transportation Matrix'!AM6</f>
        <v>0</v>
      </c>
      <c r="AR4" s="3">
        <f>'S28 Transportation Matrix'!AN6</f>
        <v>0</v>
      </c>
      <c r="AS4" s="3">
        <f>'S28 Transportation Matrix'!AO6</f>
        <v>0</v>
      </c>
      <c r="AT4" s="3">
        <f>'S28 Transportation Matrix'!AP6</f>
        <v>0</v>
      </c>
      <c r="AU4" s="3">
        <f>'S28 Transportation Matrix'!AQ6</f>
        <v>0</v>
      </c>
      <c r="AV4" s="3">
        <f>'S28 Transportation Matrix'!AR6</f>
        <v>0</v>
      </c>
      <c r="AW4" s="3">
        <f>'S28 Transportation Matrix'!AS6</f>
        <v>0</v>
      </c>
      <c r="BH4" s="296"/>
      <c r="BI4" s="52" t="s">
        <v>566</v>
      </c>
      <c r="BJ4" s="411" t="s">
        <v>567</v>
      </c>
      <c r="BK4" s="412"/>
      <c r="BL4" s="413"/>
      <c r="BM4" s="408" t="s">
        <v>568</v>
      </c>
      <c r="BN4" s="409"/>
      <c r="BO4" s="410"/>
      <c r="BP4" s="411" t="s">
        <v>569</v>
      </c>
      <c r="BQ4" s="412"/>
      <c r="BR4" s="412"/>
      <c r="BS4" s="412"/>
      <c r="BT4" s="412"/>
      <c r="BU4" s="412"/>
      <c r="BV4" s="412"/>
      <c r="BW4" s="413"/>
      <c r="BX4" s="408" t="s">
        <v>570</v>
      </c>
      <c r="BY4" s="409"/>
      <c r="BZ4" s="409"/>
      <c r="CA4" s="410"/>
      <c r="CB4" s="411" t="s">
        <v>571</v>
      </c>
      <c r="CC4" s="413"/>
      <c r="CD4" s="408" t="s">
        <v>567</v>
      </c>
      <c r="CE4" s="409"/>
      <c r="CF4" s="410"/>
      <c r="CG4" s="110" t="s">
        <v>572</v>
      </c>
      <c r="CH4" s="52" t="s">
        <v>566</v>
      </c>
    </row>
    <row r="5" spans="1:86" ht="18" thickBot="1">
      <c r="A5" s="3">
        <f>ROUND(SQRT(_xlfn.XLOOKUP(E5, 'S26 Space Requirements'!$B$5:$B$30, 'S26 Space Requirements'!$R$5:$R$30, 0, 0)), 0)</f>
        <v>11</v>
      </c>
      <c r="E5" s="295" t="s">
        <v>577</v>
      </c>
      <c r="F5" s="3">
        <f>'S28 Transportation Matrix'!B7</f>
        <v>0</v>
      </c>
      <c r="G5" s="3">
        <f>'S28 Transportation Matrix'!C7</f>
        <v>0</v>
      </c>
      <c r="H5" s="3">
        <f>'S28 Transportation Matrix'!D7</f>
        <v>71</v>
      </c>
      <c r="I5" s="3">
        <f>'S28 Transportation Matrix'!E7</f>
        <v>0</v>
      </c>
      <c r="J5" s="3">
        <f>'S28 Transportation Matrix'!F7</f>
        <v>0</v>
      </c>
      <c r="K5" s="3">
        <f>'S28 Transportation Matrix'!G7</f>
        <v>0</v>
      </c>
      <c r="L5" s="3">
        <f>'S28 Transportation Matrix'!H7</f>
        <v>0</v>
      </c>
      <c r="M5" s="3">
        <f>'S28 Transportation Matrix'!I7</f>
        <v>0</v>
      </c>
      <c r="N5" s="3">
        <f>'S28 Transportation Matrix'!J7</f>
        <v>0</v>
      </c>
      <c r="O5" s="3">
        <f>'S28 Transportation Matrix'!K7</f>
        <v>0</v>
      </c>
      <c r="P5" s="3">
        <f>'S28 Transportation Matrix'!L7</f>
        <v>0</v>
      </c>
      <c r="Q5" s="3">
        <f>'S28 Transportation Matrix'!M7</f>
        <v>0</v>
      </c>
      <c r="R5" s="3">
        <f>'S28 Transportation Matrix'!N7</f>
        <v>0</v>
      </c>
      <c r="S5" s="3">
        <f>'S28 Transportation Matrix'!O7</f>
        <v>0</v>
      </c>
      <c r="T5" s="3">
        <f>'S28 Transportation Matrix'!P7</f>
        <v>0</v>
      </c>
      <c r="U5" s="3">
        <f>'S28 Transportation Matrix'!Q7</f>
        <v>0</v>
      </c>
      <c r="V5" s="3">
        <f>'S28 Transportation Matrix'!R7</f>
        <v>0</v>
      </c>
      <c r="W5" s="3">
        <f>'S28 Transportation Matrix'!S7</f>
        <v>0</v>
      </c>
      <c r="X5" s="3">
        <f>'S28 Transportation Matrix'!T7</f>
        <v>0</v>
      </c>
      <c r="Y5" s="3">
        <f>'S28 Transportation Matrix'!U7</f>
        <v>0</v>
      </c>
      <c r="Z5" s="3">
        <f>'S28 Transportation Matrix'!V7</f>
        <v>0</v>
      </c>
      <c r="AA5" s="3">
        <f>'S28 Transportation Matrix'!W7</f>
        <v>0</v>
      </c>
      <c r="AB5" s="3">
        <f>'S28 Transportation Matrix'!X7</f>
        <v>0</v>
      </c>
      <c r="AC5" s="3">
        <f>'S28 Transportation Matrix'!Y7</f>
        <v>0</v>
      </c>
      <c r="AD5" s="3">
        <f>'S28 Transportation Matrix'!Z7</f>
        <v>0</v>
      </c>
      <c r="AE5" s="3">
        <f>'S28 Transportation Matrix'!AA7</f>
        <v>0</v>
      </c>
      <c r="AF5" s="3">
        <f>'S28 Transportation Matrix'!AB7</f>
        <v>0</v>
      </c>
      <c r="AG5" s="3">
        <f>'S28 Transportation Matrix'!AC7</f>
        <v>0</v>
      </c>
      <c r="AH5" s="3">
        <f>'S28 Transportation Matrix'!AD7</f>
        <v>0</v>
      </c>
      <c r="AI5" s="3">
        <f>'S28 Transportation Matrix'!AE7</f>
        <v>0</v>
      </c>
      <c r="AJ5" s="3">
        <f>'S28 Transportation Matrix'!AF7</f>
        <v>0</v>
      </c>
      <c r="AK5" s="3">
        <f>'S28 Transportation Matrix'!AG7</f>
        <v>0</v>
      </c>
      <c r="AL5" s="3">
        <f>'S28 Transportation Matrix'!AH7</f>
        <v>0</v>
      </c>
      <c r="AM5" s="3">
        <f>'S28 Transportation Matrix'!AI7</f>
        <v>0</v>
      </c>
      <c r="AN5" s="3">
        <f>'S28 Transportation Matrix'!AJ7</f>
        <v>0</v>
      </c>
      <c r="AO5" s="3">
        <f>'S28 Transportation Matrix'!AK7</f>
        <v>0</v>
      </c>
      <c r="AP5" s="3">
        <f>'S28 Transportation Matrix'!AL7</f>
        <v>0</v>
      </c>
      <c r="AQ5" s="3">
        <f>'S28 Transportation Matrix'!AM7</f>
        <v>0</v>
      </c>
      <c r="AR5" s="3">
        <f>'S28 Transportation Matrix'!AN7</f>
        <v>0</v>
      </c>
      <c r="AS5" s="3">
        <f>'S28 Transportation Matrix'!AO7</f>
        <v>0</v>
      </c>
      <c r="AT5" s="3">
        <f>'S28 Transportation Matrix'!AP7</f>
        <v>0</v>
      </c>
      <c r="AU5" s="3">
        <f>'S28 Transportation Matrix'!AQ7</f>
        <v>0</v>
      </c>
      <c r="AV5" s="3">
        <f>'S28 Transportation Matrix'!AR7</f>
        <v>0</v>
      </c>
      <c r="AW5" s="3">
        <f>'S28 Transportation Matrix'!AS7</f>
        <v>0</v>
      </c>
      <c r="BG5" s="297" t="s">
        <v>1107</v>
      </c>
      <c r="BH5" s="123" t="str">
        <f>'S14 Clustering'!A2</f>
        <v>Item ID</v>
      </c>
      <c r="BI5" s="111" t="str">
        <f>'S14 Clustering'!B2</f>
        <v>WS-43</v>
      </c>
      <c r="BJ5" s="112" t="str">
        <f>'S14 Clustering'!C2</f>
        <v>WS-36</v>
      </c>
      <c r="BK5" s="113" t="str">
        <f>'S14 Clustering'!D2</f>
        <v>WS-38</v>
      </c>
      <c r="BL5" s="114" t="str">
        <f>'S14 Clustering'!E2</f>
        <v>WS-40</v>
      </c>
      <c r="BM5" s="115" t="str">
        <f>'S14 Clustering'!F2</f>
        <v>WS-02</v>
      </c>
      <c r="BN5" s="116" t="str">
        <f>'S14 Clustering'!G2</f>
        <v>WS-04</v>
      </c>
      <c r="BO5" s="117" t="str">
        <f>'S14 Clustering'!H2</f>
        <v>WS-07</v>
      </c>
      <c r="BP5" s="112" t="str">
        <f>'S14 Clustering'!I2</f>
        <v>WS-03</v>
      </c>
      <c r="BQ5" s="113" t="str">
        <f>'S14 Clustering'!J2</f>
        <v>WS-05</v>
      </c>
      <c r="BR5" s="113" t="str">
        <f>'S14 Clustering'!K2</f>
        <v>WS-08</v>
      </c>
      <c r="BS5" s="113" t="str">
        <f>'S14 Clustering'!L2</f>
        <v>WS-18</v>
      </c>
      <c r="BT5" s="113" t="str">
        <f>'S14 Clustering'!M2</f>
        <v>WS-20</v>
      </c>
      <c r="BU5" s="113" t="str">
        <f>'S14 Clustering'!N2</f>
        <v>WS-21</v>
      </c>
      <c r="BV5" s="113" t="str">
        <f>'S14 Clustering'!O2</f>
        <v>WS-23</v>
      </c>
      <c r="BW5" s="114" t="str">
        <f>'S14 Clustering'!P2</f>
        <v>WS-24</v>
      </c>
      <c r="BX5" s="115" t="str">
        <f>'S14 Clustering'!Q2</f>
        <v>WS-25</v>
      </c>
      <c r="BY5" s="116" t="str">
        <f>'S14 Clustering'!R2</f>
        <v>WS-26</v>
      </c>
      <c r="BZ5" s="116" t="str">
        <f>'S14 Clustering'!S2</f>
        <v>WS-28</v>
      </c>
      <c r="CA5" s="117" t="str">
        <f>'S14 Clustering'!T2</f>
        <v>WS-31</v>
      </c>
      <c r="CB5" s="112" t="str">
        <f>'S14 Clustering'!U2</f>
        <v>WS-27</v>
      </c>
      <c r="CC5" s="114" t="str">
        <f>'S14 Clustering'!V2</f>
        <v>WS-29</v>
      </c>
      <c r="CD5" s="115" t="str">
        <f>'S14 Clustering'!W2</f>
        <v>WS-32</v>
      </c>
      <c r="CE5" s="116" t="str">
        <f>'S14 Clustering'!X2</f>
        <v>WS-33</v>
      </c>
      <c r="CF5" s="117" t="str">
        <f>'S14 Clustering'!Y2</f>
        <v>WS-34</v>
      </c>
      <c r="CG5" s="118" t="str">
        <f>'S14 Clustering'!Z2</f>
        <v>WS-42</v>
      </c>
      <c r="CH5" s="111" t="str">
        <f>'S14 Clustering'!AA2</f>
        <v>WS-44</v>
      </c>
    </row>
    <row r="6" spans="1:86" ht="17">
      <c r="A6" s="3">
        <f>ROUND(SQRT(_xlfn.XLOOKUP(E6, 'S26 Space Requirements'!$B$5:$B$30, 'S26 Space Requirements'!$R$5:$R$30, 0, 0)), 0)</f>
        <v>33</v>
      </c>
      <c r="E6" s="295" t="s">
        <v>578</v>
      </c>
      <c r="F6" s="3">
        <f>'S28 Transportation Matrix'!B8</f>
        <v>0</v>
      </c>
      <c r="G6" s="3">
        <f>'S28 Transportation Matrix'!C8</f>
        <v>0</v>
      </c>
      <c r="H6" s="3">
        <f>'S28 Transportation Matrix'!D8</f>
        <v>0</v>
      </c>
      <c r="I6" s="3">
        <f>'S28 Transportation Matrix'!E8</f>
        <v>0</v>
      </c>
      <c r="J6" s="3">
        <f>'S28 Transportation Matrix'!F8</f>
        <v>0</v>
      </c>
      <c r="K6" s="3">
        <f>'S28 Transportation Matrix'!G8</f>
        <v>0</v>
      </c>
      <c r="L6" s="3">
        <f>'S28 Transportation Matrix'!H8</f>
        <v>0</v>
      </c>
      <c r="M6" s="3">
        <f>'S28 Transportation Matrix'!I8</f>
        <v>0</v>
      </c>
      <c r="N6" s="3">
        <f>'S28 Transportation Matrix'!J8</f>
        <v>0</v>
      </c>
      <c r="O6" s="3">
        <f>'S28 Transportation Matrix'!K8</f>
        <v>0</v>
      </c>
      <c r="P6" s="3">
        <f>'S28 Transportation Matrix'!L8</f>
        <v>0</v>
      </c>
      <c r="Q6" s="3">
        <f>'S28 Transportation Matrix'!M8</f>
        <v>0</v>
      </c>
      <c r="R6" s="3">
        <f>'S28 Transportation Matrix'!N8</f>
        <v>0</v>
      </c>
      <c r="S6" s="3">
        <f>'S28 Transportation Matrix'!O8</f>
        <v>0</v>
      </c>
      <c r="T6" s="3">
        <f>'S28 Transportation Matrix'!P8</f>
        <v>0</v>
      </c>
      <c r="U6" s="3">
        <f>'S28 Transportation Matrix'!Q8</f>
        <v>0</v>
      </c>
      <c r="V6" s="3">
        <f>'S28 Transportation Matrix'!R8</f>
        <v>0</v>
      </c>
      <c r="W6" s="3">
        <f>'S28 Transportation Matrix'!S8</f>
        <v>0</v>
      </c>
      <c r="X6" s="3">
        <f>'S28 Transportation Matrix'!T8</f>
        <v>0</v>
      </c>
      <c r="Y6" s="3">
        <f>'S28 Transportation Matrix'!U8</f>
        <v>0</v>
      </c>
      <c r="Z6" s="3">
        <f>'S28 Transportation Matrix'!V8</f>
        <v>0</v>
      </c>
      <c r="AA6" s="3">
        <f>'S28 Transportation Matrix'!W8</f>
        <v>0</v>
      </c>
      <c r="AB6" s="3">
        <f>'S28 Transportation Matrix'!X8</f>
        <v>0</v>
      </c>
      <c r="AC6" s="3">
        <f>'S28 Transportation Matrix'!Y8</f>
        <v>0</v>
      </c>
      <c r="AD6" s="3">
        <f>'S28 Transportation Matrix'!Z8</f>
        <v>213</v>
      </c>
      <c r="AE6" s="3">
        <f>'S28 Transportation Matrix'!AA8</f>
        <v>0</v>
      </c>
      <c r="AF6" s="3">
        <f>'S28 Transportation Matrix'!AB8</f>
        <v>0</v>
      </c>
      <c r="AG6" s="3">
        <f>'S28 Transportation Matrix'!AC8</f>
        <v>0</v>
      </c>
      <c r="AH6" s="3">
        <f>'S28 Transportation Matrix'!AD8</f>
        <v>0</v>
      </c>
      <c r="AI6" s="3">
        <f>'S28 Transportation Matrix'!AE8</f>
        <v>0</v>
      </c>
      <c r="AJ6" s="3">
        <f>'S28 Transportation Matrix'!AF8</f>
        <v>0</v>
      </c>
      <c r="AK6" s="3">
        <f>'S28 Transportation Matrix'!AG8</f>
        <v>0</v>
      </c>
      <c r="AL6" s="3">
        <f>'S28 Transportation Matrix'!AH8</f>
        <v>0</v>
      </c>
      <c r="AM6" s="3">
        <f>'S28 Transportation Matrix'!AI8</f>
        <v>0</v>
      </c>
      <c r="AN6" s="3">
        <f>'S28 Transportation Matrix'!AJ8</f>
        <v>0</v>
      </c>
      <c r="AO6" s="3">
        <f>'S28 Transportation Matrix'!AK8</f>
        <v>0</v>
      </c>
      <c r="AP6" s="3">
        <f>'S28 Transportation Matrix'!AL8</f>
        <v>0</v>
      </c>
      <c r="AQ6" s="3">
        <f>'S28 Transportation Matrix'!AM8</f>
        <v>0</v>
      </c>
      <c r="AR6" s="3">
        <f>'S28 Transportation Matrix'!AN8</f>
        <v>0</v>
      </c>
      <c r="AS6" s="3">
        <f>'S28 Transportation Matrix'!AO8</f>
        <v>0</v>
      </c>
      <c r="AT6" s="3">
        <f>'S28 Transportation Matrix'!AP8</f>
        <v>0</v>
      </c>
      <c r="AU6" s="3">
        <f>'S28 Transportation Matrix'!AQ8</f>
        <v>0</v>
      </c>
      <c r="AV6" s="3">
        <f>'S28 Transportation Matrix'!AR8</f>
        <v>0</v>
      </c>
      <c r="AW6" s="3">
        <f>'S28 Transportation Matrix'!AS8</f>
        <v>0</v>
      </c>
      <c r="BG6" s="3">
        <v>1</v>
      </c>
      <c r="BH6" s="142" t="str">
        <f>'S14 Clustering'!A3</f>
        <v>I-004</v>
      </c>
      <c r="BI6" s="119">
        <f>'S14 Clustering'!B3</f>
        <v>10</v>
      </c>
      <c r="BJ6" s="131">
        <f>'S14 Clustering'!C3</f>
        <v>20</v>
      </c>
      <c r="BK6" s="132" t="str">
        <f>'S14 Clustering'!D3</f>
        <v/>
      </c>
      <c r="BL6" s="133" t="str">
        <f>'S14 Clustering'!E3</f>
        <v/>
      </c>
      <c r="BM6" s="134" t="str">
        <f>'S14 Clustering'!F3</f>
        <v/>
      </c>
      <c r="BN6" s="135" t="str">
        <f>'S14 Clustering'!G3</f>
        <v/>
      </c>
      <c r="BO6" s="136" t="str">
        <f>'S14 Clustering'!H3</f>
        <v/>
      </c>
      <c r="BP6" s="131" t="str">
        <f>'S14 Clustering'!I3</f>
        <v/>
      </c>
      <c r="BQ6" s="132">
        <f>'S14 Clustering'!J3</f>
        <v>30</v>
      </c>
      <c r="BR6" s="132" t="str">
        <f>'S14 Clustering'!K3</f>
        <v/>
      </c>
      <c r="BS6" s="132" t="str">
        <f>'S14 Clustering'!L3</f>
        <v/>
      </c>
      <c r="BT6" s="132" t="str">
        <f>'S14 Clustering'!M3</f>
        <v/>
      </c>
      <c r="BU6" s="132" t="str">
        <f>'S14 Clustering'!N3</f>
        <v/>
      </c>
      <c r="BV6" s="132" t="str">
        <f>'S14 Clustering'!O3</f>
        <v/>
      </c>
      <c r="BW6" s="133" t="str">
        <f>'S14 Clustering'!P3</f>
        <v/>
      </c>
      <c r="BX6" s="134">
        <f>'S14 Clustering'!Q3</f>
        <v>40</v>
      </c>
      <c r="BY6" s="135" t="str">
        <f>'S14 Clustering'!R3</f>
        <v/>
      </c>
      <c r="BZ6" s="135" t="str">
        <f>'S14 Clustering'!S3</f>
        <v/>
      </c>
      <c r="CA6" s="136" t="str">
        <f>'S14 Clustering'!T3</f>
        <v/>
      </c>
      <c r="CB6" s="131" t="str">
        <f>'S14 Clustering'!U3</f>
        <v/>
      </c>
      <c r="CC6" s="133" t="str">
        <f>'S14 Clustering'!V3</f>
        <v/>
      </c>
      <c r="CD6" s="134" t="str">
        <f>'S14 Clustering'!W3</f>
        <v/>
      </c>
      <c r="CE6" s="135" t="str">
        <f>'S14 Clustering'!X3</f>
        <v/>
      </c>
      <c r="CF6" s="136">
        <f>'S14 Clustering'!Y3</f>
        <v>50</v>
      </c>
      <c r="CG6" s="120" t="str">
        <f>'S14 Clustering'!Z3</f>
        <v/>
      </c>
      <c r="CH6" s="119">
        <f>'S14 Clustering'!AA3</f>
        <v>60</v>
      </c>
    </row>
    <row r="7" spans="1:86" ht="17">
      <c r="A7" s="3">
        <f>ROUND(SQRT(_xlfn.XLOOKUP(E7, 'S26 Space Requirements'!$B$5:$B$30, 'S26 Space Requirements'!$R$5:$R$30, 0, 0)), 0)</f>
        <v>0</v>
      </c>
      <c r="E7" s="295" t="s">
        <v>579</v>
      </c>
      <c r="F7" s="3">
        <f>'S28 Transportation Matrix'!B9</f>
        <v>0</v>
      </c>
      <c r="G7" s="3">
        <f>'S28 Transportation Matrix'!C9</f>
        <v>0</v>
      </c>
      <c r="H7" s="3">
        <f>'S28 Transportation Matrix'!D9</f>
        <v>0</v>
      </c>
      <c r="I7" s="3">
        <f>'S28 Transportation Matrix'!E9</f>
        <v>0</v>
      </c>
      <c r="J7" s="3">
        <f>'S28 Transportation Matrix'!F9</f>
        <v>0</v>
      </c>
      <c r="K7" s="3">
        <f>'S28 Transportation Matrix'!G9</f>
        <v>0</v>
      </c>
      <c r="L7" s="3">
        <f>'S28 Transportation Matrix'!H9</f>
        <v>0</v>
      </c>
      <c r="M7" s="3">
        <f>'S28 Transportation Matrix'!I9</f>
        <v>0</v>
      </c>
      <c r="N7" s="3">
        <f>'S28 Transportation Matrix'!J9</f>
        <v>0</v>
      </c>
      <c r="O7" s="3">
        <f>'S28 Transportation Matrix'!K9</f>
        <v>0</v>
      </c>
      <c r="P7" s="3">
        <f>'S28 Transportation Matrix'!L9</f>
        <v>0</v>
      </c>
      <c r="Q7" s="3">
        <f>'S28 Transportation Matrix'!M9</f>
        <v>0</v>
      </c>
      <c r="R7" s="3">
        <f>'S28 Transportation Matrix'!N9</f>
        <v>0</v>
      </c>
      <c r="S7" s="3">
        <f>'S28 Transportation Matrix'!O9</f>
        <v>0</v>
      </c>
      <c r="T7" s="3">
        <f>'S28 Transportation Matrix'!P9</f>
        <v>0</v>
      </c>
      <c r="U7" s="3">
        <f>'S28 Transportation Matrix'!Q9</f>
        <v>0</v>
      </c>
      <c r="V7" s="3">
        <f>'S28 Transportation Matrix'!R9</f>
        <v>0</v>
      </c>
      <c r="W7" s="3">
        <f>'S28 Transportation Matrix'!S9</f>
        <v>0</v>
      </c>
      <c r="X7" s="3">
        <f>'S28 Transportation Matrix'!T9</f>
        <v>0</v>
      </c>
      <c r="Y7" s="3">
        <f>'S28 Transportation Matrix'!U9</f>
        <v>0</v>
      </c>
      <c r="Z7" s="3">
        <f>'S28 Transportation Matrix'!V9</f>
        <v>0</v>
      </c>
      <c r="AA7" s="3">
        <f>'S28 Transportation Matrix'!W9</f>
        <v>0</v>
      </c>
      <c r="AB7" s="3">
        <f>'S28 Transportation Matrix'!X9</f>
        <v>0</v>
      </c>
      <c r="AC7" s="3">
        <f>'S28 Transportation Matrix'!Y9</f>
        <v>0</v>
      </c>
      <c r="AD7" s="3">
        <f>'S28 Transportation Matrix'!Z9</f>
        <v>0</v>
      </c>
      <c r="AE7" s="3">
        <f>'S28 Transportation Matrix'!AA9</f>
        <v>0</v>
      </c>
      <c r="AF7" s="3">
        <f>'S28 Transportation Matrix'!AB9</f>
        <v>0</v>
      </c>
      <c r="AG7" s="3">
        <f>'S28 Transportation Matrix'!AC9</f>
        <v>0</v>
      </c>
      <c r="AH7" s="3">
        <f>'S28 Transportation Matrix'!AD9</f>
        <v>0</v>
      </c>
      <c r="AI7" s="3">
        <f>'S28 Transportation Matrix'!AE9</f>
        <v>0</v>
      </c>
      <c r="AJ7" s="3">
        <f>'S28 Transportation Matrix'!AF9</f>
        <v>0</v>
      </c>
      <c r="AK7" s="3">
        <f>'S28 Transportation Matrix'!AG9</f>
        <v>0</v>
      </c>
      <c r="AL7" s="3">
        <f>'S28 Transportation Matrix'!AH9</f>
        <v>0</v>
      </c>
      <c r="AM7" s="3">
        <f>'S28 Transportation Matrix'!AI9</f>
        <v>0</v>
      </c>
      <c r="AN7" s="3">
        <f>'S28 Transportation Matrix'!AJ9</f>
        <v>0</v>
      </c>
      <c r="AO7" s="3">
        <f>'S28 Transportation Matrix'!AK9</f>
        <v>0</v>
      </c>
      <c r="AP7" s="3">
        <f>'S28 Transportation Matrix'!AL9</f>
        <v>0</v>
      </c>
      <c r="AQ7" s="3">
        <f>'S28 Transportation Matrix'!AM9</f>
        <v>0</v>
      </c>
      <c r="AR7" s="3">
        <f>'S28 Transportation Matrix'!AN9</f>
        <v>0</v>
      </c>
      <c r="AS7" s="3">
        <f>'S28 Transportation Matrix'!AO9</f>
        <v>0</v>
      </c>
      <c r="AT7" s="3">
        <f>'S28 Transportation Matrix'!AP9</f>
        <v>0</v>
      </c>
      <c r="AU7" s="3">
        <f>'S28 Transportation Matrix'!AQ9</f>
        <v>0</v>
      </c>
      <c r="AV7" s="3">
        <f>'S28 Transportation Matrix'!AR9</f>
        <v>0</v>
      </c>
      <c r="AW7" s="3">
        <f>'S28 Transportation Matrix'!AS9</f>
        <v>0</v>
      </c>
      <c r="BG7" s="3">
        <v>1</v>
      </c>
      <c r="BH7" s="143" t="str">
        <f>'S14 Clustering'!A4</f>
        <v>I-066</v>
      </c>
      <c r="BI7" s="59">
        <f>'S14 Clustering'!B4</f>
        <v>10</v>
      </c>
      <c r="BJ7" s="124">
        <f>'S14 Clustering'!C4</f>
        <v>20</v>
      </c>
      <c r="BK7" s="122" t="str">
        <f>'S14 Clustering'!D4</f>
        <v/>
      </c>
      <c r="BL7" s="125" t="str">
        <f>'S14 Clustering'!E4</f>
        <v/>
      </c>
      <c r="BM7" s="60" t="str">
        <f>'S14 Clustering'!F4</f>
        <v/>
      </c>
      <c r="BN7" s="4" t="str">
        <f>'S14 Clustering'!G4</f>
        <v/>
      </c>
      <c r="BO7" s="61" t="str">
        <f>'S14 Clustering'!H4</f>
        <v/>
      </c>
      <c r="BP7" s="124" t="str">
        <f>'S14 Clustering'!I4</f>
        <v/>
      </c>
      <c r="BQ7" s="122">
        <f>'S14 Clustering'!J4</f>
        <v>30</v>
      </c>
      <c r="BR7" s="122" t="str">
        <f>'S14 Clustering'!K4</f>
        <v/>
      </c>
      <c r="BS7" s="122" t="str">
        <f>'S14 Clustering'!L4</f>
        <v/>
      </c>
      <c r="BT7" s="122" t="str">
        <f>'S14 Clustering'!M4</f>
        <v/>
      </c>
      <c r="BU7" s="122" t="str">
        <f>'S14 Clustering'!N4</f>
        <v/>
      </c>
      <c r="BV7" s="122" t="str">
        <f>'S14 Clustering'!O4</f>
        <v/>
      </c>
      <c r="BW7" s="125" t="str">
        <f>'S14 Clustering'!P4</f>
        <v/>
      </c>
      <c r="BX7" s="60">
        <f>'S14 Clustering'!Q4</f>
        <v>40</v>
      </c>
      <c r="BY7" s="4" t="str">
        <f>'S14 Clustering'!R4</f>
        <v/>
      </c>
      <c r="BZ7" s="4" t="str">
        <f>'S14 Clustering'!S4</f>
        <v/>
      </c>
      <c r="CA7" s="61" t="str">
        <f>'S14 Clustering'!T4</f>
        <v/>
      </c>
      <c r="CB7" s="124" t="str">
        <f>'S14 Clustering'!U4</f>
        <v/>
      </c>
      <c r="CC7" s="125" t="str">
        <f>'S14 Clustering'!V4</f>
        <v/>
      </c>
      <c r="CD7" s="60" t="str">
        <f>'S14 Clustering'!W4</f>
        <v/>
      </c>
      <c r="CE7" s="4" t="str">
        <f>'S14 Clustering'!X4</f>
        <v/>
      </c>
      <c r="CF7" s="61">
        <f>'S14 Clustering'!Y4</f>
        <v>50</v>
      </c>
      <c r="CG7" s="129" t="str">
        <f>'S14 Clustering'!Z4</f>
        <v/>
      </c>
      <c r="CH7" s="59">
        <f>'S14 Clustering'!AA4</f>
        <v>60</v>
      </c>
    </row>
    <row r="8" spans="1:86" ht="17">
      <c r="A8" s="3">
        <f>ROUND(SQRT(_xlfn.XLOOKUP(E8, 'S26 Space Requirements'!$B$5:$B$30, 'S26 Space Requirements'!$R$5:$R$30, 0, 0)), 0)</f>
        <v>26</v>
      </c>
      <c r="E8" s="295" t="s">
        <v>580</v>
      </c>
      <c r="F8" s="3">
        <f>'S28 Transportation Matrix'!B10</f>
        <v>0</v>
      </c>
      <c r="G8" s="3">
        <f>'S28 Transportation Matrix'!C10</f>
        <v>0</v>
      </c>
      <c r="H8" s="3">
        <f>'S28 Transportation Matrix'!D10</f>
        <v>0</v>
      </c>
      <c r="I8" s="3">
        <f>'S28 Transportation Matrix'!E10</f>
        <v>0</v>
      </c>
      <c r="J8" s="3">
        <f>'S28 Transportation Matrix'!F10</f>
        <v>0</v>
      </c>
      <c r="K8" s="3">
        <f>'S28 Transportation Matrix'!G10</f>
        <v>0</v>
      </c>
      <c r="L8" s="3">
        <f>'S28 Transportation Matrix'!H10</f>
        <v>0</v>
      </c>
      <c r="M8" s="3">
        <f>'S28 Transportation Matrix'!I10</f>
        <v>69</v>
      </c>
      <c r="N8" s="3">
        <f>'S28 Transportation Matrix'!J10</f>
        <v>0</v>
      </c>
      <c r="O8" s="3">
        <f>'S28 Transportation Matrix'!K10</f>
        <v>0</v>
      </c>
      <c r="P8" s="3">
        <f>'S28 Transportation Matrix'!L10</f>
        <v>0</v>
      </c>
      <c r="Q8" s="3">
        <f>'S28 Transportation Matrix'!M10</f>
        <v>0</v>
      </c>
      <c r="R8" s="3">
        <f>'S28 Transportation Matrix'!N10</f>
        <v>0</v>
      </c>
      <c r="S8" s="3">
        <f>'S28 Transportation Matrix'!O10</f>
        <v>0</v>
      </c>
      <c r="T8" s="3">
        <f>'S28 Transportation Matrix'!P10</f>
        <v>0</v>
      </c>
      <c r="U8" s="3">
        <f>'S28 Transportation Matrix'!Q10</f>
        <v>0</v>
      </c>
      <c r="V8" s="3">
        <f>'S28 Transportation Matrix'!R10</f>
        <v>0</v>
      </c>
      <c r="W8" s="3">
        <f>'S28 Transportation Matrix'!S10</f>
        <v>0</v>
      </c>
      <c r="X8" s="3">
        <f>'S28 Transportation Matrix'!T10</f>
        <v>0</v>
      </c>
      <c r="Y8" s="3">
        <f>'S28 Transportation Matrix'!U10</f>
        <v>0</v>
      </c>
      <c r="Z8" s="3">
        <f>'S28 Transportation Matrix'!V10</f>
        <v>89</v>
      </c>
      <c r="AA8" s="3">
        <f>'S28 Transportation Matrix'!W10</f>
        <v>0</v>
      </c>
      <c r="AB8" s="3">
        <f>'S28 Transportation Matrix'!X10</f>
        <v>0</v>
      </c>
      <c r="AC8" s="3">
        <f>'S28 Transportation Matrix'!Y10</f>
        <v>0</v>
      </c>
      <c r="AD8" s="3">
        <f>'S28 Transportation Matrix'!Z10</f>
        <v>0</v>
      </c>
      <c r="AE8" s="3">
        <f>'S28 Transportation Matrix'!AA10</f>
        <v>0</v>
      </c>
      <c r="AF8" s="3">
        <f>'S28 Transportation Matrix'!AB10</f>
        <v>0</v>
      </c>
      <c r="AG8" s="3">
        <f>'S28 Transportation Matrix'!AC10</f>
        <v>0</v>
      </c>
      <c r="AH8" s="3">
        <f>'S28 Transportation Matrix'!AD10</f>
        <v>0</v>
      </c>
      <c r="AI8" s="3">
        <f>'S28 Transportation Matrix'!AE10</f>
        <v>0</v>
      </c>
      <c r="AJ8" s="3">
        <f>'S28 Transportation Matrix'!AF10</f>
        <v>0</v>
      </c>
      <c r="AK8" s="3">
        <f>'S28 Transportation Matrix'!AG10</f>
        <v>0</v>
      </c>
      <c r="AL8" s="3">
        <f>'S28 Transportation Matrix'!AH10</f>
        <v>0</v>
      </c>
      <c r="AM8" s="3">
        <f>'S28 Transportation Matrix'!AI10</f>
        <v>0</v>
      </c>
      <c r="AN8" s="3">
        <f>'S28 Transportation Matrix'!AJ10</f>
        <v>0</v>
      </c>
      <c r="AO8" s="3">
        <f>'S28 Transportation Matrix'!AK10</f>
        <v>0</v>
      </c>
      <c r="AP8" s="3">
        <f>'S28 Transportation Matrix'!AL10</f>
        <v>0</v>
      </c>
      <c r="AQ8" s="3">
        <f>'S28 Transportation Matrix'!AM10</f>
        <v>0</v>
      </c>
      <c r="AR8" s="3">
        <f>'S28 Transportation Matrix'!AN10</f>
        <v>0</v>
      </c>
      <c r="AS8" s="3">
        <f>'S28 Transportation Matrix'!AO10</f>
        <v>0</v>
      </c>
      <c r="AT8" s="3">
        <f>'S28 Transportation Matrix'!AP10</f>
        <v>0</v>
      </c>
      <c r="AU8" s="3">
        <f>'S28 Transportation Matrix'!AQ10</f>
        <v>0</v>
      </c>
      <c r="AV8" s="3">
        <f>'S28 Transportation Matrix'!AR10</f>
        <v>0</v>
      </c>
      <c r="AW8" s="3">
        <f>'S28 Transportation Matrix'!AS10</f>
        <v>0</v>
      </c>
      <c r="BG8" s="3">
        <v>1</v>
      </c>
      <c r="BH8" s="143" t="str">
        <f>'S14 Clustering'!A5</f>
        <v>I-068</v>
      </c>
      <c r="BI8" s="59">
        <f>'S14 Clustering'!B5</f>
        <v>10</v>
      </c>
      <c r="BJ8" s="124">
        <f>'S14 Clustering'!C5</f>
        <v>20</v>
      </c>
      <c r="BK8" s="122" t="str">
        <f>'S14 Clustering'!D5</f>
        <v/>
      </c>
      <c r="BL8" s="125" t="str">
        <f>'S14 Clustering'!E5</f>
        <v/>
      </c>
      <c r="BM8" s="60" t="str">
        <f>'S14 Clustering'!F5</f>
        <v/>
      </c>
      <c r="BN8" s="4" t="str">
        <f>'S14 Clustering'!G5</f>
        <v/>
      </c>
      <c r="BO8" s="61" t="str">
        <f>'S14 Clustering'!H5</f>
        <v/>
      </c>
      <c r="BP8" s="124" t="str">
        <f>'S14 Clustering'!I5</f>
        <v/>
      </c>
      <c r="BQ8" s="122">
        <f>'S14 Clustering'!J5</f>
        <v>30</v>
      </c>
      <c r="BR8" s="122" t="str">
        <f>'S14 Clustering'!K5</f>
        <v/>
      </c>
      <c r="BS8" s="122" t="str">
        <f>'S14 Clustering'!L5</f>
        <v/>
      </c>
      <c r="BT8" s="122" t="str">
        <f>'S14 Clustering'!M5</f>
        <v/>
      </c>
      <c r="BU8" s="122" t="str">
        <f>'S14 Clustering'!N5</f>
        <v/>
      </c>
      <c r="BV8" s="122" t="str">
        <f>'S14 Clustering'!O5</f>
        <v/>
      </c>
      <c r="BW8" s="125" t="str">
        <f>'S14 Clustering'!P5</f>
        <v/>
      </c>
      <c r="BX8" s="60">
        <f>'S14 Clustering'!Q5</f>
        <v>40</v>
      </c>
      <c r="BY8" s="4" t="str">
        <f>'S14 Clustering'!R5</f>
        <v/>
      </c>
      <c r="BZ8" s="4" t="str">
        <f>'S14 Clustering'!S5</f>
        <v/>
      </c>
      <c r="CA8" s="61" t="str">
        <f>'S14 Clustering'!T5</f>
        <v/>
      </c>
      <c r="CB8" s="124" t="str">
        <f>'S14 Clustering'!U5</f>
        <v/>
      </c>
      <c r="CC8" s="125" t="str">
        <f>'S14 Clustering'!V5</f>
        <v/>
      </c>
      <c r="CD8" s="60" t="str">
        <f>'S14 Clustering'!W5</f>
        <v/>
      </c>
      <c r="CE8" s="4" t="str">
        <f>'S14 Clustering'!X5</f>
        <v/>
      </c>
      <c r="CF8" s="61">
        <f>'S14 Clustering'!Y5</f>
        <v>50</v>
      </c>
      <c r="CG8" s="129" t="str">
        <f>'S14 Clustering'!Z5</f>
        <v/>
      </c>
      <c r="CH8" s="59">
        <f>'S14 Clustering'!AA5</f>
        <v>60</v>
      </c>
    </row>
    <row r="9" spans="1:86" ht="17">
      <c r="A9" s="3">
        <f>ROUND(SQRT(_xlfn.XLOOKUP(E9, 'S26 Space Requirements'!$B$5:$B$30, 'S26 Space Requirements'!$R$5:$R$30, 0, 0)), 0)</f>
        <v>14</v>
      </c>
      <c r="E9" s="295" t="s">
        <v>581</v>
      </c>
      <c r="F9" s="3">
        <f>'S28 Transportation Matrix'!B11</f>
        <v>0</v>
      </c>
      <c r="G9" s="3">
        <f>'S28 Transportation Matrix'!C11</f>
        <v>0</v>
      </c>
      <c r="H9" s="3">
        <f>'S28 Transportation Matrix'!D11</f>
        <v>0</v>
      </c>
      <c r="I9" s="3">
        <f>'S28 Transportation Matrix'!E11</f>
        <v>0</v>
      </c>
      <c r="J9" s="3">
        <f>'S28 Transportation Matrix'!F11</f>
        <v>0</v>
      </c>
      <c r="K9" s="3">
        <f>'S28 Transportation Matrix'!G11</f>
        <v>0</v>
      </c>
      <c r="L9" s="3">
        <f>'S28 Transportation Matrix'!H11</f>
        <v>0</v>
      </c>
      <c r="M9" s="3">
        <f>'S28 Transportation Matrix'!I11</f>
        <v>0</v>
      </c>
      <c r="N9" s="3">
        <f>'S28 Transportation Matrix'!J11</f>
        <v>0</v>
      </c>
      <c r="O9" s="3">
        <f>'S28 Transportation Matrix'!K11</f>
        <v>0</v>
      </c>
      <c r="P9" s="3">
        <f>'S28 Transportation Matrix'!L11</f>
        <v>0</v>
      </c>
      <c r="Q9" s="3">
        <f>'S28 Transportation Matrix'!M11</f>
        <v>0</v>
      </c>
      <c r="R9" s="3">
        <f>'S28 Transportation Matrix'!N11</f>
        <v>0</v>
      </c>
      <c r="S9" s="3">
        <f>'S28 Transportation Matrix'!O11</f>
        <v>0</v>
      </c>
      <c r="T9" s="3">
        <f>'S28 Transportation Matrix'!P11</f>
        <v>0</v>
      </c>
      <c r="U9" s="3">
        <f>'S28 Transportation Matrix'!Q11</f>
        <v>0</v>
      </c>
      <c r="V9" s="3">
        <f>'S28 Transportation Matrix'!R11</f>
        <v>0</v>
      </c>
      <c r="W9" s="3">
        <f>'S28 Transportation Matrix'!S11</f>
        <v>0</v>
      </c>
      <c r="X9" s="3">
        <f>'S28 Transportation Matrix'!T11</f>
        <v>0</v>
      </c>
      <c r="Y9" s="3">
        <f>'S28 Transportation Matrix'!U11</f>
        <v>69</v>
      </c>
      <c r="Z9" s="3">
        <f>'S28 Transportation Matrix'!V11</f>
        <v>0</v>
      </c>
      <c r="AA9" s="3">
        <f>'S28 Transportation Matrix'!W11</f>
        <v>0</v>
      </c>
      <c r="AB9" s="3">
        <f>'S28 Transportation Matrix'!X11</f>
        <v>0</v>
      </c>
      <c r="AC9" s="3">
        <f>'S28 Transportation Matrix'!Y11</f>
        <v>0</v>
      </c>
      <c r="AD9" s="3">
        <f>'S28 Transportation Matrix'!Z11</f>
        <v>0</v>
      </c>
      <c r="AE9" s="3">
        <f>'S28 Transportation Matrix'!AA11</f>
        <v>0</v>
      </c>
      <c r="AF9" s="3">
        <f>'S28 Transportation Matrix'!AB11</f>
        <v>0</v>
      </c>
      <c r="AG9" s="3">
        <f>'S28 Transportation Matrix'!AC11</f>
        <v>0</v>
      </c>
      <c r="AH9" s="3">
        <f>'S28 Transportation Matrix'!AD11</f>
        <v>0</v>
      </c>
      <c r="AI9" s="3">
        <f>'S28 Transportation Matrix'!AE11</f>
        <v>0</v>
      </c>
      <c r="AJ9" s="3">
        <f>'S28 Transportation Matrix'!AF11</f>
        <v>0</v>
      </c>
      <c r="AK9" s="3">
        <f>'S28 Transportation Matrix'!AG11</f>
        <v>0</v>
      </c>
      <c r="AL9" s="3">
        <f>'S28 Transportation Matrix'!AH11</f>
        <v>0</v>
      </c>
      <c r="AM9" s="3">
        <f>'S28 Transportation Matrix'!AI11</f>
        <v>0</v>
      </c>
      <c r="AN9" s="3">
        <f>'S28 Transportation Matrix'!AJ11</f>
        <v>0</v>
      </c>
      <c r="AO9" s="3">
        <f>'S28 Transportation Matrix'!AK11</f>
        <v>0</v>
      </c>
      <c r="AP9" s="3">
        <f>'S28 Transportation Matrix'!AL11</f>
        <v>0</v>
      </c>
      <c r="AQ9" s="3">
        <f>'S28 Transportation Matrix'!AM11</f>
        <v>0</v>
      </c>
      <c r="AR9" s="3">
        <f>'S28 Transportation Matrix'!AN11</f>
        <v>0</v>
      </c>
      <c r="AS9" s="3">
        <f>'S28 Transportation Matrix'!AO11</f>
        <v>0</v>
      </c>
      <c r="AT9" s="3">
        <f>'S28 Transportation Matrix'!AP11</f>
        <v>0</v>
      </c>
      <c r="AU9" s="3">
        <f>'S28 Transportation Matrix'!AQ11</f>
        <v>0</v>
      </c>
      <c r="AV9" s="3">
        <f>'S28 Transportation Matrix'!AR11</f>
        <v>0</v>
      </c>
      <c r="AW9" s="3">
        <f>'S28 Transportation Matrix'!AS11</f>
        <v>0</v>
      </c>
      <c r="BG9" s="3">
        <v>1</v>
      </c>
      <c r="BH9" s="143" t="str">
        <f>'S14 Clustering'!A6</f>
        <v>I-069</v>
      </c>
      <c r="BI9" s="59">
        <f>'S14 Clustering'!B6</f>
        <v>10</v>
      </c>
      <c r="BJ9" s="124">
        <f>'S14 Clustering'!C6</f>
        <v>20</v>
      </c>
      <c r="BK9" s="122" t="str">
        <f>'S14 Clustering'!D6</f>
        <v/>
      </c>
      <c r="BL9" s="125" t="str">
        <f>'S14 Clustering'!E6</f>
        <v/>
      </c>
      <c r="BM9" s="60" t="str">
        <f>'S14 Clustering'!F6</f>
        <v/>
      </c>
      <c r="BN9" s="4" t="str">
        <f>'S14 Clustering'!G6</f>
        <v/>
      </c>
      <c r="BO9" s="61" t="str">
        <f>'S14 Clustering'!H6</f>
        <v/>
      </c>
      <c r="BP9" s="124" t="str">
        <f>'S14 Clustering'!I6</f>
        <v/>
      </c>
      <c r="BQ9" s="122">
        <f>'S14 Clustering'!J6</f>
        <v>30</v>
      </c>
      <c r="BR9" s="122" t="str">
        <f>'S14 Clustering'!K6</f>
        <v/>
      </c>
      <c r="BS9" s="122" t="str">
        <f>'S14 Clustering'!L6</f>
        <v/>
      </c>
      <c r="BT9" s="122" t="str">
        <f>'S14 Clustering'!M6</f>
        <v/>
      </c>
      <c r="BU9" s="122" t="str">
        <f>'S14 Clustering'!N6</f>
        <v/>
      </c>
      <c r="BV9" s="122" t="str">
        <f>'S14 Clustering'!O6</f>
        <v/>
      </c>
      <c r="BW9" s="125" t="str">
        <f>'S14 Clustering'!P6</f>
        <v/>
      </c>
      <c r="BX9" s="60">
        <f>'S14 Clustering'!Q6</f>
        <v>40</v>
      </c>
      <c r="BY9" s="4" t="str">
        <f>'S14 Clustering'!R6</f>
        <v/>
      </c>
      <c r="BZ9" s="4" t="str">
        <f>'S14 Clustering'!S6</f>
        <v/>
      </c>
      <c r="CA9" s="61" t="str">
        <f>'S14 Clustering'!T6</f>
        <v/>
      </c>
      <c r="CB9" s="124" t="str">
        <f>'S14 Clustering'!U6</f>
        <v/>
      </c>
      <c r="CC9" s="125" t="str">
        <f>'S14 Clustering'!V6</f>
        <v/>
      </c>
      <c r="CD9" s="60" t="str">
        <f>'S14 Clustering'!W6</f>
        <v/>
      </c>
      <c r="CE9" s="4" t="str">
        <f>'S14 Clustering'!X6</f>
        <v/>
      </c>
      <c r="CF9" s="61">
        <f>'S14 Clustering'!Y6</f>
        <v>50</v>
      </c>
      <c r="CG9" s="129" t="str">
        <f>'S14 Clustering'!Z6</f>
        <v/>
      </c>
      <c r="CH9" s="59">
        <f>'S14 Clustering'!AA6</f>
        <v>60</v>
      </c>
    </row>
    <row r="10" spans="1:86" ht="17">
      <c r="A10" s="3">
        <f>ROUND(SQRT(_xlfn.XLOOKUP(E10, 'S26 Space Requirements'!$B$5:$B$30, 'S26 Space Requirements'!$R$5:$R$30, 0, 0)), 0)</f>
        <v>0</v>
      </c>
      <c r="E10" s="295" t="s">
        <v>582</v>
      </c>
      <c r="F10" s="3">
        <f>'S28 Transportation Matrix'!B12</f>
        <v>0</v>
      </c>
      <c r="G10" s="3">
        <f>'S28 Transportation Matrix'!C12</f>
        <v>0</v>
      </c>
      <c r="H10" s="3">
        <f>'S28 Transportation Matrix'!D12</f>
        <v>0</v>
      </c>
      <c r="I10" s="3">
        <f>'S28 Transportation Matrix'!E12</f>
        <v>0</v>
      </c>
      <c r="J10" s="3">
        <f>'S28 Transportation Matrix'!F12</f>
        <v>0</v>
      </c>
      <c r="K10" s="3">
        <f>'S28 Transportation Matrix'!G12</f>
        <v>0</v>
      </c>
      <c r="L10" s="3">
        <f>'S28 Transportation Matrix'!H12</f>
        <v>0</v>
      </c>
      <c r="M10" s="3">
        <f>'S28 Transportation Matrix'!I12</f>
        <v>0</v>
      </c>
      <c r="N10" s="3">
        <f>'S28 Transportation Matrix'!J12</f>
        <v>0</v>
      </c>
      <c r="O10" s="3">
        <f>'S28 Transportation Matrix'!K12</f>
        <v>0</v>
      </c>
      <c r="P10" s="3">
        <f>'S28 Transportation Matrix'!L12</f>
        <v>0</v>
      </c>
      <c r="Q10" s="3">
        <f>'S28 Transportation Matrix'!M12</f>
        <v>0</v>
      </c>
      <c r="R10" s="3">
        <f>'S28 Transportation Matrix'!N12</f>
        <v>0</v>
      </c>
      <c r="S10" s="3">
        <f>'S28 Transportation Matrix'!O12</f>
        <v>0</v>
      </c>
      <c r="T10" s="3">
        <f>'S28 Transportation Matrix'!P12</f>
        <v>0</v>
      </c>
      <c r="U10" s="3">
        <f>'S28 Transportation Matrix'!Q12</f>
        <v>0</v>
      </c>
      <c r="V10" s="3">
        <f>'S28 Transportation Matrix'!R12</f>
        <v>0</v>
      </c>
      <c r="W10" s="3">
        <f>'S28 Transportation Matrix'!S12</f>
        <v>0</v>
      </c>
      <c r="X10" s="3">
        <f>'S28 Transportation Matrix'!T12</f>
        <v>0</v>
      </c>
      <c r="Y10" s="3">
        <f>'S28 Transportation Matrix'!U12</f>
        <v>0</v>
      </c>
      <c r="Z10" s="3">
        <f>'S28 Transportation Matrix'!V12</f>
        <v>0</v>
      </c>
      <c r="AA10" s="3">
        <f>'S28 Transportation Matrix'!W12</f>
        <v>0</v>
      </c>
      <c r="AB10" s="3">
        <f>'S28 Transportation Matrix'!X12</f>
        <v>0</v>
      </c>
      <c r="AC10" s="3">
        <f>'S28 Transportation Matrix'!Y12</f>
        <v>0</v>
      </c>
      <c r="AD10" s="3">
        <f>'S28 Transportation Matrix'!Z12</f>
        <v>0</v>
      </c>
      <c r="AE10" s="3">
        <f>'S28 Transportation Matrix'!AA12</f>
        <v>0</v>
      </c>
      <c r="AF10" s="3">
        <f>'S28 Transportation Matrix'!AB12</f>
        <v>0</v>
      </c>
      <c r="AG10" s="3">
        <f>'S28 Transportation Matrix'!AC12</f>
        <v>0</v>
      </c>
      <c r="AH10" s="3">
        <f>'S28 Transportation Matrix'!AD12</f>
        <v>0</v>
      </c>
      <c r="AI10" s="3">
        <f>'S28 Transportation Matrix'!AE12</f>
        <v>0</v>
      </c>
      <c r="AJ10" s="3">
        <f>'S28 Transportation Matrix'!AF12</f>
        <v>0</v>
      </c>
      <c r="AK10" s="3">
        <f>'S28 Transportation Matrix'!AG12</f>
        <v>0</v>
      </c>
      <c r="AL10" s="3">
        <f>'S28 Transportation Matrix'!AH12</f>
        <v>0</v>
      </c>
      <c r="AM10" s="3">
        <f>'S28 Transportation Matrix'!AI12</f>
        <v>0</v>
      </c>
      <c r="AN10" s="3">
        <f>'S28 Transportation Matrix'!AJ12</f>
        <v>0</v>
      </c>
      <c r="AO10" s="3">
        <f>'S28 Transportation Matrix'!AK12</f>
        <v>0</v>
      </c>
      <c r="AP10" s="3">
        <f>'S28 Transportation Matrix'!AL12</f>
        <v>0</v>
      </c>
      <c r="AQ10" s="3">
        <f>'S28 Transportation Matrix'!AM12</f>
        <v>0</v>
      </c>
      <c r="AR10" s="3">
        <f>'S28 Transportation Matrix'!AN12</f>
        <v>0</v>
      </c>
      <c r="AS10" s="3">
        <f>'S28 Transportation Matrix'!AO12</f>
        <v>0</v>
      </c>
      <c r="AT10" s="3">
        <f>'S28 Transportation Matrix'!AP12</f>
        <v>0</v>
      </c>
      <c r="AU10" s="3">
        <f>'S28 Transportation Matrix'!AQ12</f>
        <v>0</v>
      </c>
      <c r="AV10" s="3">
        <f>'S28 Transportation Matrix'!AR12</f>
        <v>0</v>
      </c>
      <c r="AW10" s="3">
        <f>'S28 Transportation Matrix'!AS12</f>
        <v>0</v>
      </c>
      <c r="BG10" s="3">
        <v>1</v>
      </c>
      <c r="BH10" s="143" t="str">
        <f>'S14 Clustering'!A7</f>
        <v>I-070</v>
      </c>
      <c r="BI10" s="59">
        <f>'S14 Clustering'!B7</f>
        <v>10</v>
      </c>
      <c r="BJ10" s="124">
        <f>'S14 Clustering'!C7</f>
        <v>20</v>
      </c>
      <c r="BK10" s="122" t="str">
        <f>'S14 Clustering'!D7</f>
        <v/>
      </c>
      <c r="BL10" s="125" t="str">
        <f>'S14 Clustering'!E7</f>
        <v/>
      </c>
      <c r="BM10" s="60" t="str">
        <f>'S14 Clustering'!F7</f>
        <v/>
      </c>
      <c r="BN10" s="4" t="str">
        <f>'S14 Clustering'!G7</f>
        <v/>
      </c>
      <c r="BO10" s="61" t="str">
        <f>'S14 Clustering'!H7</f>
        <v/>
      </c>
      <c r="BP10" s="124" t="str">
        <f>'S14 Clustering'!I7</f>
        <v/>
      </c>
      <c r="BQ10" s="122">
        <f>'S14 Clustering'!J7</f>
        <v>30</v>
      </c>
      <c r="BR10" s="122" t="str">
        <f>'S14 Clustering'!K7</f>
        <v/>
      </c>
      <c r="BS10" s="122" t="str">
        <f>'S14 Clustering'!L7</f>
        <v/>
      </c>
      <c r="BT10" s="122" t="str">
        <f>'S14 Clustering'!M7</f>
        <v/>
      </c>
      <c r="BU10" s="122" t="str">
        <f>'S14 Clustering'!N7</f>
        <v/>
      </c>
      <c r="BV10" s="122" t="str">
        <f>'S14 Clustering'!O7</f>
        <v/>
      </c>
      <c r="BW10" s="125" t="str">
        <f>'S14 Clustering'!P7</f>
        <v/>
      </c>
      <c r="BX10" s="60">
        <f>'S14 Clustering'!Q7</f>
        <v>40</v>
      </c>
      <c r="BY10" s="4" t="str">
        <f>'S14 Clustering'!R7</f>
        <v/>
      </c>
      <c r="BZ10" s="4" t="str">
        <f>'S14 Clustering'!S7</f>
        <v/>
      </c>
      <c r="CA10" s="61" t="str">
        <f>'S14 Clustering'!T7</f>
        <v/>
      </c>
      <c r="CB10" s="124" t="str">
        <f>'S14 Clustering'!U7</f>
        <v/>
      </c>
      <c r="CC10" s="125" t="str">
        <f>'S14 Clustering'!V7</f>
        <v/>
      </c>
      <c r="CD10" s="60" t="str">
        <f>'S14 Clustering'!W7</f>
        <v/>
      </c>
      <c r="CE10" s="4" t="str">
        <f>'S14 Clustering'!X7</f>
        <v/>
      </c>
      <c r="CF10" s="61">
        <f>'S14 Clustering'!Y7</f>
        <v>50</v>
      </c>
      <c r="CG10" s="129" t="str">
        <f>'S14 Clustering'!Z7</f>
        <v/>
      </c>
      <c r="CH10" s="59">
        <f>'S14 Clustering'!AA7</f>
        <v>60</v>
      </c>
    </row>
    <row r="11" spans="1:86" ht="18" thickBot="1">
      <c r="A11" s="3">
        <f>ROUND(SQRT(_xlfn.XLOOKUP(E11, 'S26 Space Requirements'!$B$5:$B$30, 'S26 Space Requirements'!$R$5:$R$30, 0, 0)), 0)</f>
        <v>0</v>
      </c>
      <c r="E11" s="295" t="s">
        <v>583</v>
      </c>
      <c r="F11" s="3">
        <f>'S28 Transportation Matrix'!B13</f>
        <v>0</v>
      </c>
      <c r="G11" s="3">
        <f>'S28 Transportation Matrix'!C13</f>
        <v>0</v>
      </c>
      <c r="H11" s="3">
        <f>'S28 Transportation Matrix'!D13</f>
        <v>0</v>
      </c>
      <c r="I11" s="3">
        <f>'S28 Transportation Matrix'!E13</f>
        <v>0</v>
      </c>
      <c r="J11" s="3">
        <f>'S28 Transportation Matrix'!F13</f>
        <v>0</v>
      </c>
      <c r="K11" s="3">
        <f>'S28 Transportation Matrix'!G13</f>
        <v>0</v>
      </c>
      <c r="L11" s="3">
        <f>'S28 Transportation Matrix'!H13</f>
        <v>0</v>
      </c>
      <c r="M11" s="3">
        <f>'S28 Transportation Matrix'!I13</f>
        <v>0</v>
      </c>
      <c r="N11" s="3">
        <f>'S28 Transportation Matrix'!J13</f>
        <v>0</v>
      </c>
      <c r="O11" s="3">
        <f>'S28 Transportation Matrix'!K13</f>
        <v>0</v>
      </c>
      <c r="P11" s="3">
        <f>'S28 Transportation Matrix'!L13</f>
        <v>0</v>
      </c>
      <c r="Q11" s="3">
        <f>'S28 Transportation Matrix'!M13</f>
        <v>0</v>
      </c>
      <c r="R11" s="3">
        <f>'S28 Transportation Matrix'!N13</f>
        <v>0</v>
      </c>
      <c r="S11" s="3">
        <f>'S28 Transportation Matrix'!O13</f>
        <v>0</v>
      </c>
      <c r="T11" s="3">
        <f>'S28 Transportation Matrix'!P13</f>
        <v>0</v>
      </c>
      <c r="U11" s="3">
        <f>'S28 Transportation Matrix'!Q13</f>
        <v>0</v>
      </c>
      <c r="V11" s="3">
        <f>'S28 Transportation Matrix'!R13</f>
        <v>0</v>
      </c>
      <c r="W11" s="3">
        <f>'S28 Transportation Matrix'!S13</f>
        <v>0</v>
      </c>
      <c r="X11" s="3">
        <f>'S28 Transportation Matrix'!T13</f>
        <v>0</v>
      </c>
      <c r="Y11" s="3">
        <f>'S28 Transportation Matrix'!U13</f>
        <v>0</v>
      </c>
      <c r="Z11" s="3">
        <f>'S28 Transportation Matrix'!V13</f>
        <v>0</v>
      </c>
      <c r="AA11" s="3">
        <f>'S28 Transportation Matrix'!W13</f>
        <v>0</v>
      </c>
      <c r="AB11" s="3">
        <f>'S28 Transportation Matrix'!X13</f>
        <v>0</v>
      </c>
      <c r="AC11" s="3">
        <f>'S28 Transportation Matrix'!Y13</f>
        <v>0</v>
      </c>
      <c r="AD11" s="3">
        <f>'S28 Transportation Matrix'!Z13</f>
        <v>0</v>
      </c>
      <c r="AE11" s="3">
        <f>'S28 Transportation Matrix'!AA13</f>
        <v>0</v>
      </c>
      <c r="AF11" s="3">
        <f>'S28 Transportation Matrix'!AB13</f>
        <v>0</v>
      </c>
      <c r="AG11" s="3">
        <f>'S28 Transportation Matrix'!AC13</f>
        <v>0</v>
      </c>
      <c r="AH11" s="3">
        <f>'S28 Transportation Matrix'!AD13</f>
        <v>0</v>
      </c>
      <c r="AI11" s="3">
        <f>'S28 Transportation Matrix'!AE13</f>
        <v>0</v>
      </c>
      <c r="AJ11" s="3">
        <f>'S28 Transportation Matrix'!AF13</f>
        <v>0</v>
      </c>
      <c r="AK11" s="3">
        <f>'S28 Transportation Matrix'!AG13</f>
        <v>0</v>
      </c>
      <c r="AL11" s="3">
        <f>'S28 Transportation Matrix'!AH13</f>
        <v>0</v>
      </c>
      <c r="AM11" s="3">
        <f>'S28 Transportation Matrix'!AI13</f>
        <v>0</v>
      </c>
      <c r="AN11" s="3">
        <f>'S28 Transportation Matrix'!AJ13</f>
        <v>0</v>
      </c>
      <c r="AO11" s="3">
        <f>'S28 Transportation Matrix'!AK13</f>
        <v>0</v>
      </c>
      <c r="AP11" s="3">
        <f>'S28 Transportation Matrix'!AL13</f>
        <v>0</v>
      </c>
      <c r="AQ11" s="3">
        <f>'S28 Transportation Matrix'!AM13</f>
        <v>0</v>
      </c>
      <c r="AR11" s="3">
        <f>'S28 Transportation Matrix'!AN13</f>
        <v>0</v>
      </c>
      <c r="AS11" s="3">
        <f>'S28 Transportation Matrix'!AO13</f>
        <v>0</v>
      </c>
      <c r="AT11" s="3">
        <f>'S28 Transportation Matrix'!AP13</f>
        <v>0</v>
      </c>
      <c r="AU11" s="3">
        <f>'S28 Transportation Matrix'!AQ13</f>
        <v>0</v>
      </c>
      <c r="AV11" s="3">
        <f>'S28 Transportation Matrix'!AR13</f>
        <v>0</v>
      </c>
      <c r="AW11" s="3">
        <f>'S28 Transportation Matrix'!AS13</f>
        <v>0</v>
      </c>
      <c r="BG11" s="3">
        <v>1</v>
      </c>
      <c r="BH11" s="121" t="str">
        <f>'S14 Clustering'!A8</f>
        <v>I-071</v>
      </c>
      <c r="BI11" s="62">
        <f>'S14 Clustering'!B8</f>
        <v>10</v>
      </c>
      <c r="BJ11" s="126">
        <f>'S14 Clustering'!C8</f>
        <v>20</v>
      </c>
      <c r="BK11" s="127" t="str">
        <f>'S14 Clustering'!D8</f>
        <v/>
      </c>
      <c r="BL11" s="128" t="str">
        <f>'S14 Clustering'!E8</f>
        <v/>
      </c>
      <c r="BM11" s="63" t="str">
        <f>'S14 Clustering'!F8</f>
        <v/>
      </c>
      <c r="BN11" s="64" t="str">
        <f>'S14 Clustering'!G8</f>
        <v/>
      </c>
      <c r="BO11" s="65" t="str">
        <f>'S14 Clustering'!H8</f>
        <v/>
      </c>
      <c r="BP11" s="126" t="str">
        <f>'S14 Clustering'!I8</f>
        <v/>
      </c>
      <c r="BQ11" s="127">
        <f>'S14 Clustering'!J8</f>
        <v>30</v>
      </c>
      <c r="BR11" s="127" t="str">
        <f>'S14 Clustering'!K8</f>
        <v/>
      </c>
      <c r="BS11" s="127" t="str">
        <f>'S14 Clustering'!L8</f>
        <v/>
      </c>
      <c r="BT11" s="127" t="str">
        <f>'S14 Clustering'!M8</f>
        <v/>
      </c>
      <c r="BU11" s="127" t="str">
        <f>'S14 Clustering'!N8</f>
        <v/>
      </c>
      <c r="BV11" s="127" t="str">
        <f>'S14 Clustering'!O8</f>
        <v/>
      </c>
      <c r="BW11" s="128" t="str">
        <f>'S14 Clustering'!P8</f>
        <v/>
      </c>
      <c r="BX11" s="63">
        <f>'S14 Clustering'!Q8</f>
        <v>40</v>
      </c>
      <c r="BY11" s="64" t="str">
        <f>'S14 Clustering'!R8</f>
        <v/>
      </c>
      <c r="BZ11" s="64" t="str">
        <f>'S14 Clustering'!S8</f>
        <v/>
      </c>
      <c r="CA11" s="65" t="str">
        <f>'S14 Clustering'!T8</f>
        <v/>
      </c>
      <c r="CB11" s="126" t="str">
        <f>'S14 Clustering'!U8</f>
        <v/>
      </c>
      <c r="CC11" s="128" t="str">
        <f>'S14 Clustering'!V8</f>
        <v/>
      </c>
      <c r="CD11" s="63" t="str">
        <f>'S14 Clustering'!W8</f>
        <v/>
      </c>
      <c r="CE11" s="64" t="str">
        <f>'S14 Clustering'!X8</f>
        <v/>
      </c>
      <c r="CF11" s="65">
        <f>'S14 Clustering'!Y8</f>
        <v>50</v>
      </c>
      <c r="CG11" s="130" t="str">
        <f>'S14 Clustering'!Z8</f>
        <v/>
      </c>
      <c r="CH11" s="62">
        <f>'S14 Clustering'!AA8</f>
        <v>60</v>
      </c>
    </row>
    <row r="12" spans="1:86" ht="17">
      <c r="A12" s="3">
        <f>ROUND(SQRT(_xlfn.XLOOKUP(E12, 'S26 Space Requirements'!$B$5:$B$30, 'S26 Space Requirements'!$R$5:$R$30, 0, 0)), 0)</f>
        <v>0</v>
      </c>
      <c r="E12" s="295" t="s">
        <v>584</v>
      </c>
      <c r="F12" s="3">
        <f>'S28 Transportation Matrix'!B14</f>
        <v>0</v>
      </c>
      <c r="G12" s="3">
        <f>'S28 Transportation Matrix'!C14</f>
        <v>0</v>
      </c>
      <c r="H12" s="3">
        <f>'S28 Transportation Matrix'!D14</f>
        <v>0</v>
      </c>
      <c r="I12" s="3">
        <f>'S28 Transportation Matrix'!E14</f>
        <v>0</v>
      </c>
      <c r="J12" s="3">
        <f>'S28 Transportation Matrix'!F14</f>
        <v>0</v>
      </c>
      <c r="K12" s="3">
        <f>'S28 Transportation Matrix'!G14</f>
        <v>0</v>
      </c>
      <c r="L12" s="3">
        <f>'S28 Transportation Matrix'!H14</f>
        <v>0</v>
      </c>
      <c r="M12" s="3">
        <f>'S28 Transportation Matrix'!I14</f>
        <v>0</v>
      </c>
      <c r="N12" s="3">
        <f>'S28 Transportation Matrix'!J14</f>
        <v>0</v>
      </c>
      <c r="O12" s="3">
        <f>'S28 Transportation Matrix'!K14</f>
        <v>0</v>
      </c>
      <c r="P12" s="3">
        <f>'S28 Transportation Matrix'!L14</f>
        <v>0</v>
      </c>
      <c r="Q12" s="3">
        <f>'S28 Transportation Matrix'!M14</f>
        <v>0</v>
      </c>
      <c r="R12" s="3">
        <f>'S28 Transportation Matrix'!N14</f>
        <v>0</v>
      </c>
      <c r="S12" s="3">
        <f>'S28 Transportation Matrix'!O14</f>
        <v>0</v>
      </c>
      <c r="T12" s="3">
        <f>'S28 Transportation Matrix'!P14</f>
        <v>0</v>
      </c>
      <c r="U12" s="3">
        <f>'S28 Transportation Matrix'!Q14</f>
        <v>0</v>
      </c>
      <c r="V12" s="3">
        <f>'S28 Transportation Matrix'!R14</f>
        <v>0</v>
      </c>
      <c r="W12" s="3">
        <f>'S28 Transportation Matrix'!S14</f>
        <v>0</v>
      </c>
      <c r="X12" s="3">
        <f>'S28 Transportation Matrix'!T14</f>
        <v>0</v>
      </c>
      <c r="Y12" s="3">
        <f>'S28 Transportation Matrix'!U14</f>
        <v>0</v>
      </c>
      <c r="Z12" s="3">
        <f>'S28 Transportation Matrix'!V14</f>
        <v>0</v>
      </c>
      <c r="AA12" s="3">
        <f>'S28 Transportation Matrix'!W14</f>
        <v>0</v>
      </c>
      <c r="AB12" s="3">
        <f>'S28 Transportation Matrix'!X14</f>
        <v>0</v>
      </c>
      <c r="AC12" s="3">
        <f>'S28 Transportation Matrix'!Y14</f>
        <v>0</v>
      </c>
      <c r="AD12" s="3">
        <f>'S28 Transportation Matrix'!Z14</f>
        <v>0</v>
      </c>
      <c r="AE12" s="3">
        <f>'S28 Transportation Matrix'!AA14</f>
        <v>0</v>
      </c>
      <c r="AF12" s="3">
        <f>'S28 Transportation Matrix'!AB14</f>
        <v>0</v>
      </c>
      <c r="AG12" s="3">
        <f>'S28 Transportation Matrix'!AC14</f>
        <v>0</v>
      </c>
      <c r="AH12" s="3">
        <f>'S28 Transportation Matrix'!AD14</f>
        <v>0</v>
      </c>
      <c r="AI12" s="3">
        <f>'S28 Transportation Matrix'!AE14</f>
        <v>0</v>
      </c>
      <c r="AJ12" s="3">
        <f>'S28 Transportation Matrix'!AF14</f>
        <v>0</v>
      </c>
      <c r="AK12" s="3">
        <f>'S28 Transportation Matrix'!AG14</f>
        <v>0</v>
      </c>
      <c r="AL12" s="3">
        <f>'S28 Transportation Matrix'!AH14</f>
        <v>0</v>
      </c>
      <c r="AM12" s="3">
        <f>'S28 Transportation Matrix'!AI14</f>
        <v>0</v>
      </c>
      <c r="AN12" s="3">
        <f>'S28 Transportation Matrix'!AJ14</f>
        <v>0</v>
      </c>
      <c r="AO12" s="3">
        <f>'S28 Transportation Matrix'!AK14</f>
        <v>0</v>
      </c>
      <c r="AP12" s="3">
        <f>'S28 Transportation Matrix'!AL14</f>
        <v>0</v>
      </c>
      <c r="AQ12" s="3">
        <f>'S28 Transportation Matrix'!AM14</f>
        <v>0</v>
      </c>
      <c r="AR12" s="3">
        <f>'S28 Transportation Matrix'!AN14</f>
        <v>0</v>
      </c>
      <c r="AS12" s="3">
        <f>'S28 Transportation Matrix'!AO14</f>
        <v>0</v>
      </c>
      <c r="AT12" s="3">
        <f>'S28 Transportation Matrix'!AP14</f>
        <v>0</v>
      </c>
      <c r="AU12" s="3">
        <f>'S28 Transportation Matrix'!AQ14</f>
        <v>0</v>
      </c>
      <c r="AV12" s="3">
        <f>'S28 Transportation Matrix'!AR14</f>
        <v>0</v>
      </c>
      <c r="AW12" s="3">
        <f>'S28 Transportation Matrix'!AS14</f>
        <v>0</v>
      </c>
      <c r="BG12" s="3">
        <v>2</v>
      </c>
      <c r="BH12" s="142" t="str">
        <f>'S14 Clustering'!A9</f>
        <v>I-037</v>
      </c>
      <c r="BI12" s="119">
        <f>'S14 Clustering'!B9</f>
        <v>10</v>
      </c>
      <c r="BJ12" s="131" t="str">
        <f>'S14 Clustering'!C9</f>
        <v/>
      </c>
      <c r="BK12" s="132">
        <f>'S14 Clustering'!D9</f>
        <v>20</v>
      </c>
      <c r="BL12" s="133" t="str">
        <f>'S14 Clustering'!E9</f>
        <v/>
      </c>
      <c r="BM12" s="134" t="str">
        <f>'S14 Clustering'!F9</f>
        <v/>
      </c>
      <c r="BN12" s="135" t="str">
        <f>'S14 Clustering'!G9</f>
        <v/>
      </c>
      <c r="BO12" s="136">
        <f>'S14 Clustering'!H9</f>
        <v>30</v>
      </c>
      <c r="BP12" s="131" t="str">
        <f>'S14 Clustering'!I9</f>
        <v/>
      </c>
      <c r="BQ12" s="132" t="str">
        <f>'S14 Clustering'!J9</f>
        <v/>
      </c>
      <c r="BR12" s="132" t="str">
        <f>'S14 Clustering'!K9</f>
        <v/>
      </c>
      <c r="BS12" s="132" t="str">
        <f>'S14 Clustering'!L9</f>
        <v/>
      </c>
      <c r="BT12" s="132" t="str">
        <f>'S14 Clustering'!M9</f>
        <v/>
      </c>
      <c r="BU12" s="132">
        <f>'S14 Clustering'!N9</f>
        <v>40</v>
      </c>
      <c r="BV12" s="132" t="str">
        <f>'S14 Clustering'!O9</f>
        <v/>
      </c>
      <c r="BW12" s="133" t="str">
        <f>'S14 Clustering'!P9</f>
        <v/>
      </c>
      <c r="BX12" s="134" t="str">
        <f>'S14 Clustering'!Q9</f>
        <v/>
      </c>
      <c r="BY12" s="135" t="str">
        <f>'S14 Clustering'!R9</f>
        <v/>
      </c>
      <c r="BZ12" s="135">
        <f>'S14 Clustering'!S9</f>
        <v>50</v>
      </c>
      <c r="CA12" s="136" t="str">
        <f>'S14 Clustering'!T9</f>
        <v/>
      </c>
      <c r="CB12" s="131">
        <f>'S14 Clustering'!U9</f>
        <v>60</v>
      </c>
      <c r="CC12" s="133" t="str">
        <f>'S14 Clustering'!V9</f>
        <v/>
      </c>
      <c r="CD12" s="134">
        <f>'S14 Clustering'!W9</f>
        <v>70</v>
      </c>
      <c r="CE12" s="135" t="str">
        <f>'S14 Clustering'!X9</f>
        <v/>
      </c>
      <c r="CF12" s="136" t="str">
        <f>'S14 Clustering'!Y9</f>
        <v/>
      </c>
      <c r="CG12" s="120" t="str">
        <f>'S14 Clustering'!Z9</f>
        <v/>
      </c>
      <c r="CH12" s="119">
        <f>'S14 Clustering'!AA9</f>
        <v>80</v>
      </c>
    </row>
    <row r="13" spans="1:86" ht="17">
      <c r="A13" s="3">
        <f>ROUND(SQRT(_xlfn.XLOOKUP(E13, 'S26 Space Requirements'!$B$5:$B$30, 'S26 Space Requirements'!$R$5:$R$30, 0, 0)), 0)</f>
        <v>0</v>
      </c>
      <c r="E13" s="295" t="s">
        <v>585</v>
      </c>
      <c r="F13" s="3">
        <f>'S28 Transportation Matrix'!B15</f>
        <v>0</v>
      </c>
      <c r="G13" s="3">
        <f>'S28 Transportation Matrix'!C15</f>
        <v>0</v>
      </c>
      <c r="H13" s="3">
        <f>'S28 Transportation Matrix'!D15</f>
        <v>0</v>
      </c>
      <c r="I13" s="3">
        <f>'S28 Transportation Matrix'!E15</f>
        <v>0</v>
      </c>
      <c r="J13" s="3">
        <f>'S28 Transportation Matrix'!F15</f>
        <v>0</v>
      </c>
      <c r="K13" s="3">
        <f>'S28 Transportation Matrix'!G15</f>
        <v>0</v>
      </c>
      <c r="L13" s="3">
        <f>'S28 Transportation Matrix'!H15</f>
        <v>0</v>
      </c>
      <c r="M13" s="3">
        <f>'S28 Transportation Matrix'!I15</f>
        <v>0</v>
      </c>
      <c r="N13" s="3">
        <f>'S28 Transportation Matrix'!J15</f>
        <v>0</v>
      </c>
      <c r="O13" s="3">
        <f>'S28 Transportation Matrix'!K15</f>
        <v>0</v>
      </c>
      <c r="P13" s="3">
        <f>'S28 Transportation Matrix'!L15</f>
        <v>0</v>
      </c>
      <c r="Q13" s="3">
        <f>'S28 Transportation Matrix'!M15</f>
        <v>0</v>
      </c>
      <c r="R13" s="3">
        <f>'S28 Transportation Matrix'!N15</f>
        <v>0</v>
      </c>
      <c r="S13" s="3">
        <f>'S28 Transportation Matrix'!O15</f>
        <v>0</v>
      </c>
      <c r="T13" s="3">
        <f>'S28 Transportation Matrix'!P15</f>
        <v>0</v>
      </c>
      <c r="U13" s="3">
        <f>'S28 Transportation Matrix'!Q15</f>
        <v>0</v>
      </c>
      <c r="V13" s="3">
        <f>'S28 Transportation Matrix'!R15</f>
        <v>0</v>
      </c>
      <c r="W13" s="3">
        <f>'S28 Transportation Matrix'!S15</f>
        <v>0</v>
      </c>
      <c r="X13" s="3">
        <f>'S28 Transportation Matrix'!T15</f>
        <v>0</v>
      </c>
      <c r="Y13" s="3">
        <f>'S28 Transportation Matrix'!U15</f>
        <v>0</v>
      </c>
      <c r="Z13" s="3">
        <f>'S28 Transportation Matrix'!V15</f>
        <v>0</v>
      </c>
      <c r="AA13" s="3">
        <f>'S28 Transportation Matrix'!W15</f>
        <v>0</v>
      </c>
      <c r="AB13" s="3">
        <f>'S28 Transportation Matrix'!X15</f>
        <v>0</v>
      </c>
      <c r="AC13" s="3">
        <f>'S28 Transportation Matrix'!Y15</f>
        <v>0</v>
      </c>
      <c r="AD13" s="3">
        <f>'S28 Transportation Matrix'!Z15</f>
        <v>0</v>
      </c>
      <c r="AE13" s="3">
        <f>'S28 Transportation Matrix'!AA15</f>
        <v>0</v>
      </c>
      <c r="AF13" s="3">
        <f>'S28 Transportation Matrix'!AB15</f>
        <v>0</v>
      </c>
      <c r="AG13" s="3">
        <f>'S28 Transportation Matrix'!AC15</f>
        <v>0</v>
      </c>
      <c r="AH13" s="3">
        <f>'S28 Transportation Matrix'!AD15</f>
        <v>0</v>
      </c>
      <c r="AI13" s="3">
        <f>'S28 Transportation Matrix'!AE15</f>
        <v>0</v>
      </c>
      <c r="AJ13" s="3">
        <f>'S28 Transportation Matrix'!AF15</f>
        <v>0</v>
      </c>
      <c r="AK13" s="3">
        <f>'S28 Transportation Matrix'!AG15</f>
        <v>0</v>
      </c>
      <c r="AL13" s="3">
        <f>'S28 Transportation Matrix'!AH15</f>
        <v>0</v>
      </c>
      <c r="AM13" s="3">
        <f>'S28 Transportation Matrix'!AI15</f>
        <v>0</v>
      </c>
      <c r="AN13" s="3">
        <f>'S28 Transportation Matrix'!AJ15</f>
        <v>0</v>
      </c>
      <c r="AO13" s="3">
        <f>'S28 Transportation Matrix'!AK15</f>
        <v>0</v>
      </c>
      <c r="AP13" s="3">
        <f>'S28 Transportation Matrix'!AL15</f>
        <v>0</v>
      </c>
      <c r="AQ13" s="3">
        <f>'S28 Transportation Matrix'!AM15</f>
        <v>0</v>
      </c>
      <c r="AR13" s="3">
        <f>'S28 Transportation Matrix'!AN15</f>
        <v>0</v>
      </c>
      <c r="AS13" s="3">
        <f>'S28 Transportation Matrix'!AO15</f>
        <v>0</v>
      </c>
      <c r="AT13" s="3">
        <f>'S28 Transportation Matrix'!AP15</f>
        <v>0</v>
      </c>
      <c r="AU13" s="3">
        <f>'S28 Transportation Matrix'!AQ15</f>
        <v>0</v>
      </c>
      <c r="AV13" s="3">
        <f>'S28 Transportation Matrix'!AR15</f>
        <v>0</v>
      </c>
      <c r="AW13" s="3">
        <f>'S28 Transportation Matrix'!AS15</f>
        <v>0</v>
      </c>
      <c r="BG13" s="3">
        <v>2</v>
      </c>
      <c r="BH13" s="143" t="str">
        <f>'S14 Clustering'!A10</f>
        <v>I-073</v>
      </c>
      <c r="BI13" s="59">
        <f>'S14 Clustering'!B10</f>
        <v>10</v>
      </c>
      <c r="BJ13" s="124" t="str">
        <f>'S14 Clustering'!C10</f>
        <v/>
      </c>
      <c r="BK13" s="122">
        <f>'S14 Clustering'!D10</f>
        <v>20</v>
      </c>
      <c r="BL13" s="125" t="str">
        <f>'S14 Clustering'!E10</f>
        <v/>
      </c>
      <c r="BM13" s="60" t="str">
        <f>'S14 Clustering'!F10</f>
        <v/>
      </c>
      <c r="BN13" s="4" t="str">
        <f>'S14 Clustering'!G10</f>
        <v/>
      </c>
      <c r="BO13" s="61">
        <f>'S14 Clustering'!H10</f>
        <v>30</v>
      </c>
      <c r="BP13" s="124" t="str">
        <f>'S14 Clustering'!I10</f>
        <v/>
      </c>
      <c r="BQ13" s="122" t="str">
        <f>'S14 Clustering'!J10</f>
        <v/>
      </c>
      <c r="BR13" s="122" t="str">
        <f>'S14 Clustering'!K10</f>
        <v/>
      </c>
      <c r="BS13" s="122" t="str">
        <f>'S14 Clustering'!L10</f>
        <v/>
      </c>
      <c r="BT13" s="122" t="str">
        <f>'S14 Clustering'!M10</f>
        <v/>
      </c>
      <c r="BU13" s="122">
        <f>'S14 Clustering'!N10</f>
        <v>40</v>
      </c>
      <c r="BV13" s="122" t="str">
        <f>'S14 Clustering'!O10</f>
        <v/>
      </c>
      <c r="BW13" s="125" t="str">
        <f>'S14 Clustering'!P10</f>
        <v/>
      </c>
      <c r="BX13" s="60" t="str">
        <f>'S14 Clustering'!Q10</f>
        <v/>
      </c>
      <c r="BY13" s="4" t="str">
        <f>'S14 Clustering'!R10</f>
        <v/>
      </c>
      <c r="BZ13" s="4">
        <f>'S14 Clustering'!S10</f>
        <v>50</v>
      </c>
      <c r="CA13" s="61" t="str">
        <f>'S14 Clustering'!T10</f>
        <v/>
      </c>
      <c r="CB13" s="124">
        <f>'S14 Clustering'!U10</f>
        <v>60</v>
      </c>
      <c r="CC13" s="125" t="str">
        <f>'S14 Clustering'!V10</f>
        <v/>
      </c>
      <c r="CD13" s="60">
        <f>'S14 Clustering'!W10</f>
        <v>70</v>
      </c>
      <c r="CE13" s="4" t="str">
        <f>'S14 Clustering'!X10</f>
        <v/>
      </c>
      <c r="CF13" s="61" t="str">
        <f>'S14 Clustering'!Y10</f>
        <v/>
      </c>
      <c r="CG13" s="129" t="str">
        <f>'S14 Clustering'!Z10</f>
        <v/>
      </c>
      <c r="CH13" s="59">
        <f>'S14 Clustering'!AA10</f>
        <v>80</v>
      </c>
    </row>
    <row r="14" spans="1:86" ht="18" thickBot="1">
      <c r="A14" s="3">
        <f>ROUND(SQRT(_xlfn.XLOOKUP(E14, 'S26 Space Requirements'!$B$5:$B$30, 'S26 Space Requirements'!$R$5:$R$30, 0, 0)), 0)</f>
        <v>0</v>
      </c>
      <c r="E14" s="295" t="s">
        <v>586</v>
      </c>
      <c r="F14" s="3">
        <f>'S28 Transportation Matrix'!B16</f>
        <v>0</v>
      </c>
      <c r="G14" s="3">
        <f>'S28 Transportation Matrix'!C16</f>
        <v>0</v>
      </c>
      <c r="H14" s="3">
        <f>'S28 Transportation Matrix'!D16</f>
        <v>0</v>
      </c>
      <c r="I14" s="3">
        <f>'S28 Transportation Matrix'!E16</f>
        <v>0</v>
      </c>
      <c r="J14" s="3">
        <f>'S28 Transportation Matrix'!F16</f>
        <v>0</v>
      </c>
      <c r="K14" s="3">
        <f>'S28 Transportation Matrix'!G16</f>
        <v>0</v>
      </c>
      <c r="L14" s="3">
        <f>'S28 Transportation Matrix'!H16</f>
        <v>0</v>
      </c>
      <c r="M14" s="3">
        <f>'S28 Transportation Matrix'!I16</f>
        <v>0</v>
      </c>
      <c r="N14" s="3">
        <f>'S28 Transportation Matrix'!J16</f>
        <v>0</v>
      </c>
      <c r="O14" s="3">
        <f>'S28 Transportation Matrix'!K16</f>
        <v>0</v>
      </c>
      <c r="P14" s="3">
        <f>'S28 Transportation Matrix'!L16</f>
        <v>0</v>
      </c>
      <c r="Q14" s="3">
        <f>'S28 Transportation Matrix'!M16</f>
        <v>0</v>
      </c>
      <c r="R14" s="3">
        <f>'S28 Transportation Matrix'!N16</f>
        <v>0</v>
      </c>
      <c r="S14" s="3">
        <f>'S28 Transportation Matrix'!O16</f>
        <v>0</v>
      </c>
      <c r="T14" s="3">
        <f>'S28 Transportation Matrix'!P16</f>
        <v>0</v>
      </c>
      <c r="U14" s="3">
        <f>'S28 Transportation Matrix'!Q16</f>
        <v>0</v>
      </c>
      <c r="V14" s="3">
        <f>'S28 Transportation Matrix'!R16</f>
        <v>0</v>
      </c>
      <c r="W14" s="3">
        <f>'S28 Transportation Matrix'!S16</f>
        <v>0</v>
      </c>
      <c r="X14" s="3">
        <f>'S28 Transportation Matrix'!T16</f>
        <v>0</v>
      </c>
      <c r="Y14" s="3">
        <f>'S28 Transportation Matrix'!U16</f>
        <v>0</v>
      </c>
      <c r="Z14" s="3">
        <f>'S28 Transportation Matrix'!V16</f>
        <v>0</v>
      </c>
      <c r="AA14" s="3">
        <f>'S28 Transportation Matrix'!W16</f>
        <v>0</v>
      </c>
      <c r="AB14" s="3">
        <f>'S28 Transportation Matrix'!X16</f>
        <v>0</v>
      </c>
      <c r="AC14" s="3">
        <f>'S28 Transportation Matrix'!Y16</f>
        <v>0</v>
      </c>
      <c r="AD14" s="3">
        <f>'S28 Transportation Matrix'!Z16</f>
        <v>0</v>
      </c>
      <c r="AE14" s="3">
        <f>'S28 Transportation Matrix'!AA16</f>
        <v>0</v>
      </c>
      <c r="AF14" s="3">
        <f>'S28 Transportation Matrix'!AB16</f>
        <v>0</v>
      </c>
      <c r="AG14" s="3">
        <f>'S28 Transportation Matrix'!AC16</f>
        <v>0</v>
      </c>
      <c r="AH14" s="3">
        <f>'S28 Transportation Matrix'!AD16</f>
        <v>0</v>
      </c>
      <c r="AI14" s="3">
        <f>'S28 Transportation Matrix'!AE16</f>
        <v>0</v>
      </c>
      <c r="AJ14" s="3">
        <f>'S28 Transportation Matrix'!AF16</f>
        <v>0</v>
      </c>
      <c r="AK14" s="3">
        <f>'S28 Transportation Matrix'!AG16</f>
        <v>0</v>
      </c>
      <c r="AL14" s="3">
        <f>'S28 Transportation Matrix'!AH16</f>
        <v>0</v>
      </c>
      <c r="AM14" s="3">
        <f>'S28 Transportation Matrix'!AI16</f>
        <v>0</v>
      </c>
      <c r="AN14" s="3">
        <f>'S28 Transportation Matrix'!AJ16</f>
        <v>0</v>
      </c>
      <c r="AO14" s="3">
        <f>'S28 Transportation Matrix'!AK16</f>
        <v>0</v>
      </c>
      <c r="AP14" s="3">
        <f>'S28 Transportation Matrix'!AL16</f>
        <v>0</v>
      </c>
      <c r="AQ14" s="3">
        <f>'S28 Transportation Matrix'!AM16</f>
        <v>0</v>
      </c>
      <c r="AR14" s="3">
        <f>'S28 Transportation Matrix'!AN16</f>
        <v>0</v>
      </c>
      <c r="AS14" s="3">
        <f>'S28 Transportation Matrix'!AO16</f>
        <v>0</v>
      </c>
      <c r="AT14" s="3">
        <f>'S28 Transportation Matrix'!AP16</f>
        <v>0</v>
      </c>
      <c r="AU14" s="3">
        <f>'S28 Transportation Matrix'!AQ16</f>
        <v>0</v>
      </c>
      <c r="AV14" s="3">
        <f>'S28 Transportation Matrix'!AR16</f>
        <v>0</v>
      </c>
      <c r="AW14" s="3">
        <f>'S28 Transportation Matrix'!AS16</f>
        <v>0</v>
      </c>
      <c r="BG14" s="3">
        <v>2</v>
      </c>
      <c r="BH14" s="121" t="str">
        <f>'S14 Clustering'!A11</f>
        <v>I-074</v>
      </c>
      <c r="BI14" s="62">
        <f>'S14 Clustering'!B11</f>
        <v>10</v>
      </c>
      <c r="BJ14" s="126" t="str">
        <f>'S14 Clustering'!C11</f>
        <v/>
      </c>
      <c r="BK14" s="127">
        <f>'S14 Clustering'!D11</f>
        <v>20</v>
      </c>
      <c r="BL14" s="128" t="str">
        <f>'S14 Clustering'!E11</f>
        <v/>
      </c>
      <c r="BM14" s="63" t="str">
        <f>'S14 Clustering'!F11</f>
        <v/>
      </c>
      <c r="BN14" s="64" t="str">
        <f>'S14 Clustering'!G11</f>
        <v/>
      </c>
      <c r="BO14" s="65">
        <f>'S14 Clustering'!H11</f>
        <v>30</v>
      </c>
      <c r="BP14" s="126" t="str">
        <f>'S14 Clustering'!I11</f>
        <v/>
      </c>
      <c r="BQ14" s="127" t="str">
        <f>'S14 Clustering'!J11</f>
        <v/>
      </c>
      <c r="BR14" s="127" t="str">
        <f>'S14 Clustering'!K11</f>
        <v/>
      </c>
      <c r="BS14" s="127" t="str">
        <f>'S14 Clustering'!L11</f>
        <v/>
      </c>
      <c r="BT14" s="127" t="str">
        <f>'S14 Clustering'!M11</f>
        <v/>
      </c>
      <c r="BU14" s="127">
        <f>'S14 Clustering'!N11</f>
        <v>40</v>
      </c>
      <c r="BV14" s="127" t="str">
        <f>'S14 Clustering'!O11</f>
        <v/>
      </c>
      <c r="BW14" s="128" t="str">
        <f>'S14 Clustering'!P11</f>
        <v/>
      </c>
      <c r="BX14" s="63" t="str">
        <f>'S14 Clustering'!Q11</f>
        <v/>
      </c>
      <c r="BY14" s="64" t="str">
        <f>'S14 Clustering'!R11</f>
        <v/>
      </c>
      <c r="BZ14" s="64">
        <f>'S14 Clustering'!S11</f>
        <v>50</v>
      </c>
      <c r="CA14" s="65" t="str">
        <f>'S14 Clustering'!T11</f>
        <v/>
      </c>
      <c r="CB14" s="126">
        <f>'S14 Clustering'!U11</f>
        <v>60</v>
      </c>
      <c r="CC14" s="128" t="str">
        <f>'S14 Clustering'!V11</f>
        <v/>
      </c>
      <c r="CD14" s="63">
        <f>'S14 Clustering'!W11</f>
        <v>70</v>
      </c>
      <c r="CE14" s="64" t="str">
        <f>'S14 Clustering'!X11</f>
        <v/>
      </c>
      <c r="CF14" s="65" t="str">
        <f>'S14 Clustering'!Y11</f>
        <v/>
      </c>
      <c r="CG14" s="130" t="str">
        <f>'S14 Clustering'!Z11</f>
        <v/>
      </c>
      <c r="CH14" s="62">
        <f>'S14 Clustering'!AA11</f>
        <v>80</v>
      </c>
    </row>
    <row r="15" spans="1:86" ht="17">
      <c r="A15" s="3">
        <f>ROUND(SQRT(_xlfn.XLOOKUP(E15, 'S26 Space Requirements'!$B$5:$B$30, 'S26 Space Requirements'!$R$5:$R$30, 0, 0)), 0)</f>
        <v>0</v>
      </c>
      <c r="E15" s="295" t="s">
        <v>587</v>
      </c>
      <c r="F15" s="3">
        <f>'S28 Transportation Matrix'!B17</f>
        <v>0</v>
      </c>
      <c r="G15" s="3">
        <f>'S28 Transportation Matrix'!C17</f>
        <v>0</v>
      </c>
      <c r="H15" s="3">
        <f>'S28 Transportation Matrix'!D17</f>
        <v>0</v>
      </c>
      <c r="I15" s="3">
        <f>'S28 Transportation Matrix'!E17</f>
        <v>0</v>
      </c>
      <c r="J15" s="3">
        <f>'S28 Transportation Matrix'!F17</f>
        <v>0</v>
      </c>
      <c r="K15" s="3">
        <f>'S28 Transportation Matrix'!G17</f>
        <v>0</v>
      </c>
      <c r="L15" s="3">
        <f>'S28 Transportation Matrix'!H17</f>
        <v>0</v>
      </c>
      <c r="M15" s="3">
        <f>'S28 Transportation Matrix'!I17</f>
        <v>0</v>
      </c>
      <c r="N15" s="3">
        <f>'S28 Transportation Matrix'!J17</f>
        <v>0</v>
      </c>
      <c r="O15" s="3">
        <f>'S28 Transportation Matrix'!K17</f>
        <v>0</v>
      </c>
      <c r="P15" s="3">
        <f>'S28 Transportation Matrix'!L17</f>
        <v>0</v>
      </c>
      <c r="Q15" s="3">
        <f>'S28 Transportation Matrix'!M17</f>
        <v>0</v>
      </c>
      <c r="R15" s="3">
        <f>'S28 Transportation Matrix'!N17</f>
        <v>0</v>
      </c>
      <c r="S15" s="3">
        <f>'S28 Transportation Matrix'!O17</f>
        <v>0</v>
      </c>
      <c r="T15" s="3">
        <f>'S28 Transportation Matrix'!P17</f>
        <v>0</v>
      </c>
      <c r="U15" s="3">
        <f>'S28 Transportation Matrix'!Q17</f>
        <v>0</v>
      </c>
      <c r="V15" s="3">
        <f>'S28 Transportation Matrix'!R17</f>
        <v>0</v>
      </c>
      <c r="W15" s="3">
        <f>'S28 Transportation Matrix'!S17</f>
        <v>0</v>
      </c>
      <c r="X15" s="3">
        <f>'S28 Transportation Matrix'!T17</f>
        <v>0</v>
      </c>
      <c r="Y15" s="3">
        <f>'S28 Transportation Matrix'!U17</f>
        <v>0</v>
      </c>
      <c r="Z15" s="3">
        <f>'S28 Transportation Matrix'!V17</f>
        <v>0</v>
      </c>
      <c r="AA15" s="3">
        <f>'S28 Transportation Matrix'!W17</f>
        <v>0</v>
      </c>
      <c r="AB15" s="3">
        <f>'S28 Transportation Matrix'!X17</f>
        <v>0</v>
      </c>
      <c r="AC15" s="3">
        <f>'S28 Transportation Matrix'!Y17</f>
        <v>0</v>
      </c>
      <c r="AD15" s="3">
        <f>'S28 Transportation Matrix'!Z17</f>
        <v>0</v>
      </c>
      <c r="AE15" s="3">
        <f>'S28 Transportation Matrix'!AA17</f>
        <v>0</v>
      </c>
      <c r="AF15" s="3">
        <f>'S28 Transportation Matrix'!AB17</f>
        <v>0</v>
      </c>
      <c r="AG15" s="3">
        <f>'S28 Transportation Matrix'!AC17</f>
        <v>0</v>
      </c>
      <c r="AH15" s="3">
        <f>'S28 Transportation Matrix'!AD17</f>
        <v>0</v>
      </c>
      <c r="AI15" s="3">
        <f>'S28 Transportation Matrix'!AE17</f>
        <v>0</v>
      </c>
      <c r="AJ15" s="3">
        <f>'S28 Transportation Matrix'!AF17</f>
        <v>0</v>
      </c>
      <c r="AK15" s="3">
        <f>'S28 Transportation Matrix'!AG17</f>
        <v>0</v>
      </c>
      <c r="AL15" s="3">
        <f>'S28 Transportation Matrix'!AH17</f>
        <v>0</v>
      </c>
      <c r="AM15" s="3">
        <f>'S28 Transportation Matrix'!AI17</f>
        <v>0</v>
      </c>
      <c r="AN15" s="3">
        <f>'S28 Transportation Matrix'!AJ17</f>
        <v>0</v>
      </c>
      <c r="AO15" s="3">
        <f>'S28 Transportation Matrix'!AK17</f>
        <v>0</v>
      </c>
      <c r="AP15" s="3">
        <f>'S28 Transportation Matrix'!AL17</f>
        <v>0</v>
      </c>
      <c r="AQ15" s="3">
        <f>'S28 Transportation Matrix'!AM17</f>
        <v>0</v>
      </c>
      <c r="AR15" s="3">
        <f>'S28 Transportation Matrix'!AN17</f>
        <v>0</v>
      </c>
      <c r="AS15" s="3">
        <f>'S28 Transportation Matrix'!AO17</f>
        <v>0</v>
      </c>
      <c r="AT15" s="3">
        <f>'S28 Transportation Matrix'!AP17</f>
        <v>0</v>
      </c>
      <c r="AU15" s="3">
        <f>'S28 Transportation Matrix'!AQ17</f>
        <v>0</v>
      </c>
      <c r="AV15" s="3">
        <f>'S28 Transportation Matrix'!AR17</f>
        <v>0</v>
      </c>
      <c r="AW15" s="3">
        <f>'S28 Transportation Matrix'!AS17</f>
        <v>0</v>
      </c>
      <c r="BG15" s="3">
        <v>3</v>
      </c>
      <c r="BH15" s="142" t="str">
        <f>'S14 Clustering'!A12</f>
        <v>I-006</v>
      </c>
      <c r="BI15" s="119">
        <f>'S14 Clustering'!B12</f>
        <v>10</v>
      </c>
      <c r="BJ15" s="131" t="str">
        <f>'S14 Clustering'!C12</f>
        <v/>
      </c>
      <c r="BK15" s="132" t="str">
        <f>'S14 Clustering'!D12</f>
        <v/>
      </c>
      <c r="BL15" s="133">
        <f>'S14 Clustering'!E12</f>
        <v>20</v>
      </c>
      <c r="BM15" s="134">
        <f>'S14 Clustering'!F12</f>
        <v>30</v>
      </c>
      <c r="BN15" s="135" t="str">
        <f>'S14 Clustering'!G12</f>
        <v/>
      </c>
      <c r="BO15" s="136" t="str">
        <f>'S14 Clustering'!H12</f>
        <v/>
      </c>
      <c r="BP15" s="131" t="str">
        <f>'S14 Clustering'!I12</f>
        <v/>
      </c>
      <c r="BQ15" s="132" t="str">
        <f>'S14 Clustering'!J12</f>
        <v/>
      </c>
      <c r="BR15" s="132" t="str">
        <f>'S14 Clustering'!K12</f>
        <v/>
      </c>
      <c r="BS15" s="132">
        <f>'S14 Clustering'!L12</f>
        <v>40</v>
      </c>
      <c r="BT15" s="132" t="str">
        <f>'S14 Clustering'!M12</f>
        <v/>
      </c>
      <c r="BU15" s="132" t="str">
        <f>'S14 Clustering'!N12</f>
        <v/>
      </c>
      <c r="BV15" s="132" t="str">
        <f>'S14 Clustering'!O12</f>
        <v/>
      </c>
      <c r="BW15" s="133">
        <f>'S14 Clustering'!P12</f>
        <v>50</v>
      </c>
      <c r="BX15" s="134" t="str">
        <f>'S14 Clustering'!Q12</f>
        <v/>
      </c>
      <c r="BY15" s="135" t="str">
        <f>'S14 Clustering'!R12</f>
        <v/>
      </c>
      <c r="BZ15" s="135" t="str">
        <f>'S14 Clustering'!S12</f>
        <v/>
      </c>
      <c r="CA15" s="136" t="str">
        <f>'S14 Clustering'!T12</f>
        <v/>
      </c>
      <c r="CB15" s="131" t="str">
        <f>'S14 Clustering'!U12</f>
        <v/>
      </c>
      <c r="CC15" s="133">
        <f>'S14 Clustering'!V12</f>
        <v>60</v>
      </c>
      <c r="CD15" s="134" t="str">
        <f>'S14 Clustering'!W12</f>
        <v/>
      </c>
      <c r="CE15" s="135">
        <f>'S14 Clustering'!X12</f>
        <v>70</v>
      </c>
      <c r="CF15" s="136" t="str">
        <f>'S14 Clustering'!Y12</f>
        <v/>
      </c>
      <c r="CG15" s="120" t="str">
        <f>'S14 Clustering'!Z12</f>
        <v/>
      </c>
      <c r="CH15" s="119">
        <f>'S14 Clustering'!AA12</f>
        <v>80</v>
      </c>
    </row>
    <row r="16" spans="1:86" ht="17">
      <c r="A16" s="3">
        <f>ROUND(SQRT(_xlfn.XLOOKUP(E16, 'S26 Space Requirements'!$B$5:$B$30, 'S26 Space Requirements'!$R$5:$R$30, 0, 0)), 0)</f>
        <v>0</v>
      </c>
      <c r="E16" s="295" t="s">
        <v>588</v>
      </c>
      <c r="F16" s="3">
        <f>'S28 Transportation Matrix'!B18</f>
        <v>0</v>
      </c>
      <c r="G16" s="3">
        <f>'S28 Transportation Matrix'!C18</f>
        <v>0</v>
      </c>
      <c r="H16" s="3">
        <f>'S28 Transportation Matrix'!D18</f>
        <v>0</v>
      </c>
      <c r="I16" s="3">
        <f>'S28 Transportation Matrix'!E18</f>
        <v>0</v>
      </c>
      <c r="J16" s="3">
        <f>'S28 Transportation Matrix'!F18</f>
        <v>0</v>
      </c>
      <c r="K16" s="3">
        <f>'S28 Transportation Matrix'!G18</f>
        <v>0</v>
      </c>
      <c r="L16" s="3">
        <f>'S28 Transportation Matrix'!H18</f>
        <v>0</v>
      </c>
      <c r="M16" s="3">
        <f>'S28 Transportation Matrix'!I18</f>
        <v>0</v>
      </c>
      <c r="N16" s="3">
        <f>'S28 Transportation Matrix'!J18</f>
        <v>0</v>
      </c>
      <c r="O16" s="3">
        <f>'S28 Transportation Matrix'!K18</f>
        <v>0</v>
      </c>
      <c r="P16" s="3">
        <f>'S28 Transportation Matrix'!L18</f>
        <v>0</v>
      </c>
      <c r="Q16" s="3">
        <f>'S28 Transportation Matrix'!M18</f>
        <v>0</v>
      </c>
      <c r="R16" s="3">
        <f>'S28 Transportation Matrix'!N18</f>
        <v>0</v>
      </c>
      <c r="S16" s="3">
        <f>'S28 Transportation Matrix'!O18</f>
        <v>0</v>
      </c>
      <c r="T16" s="3">
        <f>'S28 Transportation Matrix'!P18</f>
        <v>0</v>
      </c>
      <c r="U16" s="3">
        <f>'S28 Transportation Matrix'!Q18</f>
        <v>0</v>
      </c>
      <c r="V16" s="3">
        <f>'S28 Transportation Matrix'!R18</f>
        <v>0</v>
      </c>
      <c r="W16" s="3">
        <f>'S28 Transportation Matrix'!S18</f>
        <v>0</v>
      </c>
      <c r="X16" s="3">
        <f>'S28 Transportation Matrix'!T18</f>
        <v>0</v>
      </c>
      <c r="Y16" s="3">
        <f>'S28 Transportation Matrix'!U18</f>
        <v>0</v>
      </c>
      <c r="Z16" s="3">
        <f>'S28 Transportation Matrix'!V18</f>
        <v>0</v>
      </c>
      <c r="AA16" s="3">
        <f>'S28 Transportation Matrix'!W18</f>
        <v>0</v>
      </c>
      <c r="AB16" s="3">
        <f>'S28 Transportation Matrix'!X18</f>
        <v>0</v>
      </c>
      <c r="AC16" s="3">
        <f>'S28 Transportation Matrix'!Y18</f>
        <v>0</v>
      </c>
      <c r="AD16" s="3">
        <f>'S28 Transportation Matrix'!Z18</f>
        <v>0</v>
      </c>
      <c r="AE16" s="3">
        <f>'S28 Transportation Matrix'!AA18</f>
        <v>0</v>
      </c>
      <c r="AF16" s="3">
        <f>'S28 Transportation Matrix'!AB18</f>
        <v>0</v>
      </c>
      <c r="AG16" s="3">
        <f>'S28 Transportation Matrix'!AC18</f>
        <v>0</v>
      </c>
      <c r="AH16" s="3">
        <f>'S28 Transportation Matrix'!AD18</f>
        <v>0</v>
      </c>
      <c r="AI16" s="3">
        <f>'S28 Transportation Matrix'!AE18</f>
        <v>0</v>
      </c>
      <c r="AJ16" s="3">
        <f>'S28 Transportation Matrix'!AF18</f>
        <v>0</v>
      </c>
      <c r="AK16" s="3">
        <f>'S28 Transportation Matrix'!AG18</f>
        <v>0</v>
      </c>
      <c r="AL16" s="3">
        <f>'S28 Transportation Matrix'!AH18</f>
        <v>0</v>
      </c>
      <c r="AM16" s="3">
        <f>'S28 Transportation Matrix'!AI18</f>
        <v>0</v>
      </c>
      <c r="AN16" s="3">
        <f>'S28 Transportation Matrix'!AJ18</f>
        <v>0</v>
      </c>
      <c r="AO16" s="3">
        <f>'S28 Transportation Matrix'!AK18</f>
        <v>0</v>
      </c>
      <c r="AP16" s="3">
        <f>'S28 Transportation Matrix'!AL18</f>
        <v>0</v>
      </c>
      <c r="AQ16" s="3">
        <f>'S28 Transportation Matrix'!AM18</f>
        <v>0</v>
      </c>
      <c r="AR16" s="3">
        <f>'S28 Transportation Matrix'!AN18</f>
        <v>0</v>
      </c>
      <c r="AS16" s="3">
        <f>'S28 Transportation Matrix'!AO18</f>
        <v>0</v>
      </c>
      <c r="AT16" s="3">
        <f>'S28 Transportation Matrix'!AP18</f>
        <v>0</v>
      </c>
      <c r="AU16" s="3">
        <f>'S28 Transportation Matrix'!AQ18</f>
        <v>0</v>
      </c>
      <c r="AV16" s="3">
        <f>'S28 Transportation Matrix'!AR18</f>
        <v>0</v>
      </c>
      <c r="AW16" s="3">
        <f>'S28 Transportation Matrix'!AS18</f>
        <v>0</v>
      </c>
      <c r="BG16" s="3">
        <v>3</v>
      </c>
      <c r="BH16" s="143" t="str">
        <f>'S14 Clustering'!A13</f>
        <v>I-007</v>
      </c>
      <c r="BI16" s="59">
        <f>'S14 Clustering'!B13</f>
        <v>10</v>
      </c>
      <c r="BJ16" s="124" t="str">
        <f>'S14 Clustering'!C13</f>
        <v/>
      </c>
      <c r="BK16" s="122" t="str">
        <f>'S14 Clustering'!D13</f>
        <v/>
      </c>
      <c r="BL16" s="125">
        <f>'S14 Clustering'!E13</f>
        <v>20</v>
      </c>
      <c r="BM16" s="60">
        <f>'S14 Clustering'!F13</f>
        <v>30</v>
      </c>
      <c r="BN16" s="4" t="str">
        <f>'S14 Clustering'!G13</f>
        <v/>
      </c>
      <c r="BO16" s="61" t="str">
        <f>'S14 Clustering'!H13</f>
        <v/>
      </c>
      <c r="BP16" s="124" t="str">
        <f>'S14 Clustering'!I13</f>
        <v/>
      </c>
      <c r="BQ16" s="122" t="str">
        <f>'S14 Clustering'!J13</f>
        <v/>
      </c>
      <c r="BR16" s="122" t="str">
        <f>'S14 Clustering'!K13</f>
        <v/>
      </c>
      <c r="BS16" s="122">
        <f>'S14 Clustering'!L13</f>
        <v>40</v>
      </c>
      <c r="BT16" s="122" t="str">
        <f>'S14 Clustering'!M13</f>
        <v/>
      </c>
      <c r="BU16" s="122" t="str">
        <f>'S14 Clustering'!N13</f>
        <v/>
      </c>
      <c r="BV16" s="122" t="str">
        <f>'S14 Clustering'!O13</f>
        <v/>
      </c>
      <c r="BW16" s="125">
        <f>'S14 Clustering'!P13</f>
        <v>50</v>
      </c>
      <c r="BX16" s="60" t="str">
        <f>'S14 Clustering'!Q13</f>
        <v/>
      </c>
      <c r="BY16" s="4" t="str">
        <f>'S14 Clustering'!R13</f>
        <v/>
      </c>
      <c r="BZ16" s="4" t="str">
        <f>'S14 Clustering'!S13</f>
        <v/>
      </c>
      <c r="CA16" s="61" t="str">
        <f>'S14 Clustering'!T13</f>
        <v/>
      </c>
      <c r="CB16" s="124" t="str">
        <f>'S14 Clustering'!U13</f>
        <v/>
      </c>
      <c r="CC16" s="125">
        <f>'S14 Clustering'!V13</f>
        <v>60</v>
      </c>
      <c r="CD16" s="60" t="str">
        <f>'S14 Clustering'!W13</f>
        <v/>
      </c>
      <c r="CE16" s="4">
        <f>'S14 Clustering'!X13</f>
        <v>70</v>
      </c>
      <c r="CF16" s="61" t="str">
        <f>'S14 Clustering'!Y13</f>
        <v/>
      </c>
      <c r="CG16" s="129" t="str">
        <f>'S14 Clustering'!Z13</f>
        <v/>
      </c>
      <c r="CH16" s="59">
        <f>'S14 Clustering'!AA13</f>
        <v>80</v>
      </c>
    </row>
    <row r="17" spans="1:86" ht="18" thickBot="1">
      <c r="A17" s="3">
        <f>ROUND(SQRT(_xlfn.XLOOKUP(E17, 'S26 Space Requirements'!$B$5:$B$30, 'S26 Space Requirements'!$R$5:$R$30, 0, 0)), 0)</f>
        <v>0</v>
      </c>
      <c r="E17" s="295" t="s">
        <v>589</v>
      </c>
      <c r="F17" s="3">
        <f>'S28 Transportation Matrix'!B19</f>
        <v>0</v>
      </c>
      <c r="G17" s="3">
        <f>'S28 Transportation Matrix'!C19</f>
        <v>0</v>
      </c>
      <c r="H17" s="3">
        <f>'S28 Transportation Matrix'!D19</f>
        <v>0</v>
      </c>
      <c r="I17" s="3">
        <f>'S28 Transportation Matrix'!E19</f>
        <v>0</v>
      </c>
      <c r="J17" s="3">
        <f>'S28 Transportation Matrix'!F19</f>
        <v>0</v>
      </c>
      <c r="K17" s="3">
        <f>'S28 Transportation Matrix'!G19</f>
        <v>0</v>
      </c>
      <c r="L17" s="3">
        <f>'S28 Transportation Matrix'!H19</f>
        <v>0</v>
      </c>
      <c r="M17" s="3">
        <f>'S28 Transportation Matrix'!I19</f>
        <v>0</v>
      </c>
      <c r="N17" s="3">
        <f>'S28 Transportation Matrix'!J19</f>
        <v>0</v>
      </c>
      <c r="O17" s="3">
        <f>'S28 Transportation Matrix'!K19</f>
        <v>0</v>
      </c>
      <c r="P17" s="3">
        <f>'S28 Transportation Matrix'!L19</f>
        <v>0</v>
      </c>
      <c r="Q17" s="3">
        <f>'S28 Transportation Matrix'!M19</f>
        <v>0</v>
      </c>
      <c r="R17" s="3">
        <f>'S28 Transportation Matrix'!N19</f>
        <v>0</v>
      </c>
      <c r="S17" s="3">
        <f>'S28 Transportation Matrix'!O19</f>
        <v>0</v>
      </c>
      <c r="T17" s="3">
        <f>'S28 Transportation Matrix'!P19</f>
        <v>0</v>
      </c>
      <c r="U17" s="3">
        <f>'S28 Transportation Matrix'!Q19</f>
        <v>0</v>
      </c>
      <c r="V17" s="3">
        <f>'S28 Transportation Matrix'!R19</f>
        <v>0</v>
      </c>
      <c r="W17" s="3">
        <f>'S28 Transportation Matrix'!S19</f>
        <v>0</v>
      </c>
      <c r="X17" s="3">
        <f>'S28 Transportation Matrix'!T19</f>
        <v>0</v>
      </c>
      <c r="Y17" s="3">
        <f>'S28 Transportation Matrix'!U19</f>
        <v>0</v>
      </c>
      <c r="Z17" s="3">
        <f>'S28 Transportation Matrix'!V19</f>
        <v>0</v>
      </c>
      <c r="AA17" s="3">
        <f>'S28 Transportation Matrix'!W19</f>
        <v>0</v>
      </c>
      <c r="AB17" s="3">
        <f>'S28 Transportation Matrix'!X19</f>
        <v>0</v>
      </c>
      <c r="AC17" s="3">
        <f>'S28 Transportation Matrix'!Y19</f>
        <v>0</v>
      </c>
      <c r="AD17" s="3">
        <f>'S28 Transportation Matrix'!Z19</f>
        <v>0</v>
      </c>
      <c r="AE17" s="3">
        <f>'S28 Transportation Matrix'!AA19</f>
        <v>0</v>
      </c>
      <c r="AF17" s="3">
        <f>'S28 Transportation Matrix'!AB19</f>
        <v>0</v>
      </c>
      <c r="AG17" s="3">
        <f>'S28 Transportation Matrix'!AC19</f>
        <v>0</v>
      </c>
      <c r="AH17" s="3">
        <f>'S28 Transportation Matrix'!AD19</f>
        <v>0</v>
      </c>
      <c r="AI17" s="3">
        <f>'S28 Transportation Matrix'!AE19</f>
        <v>0</v>
      </c>
      <c r="AJ17" s="3">
        <f>'S28 Transportation Matrix'!AF19</f>
        <v>0</v>
      </c>
      <c r="AK17" s="3">
        <f>'S28 Transportation Matrix'!AG19</f>
        <v>0</v>
      </c>
      <c r="AL17" s="3">
        <f>'S28 Transportation Matrix'!AH19</f>
        <v>0</v>
      </c>
      <c r="AM17" s="3">
        <f>'S28 Transportation Matrix'!AI19</f>
        <v>0</v>
      </c>
      <c r="AN17" s="3">
        <f>'S28 Transportation Matrix'!AJ19</f>
        <v>0</v>
      </c>
      <c r="AO17" s="3">
        <f>'S28 Transportation Matrix'!AK19</f>
        <v>0</v>
      </c>
      <c r="AP17" s="3">
        <f>'S28 Transportation Matrix'!AL19</f>
        <v>0</v>
      </c>
      <c r="AQ17" s="3">
        <f>'S28 Transportation Matrix'!AM19</f>
        <v>0</v>
      </c>
      <c r="AR17" s="3">
        <f>'S28 Transportation Matrix'!AN19</f>
        <v>0</v>
      </c>
      <c r="AS17" s="3">
        <f>'S28 Transportation Matrix'!AO19</f>
        <v>0</v>
      </c>
      <c r="AT17" s="3">
        <f>'S28 Transportation Matrix'!AP19</f>
        <v>0</v>
      </c>
      <c r="AU17" s="3">
        <f>'S28 Transportation Matrix'!AQ19</f>
        <v>0</v>
      </c>
      <c r="AV17" s="3">
        <f>'S28 Transportation Matrix'!AR19</f>
        <v>0</v>
      </c>
      <c r="AW17" s="3">
        <f>'S28 Transportation Matrix'!AS19</f>
        <v>0</v>
      </c>
      <c r="BG17" s="3">
        <v>3</v>
      </c>
      <c r="BH17" s="121" t="str">
        <f>'S14 Clustering'!A14</f>
        <v>I-010</v>
      </c>
      <c r="BI17" s="62">
        <f>'S14 Clustering'!B14</f>
        <v>10</v>
      </c>
      <c r="BJ17" s="126" t="str">
        <f>'S14 Clustering'!C14</f>
        <v/>
      </c>
      <c r="BK17" s="127" t="str">
        <f>'S14 Clustering'!D14</f>
        <v/>
      </c>
      <c r="BL17" s="128">
        <f>'S14 Clustering'!E14</f>
        <v>20</v>
      </c>
      <c r="BM17" s="63">
        <f>'S14 Clustering'!F14</f>
        <v>30</v>
      </c>
      <c r="BN17" s="64" t="str">
        <f>'S14 Clustering'!G14</f>
        <v/>
      </c>
      <c r="BO17" s="65" t="str">
        <f>'S14 Clustering'!H14</f>
        <v/>
      </c>
      <c r="BP17" s="126" t="str">
        <f>'S14 Clustering'!I14</f>
        <v/>
      </c>
      <c r="BQ17" s="127" t="str">
        <f>'S14 Clustering'!J14</f>
        <v/>
      </c>
      <c r="BR17" s="127" t="str">
        <f>'S14 Clustering'!K14</f>
        <v/>
      </c>
      <c r="BS17" s="127">
        <f>'S14 Clustering'!L14</f>
        <v>40</v>
      </c>
      <c r="BT17" s="127" t="str">
        <f>'S14 Clustering'!M14</f>
        <v/>
      </c>
      <c r="BU17" s="127" t="str">
        <f>'S14 Clustering'!N14</f>
        <v/>
      </c>
      <c r="BV17" s="127" t="str">
        <f>'S14 Clustering'!O14</f>
        <v/>
      </c>
      <c r="BW17" s="128">
        <f>'S14 Clustering'!P14</f>
        <v>50</v>
      </c>
      <c r="BX17" s="63" t="str">
        <f>'S14 Clustering'!Q14</f>
        <v/>
      </c>
      <c r="BY17" s="64" t="str">
        <f>'S14 Clustering'!R14</f>
        <v/>
      </c>
      <c r="BZ17" s="64" t="str">
        <f>'S14 Clustering'!S14</f>
        <v/>
      </c>
      <c r="CA17" s="65" t="str">
        <f>'S14 Clustering'!T14</f>
        <v/>
      </c>
      <c r="CB17" s="126" t="str">
        <f>'S14 Clustering'!U14</f>
        <v/>
      </c>
      <c r="CC17" s="128">
        <f>'S14 Clustering'!V14</f>
        <v>60</v>
      </c>
      <c r="CD17" s="63" t="str">
        <f>'S14 Clustering'!W14</f>
        <v/>
      </c>
      <c r="CE17" s="64">
        <f>'S14 Clustering'!X14</f>
        <v>70</v>
      </c>
      <c r="CF17" s="65" t="str">
        <f>'S14 Clustering'!Y14</f>
        <v/>
      </c>
      <c r="CG17" s="130" t="str">
        <f>'S14 Clustering'!Z14</f>
        <v/>
      </c>
      <c r="CH17" s="62">
        <f>'S14 Clustering'!AA14</f>
        <v>80</v>
      </c>
    </row>
    <row r="18" spans="1:86" ht="17">
      <c r="A18" s="3">
        <f>ROUND(SQRT(_xlfn.XLOOKUP(E18, 'S26 Space Requirements'!$B$5:$B$30, 'S26 Space Requirements'!$R$5:$R$30, 0, 0)), 0)</f>
        <v>0</v>
      </c>
      <c r="E18" s="295" t="s">
        <v>590</v>
      </c>
      <c r="F18" s="3">
        <f>'S28 Transportation Matrix'!B20</f>
        <v>0</v>
      </c>
      <c r="G18" s="3">
        <f>'S28 Transportation Matrix'!C20</f>
        <v>0</v>
      </c>
      <c r="H18" s="3">
        <f>'S28 Transportation Matrix'!D20</f>
        <v>0</v>
      </c>
      <c r="I18" s="3">
        <f>'S28 Transportation Matrix'!E20</f>
        <v>0</v>
      </c>
      <c r="J18" s="3">
        <f>'S28 Transportation Matrix'!F20</f>
        <v>0</v>
      </c>
      <c r="K18" s="3">
        <f>'S28 Transportation Matrix'!G20</f>
        <v>0</v>
      </c>
      <c r="L18" s="3">
        <f>'S28 Transportation Matrix'!H20</f>
        <v>0</v>
      </c>
      <c r="M18" s="3">
        <f>'S28 Transportation Matrix'!I20</f>
        <v>0</v>
      </c>
      <c r="N18" s="3">
        <f>'S28 Transportation Matrix'!J20</f>
        <v>0</v>
      </c>
      <c r="O18" s="3">
        <f>'S28 Transportation Matrix'!K20</f>
        <v>0</v>
      </c>
      <c r="P18" s="3">
        <f>'S28 Transportation Matrix'!L20</f>
        <v>0</v>
      </c>
      <c r="Q18" s="3">
        <f>'S28 Transportation Matrix'!M20</f>
        <v>0</v>
      </c>
      <c r="R18" s="3">
        <f>'S28 Transportation Matrix'!N20</f>
        <v>0</v>
      </c>
      <c r="S18" s="3">
        <f>'S28 Transportation Matrix'!O20</f>
        <v>0</v>
      </c>
      <c r="T18" s="3">
        <f>'S28 Transportation Matrix'!P20</f>
        <v>0</v>
      </c>
      <c r="U18" s="3">
        <f>'S28 Transportation Matrix'!Q20</f>
        <v>0</v>
      </c>
      <c r="V18" s="3">
        <f>'S28 Transportation Matrix'!R20</f>
        <v>0</v>
      </c>
      <c r="W18" s="3">
        <f>'S28 Transportation Matrix'!S20</f>
        <v>0</v>
      </c>
      <c r="X18" s="3">
        <f>'S28 Transportation Matrix'!T20</f>
        <v>0</v>
      </c>
      <c r="Y18" s="3">
        <f>'S28 Transportation Matrix'!U20</f>
        <v>0</v>
      </c>
      <c r="Z18" s="3">
        <f>'S28 Transportation Matrix'!V20</f>
        <v>0</v>
      </c>
      <c r="AA18" s="3">
        <f>'S28 Transportation Matrix'!W20</f>
        <v>0</v>
      </c>
      <c r="AB18" s="3">
        <f>'S28 Transportation Matrix'!X20</f>
        <v>0</v>
      </c>
      <c r="AC18" s="3">
        <f>'S28 Transportation Matrix'!Y20</f>
        <v>0</v>
      </c>
      <c r="AD18" s="3">
        <f>'S28 Transportation Matrix'!Z20</f>
        <v>0</v>
      </c>
      <c r="AE18" s="3">
        <f>'S28 Transportation Matrix'!AA20</f>
        <v>0</v>
      </c>
      <c r="AF18" s="3">
        <f>'S28 Transportation Matrix'!AB20</f>
        <v>0</v>
      </c>
      <c r="AG18" s="3">
        <f>'S28 Transportation Matrix'!AC20</f>
        <v>0</v>
      </c>
      <c r="AH18" s="3">
        <f>'S28 Transportation Matrix'!AD20</f>
        <v>0</v>
      </c>
      <c r="AI18" s="3">
        <f>'S28 Transportation Matrix'!AE20</f>
        <v>0</v>
      </c>
      <c r="AJ18" s="3">
        <f>'S28 Transportation Matrix'!AF20</f>
        <v>0</v>
      </c>
      <c r="AK18" s="3">
        <f>'S28 Transportation Matrix'!AG20</f>
        <v>0</v>
      </c>
      <c r="AL18" s="3">
        <f>'S28 Transportation Matrix'!AH20</f>
        <v>0</v>
      </c>
      <c r="AM18" s="3">
        <f>'S28 Transportation Matrix'!AI20</f>
        <v>0</v>
      </c>
      <c r="AN18" s="3">
        <f>'S28 Transportation Matrix'!AJ20</f>
        <v>0</v>
      </c>
      <c r="AO18" s="3">
        <f>'S28 Transportation Matrix'!AK20</f>
        <v>0</v>
      </c>
      <c r="AP18" s="3">
        <f>'S28 Transportation Matrix'!AL20</f>
        <v>0</v>
      </c>
      <c r="AQ18" s="3">
        <f>'S28 Transportation Matrix'!AM20</f>
        <v>0</v>
      </c>
      <c r="AR18" s="3">
        <f>'S28 Transportation Matrix'!AN20</f>
        <v>0</v>
      </c>
      <c r="AS18" s="3">
        <f>'S28 Transportation Matrix'!AO20</f>
        <v>0</v>
      </c>
      <c r="AT18" s="3">
        <f>'S28 Transportation Matrix'!AP20</f>
        <v>0</v>
      </c>
      <c r="AU18" s="3">
        <f>'S28 Transportation Matrix'!AQ20</f>
        <v>0</v>
      </c>
      <c r="AV18" s="3">
        <f>'S28 Transportation Matrix'!AR20</f>
        <v>0</v>
      </c>
      <c r="AW18" s="3">
        <f>'S28 Transportation Matrix'!AS20</f>
        <v>0</v>
      </c>
      <c r="BG18" s="3">
        <v>4</v>
      </c>
      <c r="BH18" s="142" t="str">
        <f>'S14 Clustering'!A15</f>
        <v>I-012</v>
      </c>
      <c r="BI18" s="119">
        <f>'S14 Clustering'!B15</f>
        <v>10</v>
      </c>
      <c r="BJ18" s="131" t="str">
        <f>'S14 Clustering'!C15</f>
        <v/>
      </c>
      <c r="BK18" s="132" t="str">
        <f>'S14 Clustering'!D15</f>
        <v/>
      </c>
      <c r="BL18" s="133">
        <f>'S14 Clustering'!E15</f>
        <v>20</v>
      </c>
      <c r="BM18" s="134" t="str">
        <f>'S14 Clustering'!F15</f>
        <v/>
      </c>
      <c r="BN18" s="135" t="str">
        <f>'S14 Clustering'!G15</f>
        <v/>
      </c>
      <c r="BO18" s="136">
        <f>'S14 Clustering'!H15</f>
        <v>30</v>
      </c>
      <c r="BP18" s="131" t="str">
        <f>'S14 Clustering'!I15</f>
        <v/>
      </c>
      <c r="BQ18" s="132" t="str">
        <f>'S14 Clustering'!J15</f>
        <v/>
      </c>
      <c r="BR18" s="132">
        <f>'S14 Clustering'!K15</f>
        <v>40</v>
      </c>
      <c r="BS18" s="132" t="str">
        <f>'S14 Clustering'!L15</f>
        <v/>
      </c>
      <c r="BT18" s="132">
        <f>'S14 Clustering'!M15</f>
        <v>50</v>
      </c>
      <c r="BU18" s="132" t="str">
        <f>'S14 Clustering'!N15</f>
        <v/>
      </c>
      <c r="BV18" s="132" t="str">
        <f>'S14 Clustering'!O15</f>
        <v/>
      </c>
      <c r="BW18" s="133" t="str">
        <f>'S14 Clustering'!P15</f>
        <v/>
      </c>
      <c r="BX18" s="134" t="str">
        <f>'S14 Clustering'!Q15</f>
        <v/>
      </c>
      <c r="BY18" s="135">
        <f>'S14 Clustering'!R15</f>
        <v>60</v>
      </c>
      <c r="BZ18" s="135" t="str">
        <f>'S14 Clustering'!S15</f>
        <v/>
      </c>
      <c r="CA18" s="136" t="str">
        <f>'S14 Clustering'!T15</f>
        <v/>
      </c>
      <c r="CB18" s="131" t="str">
        <f>'S14 Clustering'!U15</f>
        <v/>
      </c>
      <c r="CC18" s="133" t="str">
        <f>'S14 Clustering'!V15</f>
        <v/>
      </c>
      <c r="CD18" s="134">
        <f>'S14 Clustering'!W15</f>
        <v>70</v>
      </c>
      <c r="CE18" s="135" t="str">
        <f>'S14 Clustering'!X15</f>
        <v/>
      </c>
      <c r="CF18" s="136" t="str">
        <f>'S14 Clustering'!Y15</f>
        <v/>
      </c>
      <c r="CG18" s="120" t="str">
        <f>'S14 Clustering'!Z15</f>
        <v/>
      </c>
      <c r="CH18" s="119">
        <f>'S14 Clustering'!AA15</f>
        <v>80</v>
      </c>
    </row>
    <row r="19" spans="1:86" ht="18" thickBot="1">
      <c r="A19" s="3">
        <f>ROUND(SQRT(_xlfn.XLOOKUP(E19, 'S26 Space Requirements'!$B$5:$B$30, 'S26 Space Requirements'!$R$5:$R$30, 0, 0)), 0)</f>
        <v>25</v>
      </c>
      <c r="E19" s="295" t="s">
        <v>591</v>
      </c>
      <c r="F19" s="3">
        <f>'S28 Transportation Matrix'!B21</f>
        <v>0</v>
      </c>
      <c r="G19" s="3">
        <f>'S28 Transportation Matrix'!C21</f>
        <v>0</v>
      </c>
      <c r="H19" s="3">
        <f>'S28 Transportation Matrix'!D21</f>
        <v>0</v>
      </c>
      <c r="I19" s="3">
        <f>'S28 Transportation Matrix'!E21</f>
        <v>0</v>
      </c>
      <c r="J19" s="3">
        <f>'S28 Transportation Matrix'!F21</f>
        <v>0</v>
      </c>
      <c r="K19" s="3">
        <f>'S28 Transportation Matrix'!G21</f>
        <v>0</v>
      </c>
      <c r="L19" s="3">
        <f>'S28 Transportation Matrix'!H21</f>
        <v>0</v>
      </c>
      <c r="M19" s="3">
        <f>'S28 Transportation Matrix'!I21</f>
        <v>0</v>
      </c>
      <c r="N19" s="3">
        <f>'S28 Transportation Matrix'!J21</f>
        <v>0</v>
      </c>
      <c r="O19" s="3">
        <f>'S28 Transportation Matrix'!K21</f>
        <v>0</v>
      </c>
      <c r="P19" s="3">
        <f>'S28 Transportation Matrix'!L21</f>
        <v>0</v>
      </c>
      <c r="Q19" s="3">
        <f>'S28 Transportation Matrix'!M21</f>
        <v>0</v>
      </c>
      <c r="R19" s="3">
        <f>'S28 Transportation Matrix'!N21</f>
        <v>0</v>
      </c>
      <c r="S19" s="3">
        <f>'S28 Transportation Matrix'!O21</f>
        <v>0</v>
      </c>
      <c r="T19" s="3">
        <f>'S28 Transportation Matrix'!P21</f>
        <v>0</v>
      </c>
      <c r="U19" s="3">
        <f>'S28 Transportation Matrix'!Q21</f>
        <v>0</v>
      </c>
      <c r="V19" s="3">
        <f>'S28 Transportation Matrix'!R21</f>
        <v>0</v>
      </c>
      <c r="W19" s="3">
        <f>'S28 Transportation Matrix'!S21</f>
        <v>0</v>
      </c>
      <c r="X19" s="3">
        <f>'S28 Transportation Matrix'!T21</f>
        <v>0</v>
      </c>
      <c r="Y19" s="3">
        <f>'S28 Transportation Matrix'!U21</f>
        <v>0</v>
      </c>
      <c r="Z19" s="3">
        <f>'S28 Transportation Matrix'!V21</f>
        <v>0</v>
      </c>
      <c r="AA19" s="3">
        <f>'S28 Transportation Matrix'!W21</f>
        <v>0</v>
      </c>
      <c r="AB19" s="3">
        <f>'S28 Transportation Matrix'!X21</f>
        <v>0</v>
      </c>
      <c r="AC19" s="3">
        <f>'S28 Transportation Matrix'!Y21</f>
        <v>151</v>
      </c>
      <c r="AD19" s="3">
        <f>'S28 Transportation Matrix'!Z21</f>
        <v>0</v>
      </c>
      <c r="AE19" s="3">
        <f>'S28 Transportation Matrix'!AA21</f>
        <v>0</v>
      </c>
      <c r="AF19" s="3">
        <f>'S28 Transportation Matrix'!AB21</f>
        <v>0</v>
      </c>
      <c r="AG19" s="3">
        <f>'S28 Transportation Matrix'!AC21</f>
        <v>0</v>
      </c>
      <c r="AH19" s="3">
        <f>'S28 Transportation Matrix'!AD21</f>
        <v>0</v>
      </c>
      <c r="AI19" s="3">
        <f>'S28 Transportation Matrix'!AE21</f>
        <v>0</v>
      </c>
      <c r="AJ19" s="3">
        <f>'S28 Transportation Matrix'!AF21</f>
        <v>0</v>
      </c>
      <c r="AK19" s="3">
        <f>'S28 Transportation Matrix'!AG21</f>
        <v>0</v>
      </c>
      <c r="AL19" s="3">
        <f>'S28 Transportation Matrix'!AH21</f>
        <v>0</v>
      </c>
      <c r="AM19" s="3">
        <f>'S28 Transportation Matrix'!AI21</f>
        <v>0</v>
      </c>
      <c r="AN19" s="3">
        <f>'S28 Transportation Matrix'!AJ21</f>
        <v>0</v>
      </c>
      <c r="AO19" s="3">
        <f>'S28 Transportation Matrix'!AK21</f>
        <v>0</v>
      </c>
      <c r="AP19" s="3">
        <f>'S28 Transportation Matrix'!AL21</f>
        <v>0</v>
      </c>
      <c r="AQ19" s="3">
        <f>'S28 Transportation Matrix'!AM21</f>
        <v>0</v>
      </c>
      <c r="AR19" s="3">
        <f>'S28 Transportation Matrix'!AN21</f>
        <v>0</v>
      </c>
      <c r="AS19" s="3">
        <f>'S28 Transportation Matrix'!AO21</f>
        <v>0</v>
      </c>
      <c r="AT19" s="3">
        <f>'S28 Transportation Matrix'!AP21</f>
        <v>0</v>
      </c>
      <c r="AU19" s="3">
        <f>'S28 Transportation Matrix'!AQ21</f>
        <v>0</v>
      </c>
      <c r="AV19" s="3">
        <f>'S28 Transportation Matrix'!AR21</f>
        <v>0</v>
      </c>
      <c r="AW19" s="3">
        <f>'S28 Transportation Matrix'!AS21</f>
        <v>0</v>
      </c>
      <c r="BG19" s="3">
        <v>4</v>
      </c>
      <c r="BH19" s="121" t="str">
        <f>'S14 Clustering'!A16</f>
        <v>I-052</v>
      </c>
      <c r="BI19" s="62">
        <f>'S14 Clustering'!B16</f>
        <v>10</v>
      </c>
      <c r="BJ19" s="126" t="str">
        <f>'S14 Clustering'!C16</f>
        <v/>
      </c>
      <c r="BK19" s="127" t="str">
        <f>'S14 Clustering'!D16</f>
        <v/>
      </c>
      <c r="BL19" s="128">
        <f>'S14 Clustering'!E16</f>
        <v>20</v>
      </c>
      <c r="BM19" s="63" t="str">
        <f>'S14 Clustering'!F16</f>
        <v/>
      </c>
      <c r="BN19" s="64" t="str">
        <f>'S14 Clustering'!G16</f>
        <v/>
      </c>
      <c r="BO19" s="65">
        <f>'S14 Clustering'!H16</f>
        <v>30</v>
      </c>
      <c r="BP19" s="126" t="str">
        <f>'S14 Clustering'!I16</f>
        <v/>
      </c>
      <c r="BQ19" s="127" t="str">
        <f>'S14 Clustering'!J16</f>
        <v/>
      </c>
      <c r="BR19" s="127">
        <f>'S14 Clustering'!K16</f>
        <v>40</v>
      </c>
      <c r="BS19" s="127" t="str">
        <f>'S14 Clustering'!L16</f>
        <v/>
      </c>
      <c r="BT19" s="127">
        <f>'S14 Clustering'!M16</f>
        <v>50</v>
      </c>
      <c r="BU19" s="127" t="str">
        <f>'S14 Clustering'!N16</f>
        <v/>
      </c>
      <c r="BV19" s="127" t="str">
        <f>'S14 Clustering'!O16</f>
        <v/>
      </c>
      <c r="BW19" s="128" t="str">
        <f>'S14 Clustering'!P16</f>
        <v/>
      </c>
      <c r="BX19" s="63" t="str">
        <f>'S14 Clustering'!Q16</f>
        <v/>
      </c>
      <c r="BY19" s="64">
        <f>'S14 Clustering'!R16</f>
        <v>60</v>
      </c>
      <c r="BZ19" s="64" t="str">
        <f>'S14 Clustering'!S16</f>
        <v/>
      </c>
      <c r="CA19" s="65" t="str">
        <f>'S14 Clustering'!T16</f>
        <v/>
      </c>
      <c r="CB19" s="126" t="str">
        <f>'S14 Clustering'!U16</f>
        <v/>
      </c>
      <c r="CC19" s="128" t="str">
        <f>'S14 Clustering'!V16</f>
        <v/>
      </c>
      <c r="CD19" s="63">
        <f>'S14 Clustering'!W16</f>
        <v>70</v>
      </c>
      <c r="CE19" s="64" t="str">
        <f>'S14 Clustering'!X16</f>
        <v/>
      </c>
      <c r="CF19" s="65" t="str">
        <f>'S14 Clustering'!Y16</f>
        <v/>
      </c>
      <c r="CG19" s="130" t="str">
        <f>'S14 Clustering'!Z16</f>
        <v/>
      </c>
      <c r="CH19" s="62">
        <f>'S14 Clustering'!AA16</f>
        <v>80</v>
      </c>
    </row>
    <row r="20" spans="1:86" ht="17">
      <c r="A20" s="3">
        <f>ROUND(SQRT(_xlfn.XLOOKUP(E20, 'S26 Space Requirements'!$B$5:$B$30, 'S26 Space Requirements'!$R$5:$R$30, 0, 0)), 0)</f>
        <v>0</v>
      </c>
      <c r="E20" s="295" t="s">
        <v>592</v>
      </c>
      <c r="F20" s="3">
        <f>'S28 Transportation Matrix'!B22</f>
        <v>0</v>
      </c>
      <c r="G20" s="3">
        <f>'S28 Transportation Matrix'!C22</f>
        <v>0</v>
      </c>
      <c r="H20" s="3">
        <f>'S28 Transportation Matrix'!D22</f>
        <v>0</v>
      </c>
      <c r="I20" s="3">
        <f>'S28 Transportation Matrix'!E22</f>
        <v>0</v>
      </c>
      <c r="J20" s="3">
        <f>'S28 Transportation Matrix'!F22</f>
        <v>0</v>
      </c>
      <c r="K20" s="3">
        <f>'S28 Transportation Matrix'!G22</f>
        <v>0</v>
      </c>
      <c r="L20" s="3">
        <f>'S28 Transportation Matrix'!H22</f>
        <v>0</v>
      </c>
      <c r="M20" s="3">
        <f>'S28 Transportation Matrix'!I22</f>
        <v>0</v>
      </c>
      <c r="N20" s="3">
        <f>'S28 Transportation Matrix'!J22</f>
        <v>0</v>
      </c>
      <c r="O20" s="3">
        <f>'S28 Transportation Matrix'!K22</f>
        <v>0</v>
      </c>
      <c r="P20" s="3">
        <f>'S28 Transportation Matrix'!L22</f>
        <v>0</v>
      </c>
      <c r="Q20" s="3">
        <f>'S28 Transportation Matrix'!M22</f>
        <v>0</v>
      </c>
      <c r="R20" s="3">
        <f>'S28 Transportation Matrix'!N22</f>
        <v>0</v>
      </c>
      <c r="S20" s="3">
        <f>'S28 Transportation Matrix'!O22</f>
        <v>0</v>
      </c>
      <c r="T20" s="3">
        <f>'S28 Transportation Matrix'!P22</f>
        <v>0</v>
      </c>
      <c r="U20" s="3">
        <f>'S28 Transportation Matrix'!Q22</f>
        <v>0</v>
      </c>
      <c r="V20" s="3">
        <f>'S28 Transportation Matrix'!R22</f>
        <v>0</v>
      </c>
      <c r="W20" s="3">
        <f>'S28 Transportation Matrix'!S22</f>
        <v>0</v>
      </c>
      <c r="X20" s="3">
        <f>'S28 Transportation Matrix'!T22</f>
        <v>0</v>
      </c>
      <c r="Y20" s="3">
        <f>'S28 Transportation Matrix'!U22</f>
        <v>0</v>
      </c>
      <c r="Z20" s="3">
        <f>'S28 Transportation Matrix'!V22</f>
        <v>0</v>
      </c>
      <c r="AA20" s="3">
        <f>'S28 Transportation Matrix'!W22</f>
        <v>0</v>
      </c>
      <c r="AB20" s="3">
        <f>'S28 Transportation Matrix'!X22</f>
        <v>0</v>
      </c>
      <c r="AC20" s="3">
        <f>'S28 Transportation Matrix'!Y22</f>
        <v>0</v>
      </c>
      <c r="AD20" s="3">
        <f>'S28 Transportation Matrix'!Z22</f>
        <v>0</v>
      </c>
      <c r="AE20" s="3">
        <f>'S28 Transportation Matrix'!AA22</f>
        <v>0</v>
      </c>
      <c r="AF20" s="3">
        <f>'S28 Transportation Matrix'!AB22</f>
        <v>0</v>
      </c>
      <c r="AG20" s="3">
        <f>'S28 Transportation Matrix'!AC22</f>
        <v>0</v>
      </c>
      <c r="AH20" s="3">
        <f>'S28 Transportation Matrix'!AD22</f>
        <v>0</v>
      </c>
      <c r="AI20" s="3">
        <f>'S28 Transportation Matrix'!AE22</f>
        <v>0</v>
      </c>
      <c r="AJ20" s="3">
        <f>'S28 Transportation Matrix'!AF22</f>
        <v>0</v>
      </c>
      <c r="AK20" s="3">
        <f>'S28 Transportation Matrix'!AG22</f>
        <v>0</v>
      </c>
      <c r="AL20" s="3">
        <f>'S28 Transportation Matrix'!AH22</f>
        <v>0</v>
      </c>
      <c r="AM20" s="3">
        <f>'S28 Transportation Matrix'!AI22</f>
        <v>0</v>
      </c>
      <c r="AN20" s="3">
        <f>'S28 Transportation Matrix'!AJ22</f>
        <v>0</v>
      </c>
      <c r="AO20" s="3">
        <f>'S28 Transportation Matrix'!AK22</f>
        <v>0</v>
      </c>
      <c r="AP20" s="3">
        <f>'S28 Transportation Matrix'!AL22</f>
        <v>0</v>
      </c>
      <c r="AQ20" s="3">
        <f>'S28 Transportation Matrix'!AM22</f>
        <v>0</v>
      </c>
      <c r="AR20" s="3">
        <f>'S28 Transportation Matrix'!AN22</f>
        <v>0</v>
      </c>
      <c r="AS20" s="3">
        <f>'S28 Transportation Matrix'!AO22</f>
        <v>0</v>
      </c>
      <c r="AT20" s="3">
        <f>'S28 Transportation Matrix'!AP22</f>
        <v>0</v>
      </c>
      <c r="AU20" s="3">
        <f>'S28 Transportation Matrix'!AQ22</f>
        <v>0</v>
      </c>
      <c r="AV20" s="3">
        <f>'S28 Transportation Matrix'!AR22</f>
        <v>0</v>
      </c>
      <c r="AW20" s="3">
        <f>'S28 Transportation Matrix'!AS22</f>
        <v>0</v>
      </c>
      <c r="BG20" s="3">
        <v>5</v>
      </c>
      <c r="BH20" s="142" t="str">
        <f>'S14 Clustering'!A17</f>
        <v>I-053</v>
      </c>
      <c r="BI20" s="119">
        <f>'S14 Clustering'!B17</f>
        <v>10</v>
      </c>
      <c r="BJ20" s="131" t="str">
        <f>'S14 Clustering'!C17</f>
        <v/>
      </c>
      <c r="BK20" s="132" t="str">
        <f>'S14 Clustering'!D17</f>
        <v/>
      </c>
      <c r="BL20" s="133">
        <f>'S14 Clustering'!E17</f>
        <v>20</v>
      </c>
      <c r="BM20" s="134" t="str">
        <f>'S14 Clustering'!F17</f>
        <v/>
      </c>
      <c r="BN20" s="135">
        <f>'S14 Clustering'!G17</f>
        <v>30</v>
      </c>
      <c r="BO20" s="136" t="str">
        <f>'S14 Clustering'!H17</f>
        <v/>
      </c>
      <c r="BP20" s="131">
        <f>'S14 Clustering'!I17</f>
        <v>40</v>
      </c>
      <c r="BQ20" s="132" t="str">
        <f>'S14 Clustering'!J17</f>
        <v/>
      </c>
      <c r="BR20" s="132" t="str">
        <f>'S14 Clustering'!K17</f>
        <v/>
      </c>
      <c r="BS20" s="132" t="str">
        <f>'S14 Clustering'!L17</f>
        <v/>
      </c>
      <c r="BT20" s="132" t="str">
        <f>'S14 Clustering'!M17</f>
        <v/>
      </c>
      <c r="BU20" s="132" t="str">
        <f>'S14 Clustering'!N17</f>
        <v/>
      </c>
      <c r="BV20" s="132">
        <f>'S14 Clustering'!O17</f>
        <v>50</v>
      </c>
      <c r="BW20" s="133" t="str">
        <f>'S14 Clustering'!P17</f>
        <v/>
      </c>
      <c r="BX20" s="134" t="str">
        <f>'S14 Clustering'!Q17</f>
        <v/>
      </c>
      <c r="BY20" s="135" t="str">
        <f>'S14 Clustering'!R17</f>
        <v/>
      </c>
      <c r="BZ20" s="135" t="str">
        <f>'S14 Clustering'!S17</f>
        <v/>
      </c>
      <c r="CA20" s="136">
        <f>'S14 Clustering'!T17</f>
        <v>60</v>
      </c>
      <c r="CB20" s="131" t="str">
        <f>'S14 Clustering'!U17</f>
        <v/>
      </c>
      <c r="CC20" s="133" t="str">
        <f>'S14 Clustering'!V17</f>
        <v/>
      </c>
      <c r="CD20" s="134">
        <f>'S14 Clustering'!W17</f>
        <v>70</v>
      </c>
      <c r="CE20" s="135" t="str">
        <f>'S14 Clustering'!X17</f>
        <v/>
      </c>
      <c r="CF20" s="136" t="str">
        <f>'S14 Clustering'!Y17</f>
        <v/>
      </c>
      <c r="CG20" s="120" t="str">
        <f>'S14 Clustering'!Z17</f>
        <v/>
      </c>
      <c r="CH20" s="119">
        <f>'S14 Clustering'!AA17</f>
        <v>80</v>
      </c>
    </row>
    <row r="21" spans="1:86" ht="18" thickBot="1">
      <c r="A21" s="3">
        <f>ROUND(SQRT(_xlfn.XLOOKUP(E21, 'S26 Space Requirements'!$B$5:$B$30, 'S26 Space Requirements'!$R$5:$R$30, 0, 0)), 0)</f>
        <v>23</v>
      </c>
      <c r="E21" s="295" t="s">
        <v>593</v>
      </c>
      <c r="F21" s="3">
        <f>'S28 Transportation Matrix'!B23</f>
        <v>0</v>
      </c>
      <c r="G21" s="3">
        <f>'S28 Transportation Matrix'!C23</f>
        <v>0</v>
      </c>
      <c r="H21" s="3">
        <f>'S28 Transportation Matrix'!D23</f>
        <v>0</v>
      </c>
      <c r="I21" s="3">
        <f>'S28 Transportation Matrix'!E23</f>
        <v>0</v>
      </c>
      <c r="J21" s="3">
        <f>'S28 Transportation Matrix'!F23</f>
        <v>0</v>
      </c>
      <c r="K21" s="3">
        <f>'S28 Transportation Matrix'!G23</f>
        <v>0</v>
      </c>
      <c r="L21" s="3">
        <f>'S28 Transportation Matrix'!H23</f>
        <v>0</v>
      </c>
      <c r="M21" s="3">
        <f>'S28 Transportation Matrix'!I23</f>
        <v>0</v>
      </c>
      <c r="N21" s="3">
        <f>'S28 Transportation Matrix'!J23</f>
        <v>0</v>
      </c>
      <c r="O21" s="3">
        <f>'S28 Transportation Matrix'!K23</f>
        <v>0</v>
      </c>
      <c r="P21" s="3">
        <f>'S28 Transportation Matrix'!L23</f>
        <v>0</v>
      </c>
      <c r="Q21" s="3">
        <f>'S28 Transportation Matrix'!M23</f>
        <v>0</v>
      </c>
      <c r="R21" s="3">
        <f>'S28 Transportation Matrix'!N23</f>
        <v>0</v>
      </c>
      <c r="S21" s="3">
        <f>'S28 Transportation Matrix'!O23</f>
        <v>0</v>
      </c>
      <c r="T21" s="3">
        <f>'S28 Transportation Matrix'!P23</f>
        <v>0</v>
      </c>
      <c r="U21" s="3">
        <f>'S28 Transportation Matrix'!Q23</f>
        <v>0</v>
      </c>
      <c r="V21" s="3">
        <f>'S28 Transportation Matrix'!R23</f>
        <v>0</v>
      </c>
      <c r="W21" s="3">
        <f>'S28 Transportation Matrix'!S23</f>
        <v>0</v>
      </c>
      <c r="X21" s="3">
        <f>'S28 Transportation Matrix'!T23</f>
        <v>0</v>
      </c>
      <c r="Y21" s="3">
        <f>'S28 Transportation Matrix'!U23</f>
        <v>0</v>
      </c>
      <c r="Z21" s="3">
        <f>'S28 Transportation Matrix'!V23</f>
        <v>0</v>
      </c>
      <c r="AA21" s="3">
        <f>'S28 Transportation Matrix'!W23</f>
        <v>0</v>
      </c>
      <c r="AB21" s="3">
        <f>'S28 Transportation Matrix'!X23</f>
        <v>0</v>
      </c>
      <c r="AC21" s="3">
        <f>'S28 Transportation Matrix'!Y23</f>
        <v>0</v>
      </c>
      <c r="AD21" s="3">
        <f>'S28 Transportation Matrix'!Z23</f>
        <v>0</v>
      </c>
      <c r="AE21" s="3">
        <f>'S28 Transportation Matrix'!AA23</f>
        <v>69</v>
      </c>
      <c r="AF21" s="3">
        <f>'S28 Transportation Matrix'!AB23</f>
        <v>0</v>
      </c>
      <c r="AG21" s="3">
        <f>'S28 Transportation Matrix'!AC23</f>
        <v>0</v>
      </c>
      <c r="AH21" s="3">
        <f>'S28 Transportation Matrix'!AD23</f>
        <v>0</v>
      </c>
      <c r="AI21" s="3">
        <f>'S28 Transportation Matrix'!AE23</f>
        <v>0</v>
      </c>
      <c r="AJ21" s="3">
        <f>'S28 Transportation Matrix'!AF23</f>
        <v>0</v>
      </c>
      <c r="AK21" s="3">
        <f>'S28 Transportation Matrix'!AG23</f>
        <v>0</v>
      </c>
      <c r="AL21" s="3">
        <f>'S28 Transportation Matrix'!AH23</f>
        <v>0</v>
      </c>
      <c r="AM21" s="3">
        <f>'S28 Transportation Matrix'!AI23</f>
        <v>0</v>
      </c>
      <c r="AN21" s="3">
        <f>'S28 Transportation Matrix'!AJ23</f>
        <v>0</v>
      </c>
      <c r="AO21" s="3">
        <f>'S28 Transportation Matrix'!AK23</f>
        <v>0</v>
      </c>
      <c r="AP21" s="3">
        <f>'S28 Transportation Matrix'!AL23</f>
        <v>0</v>
      </c>
      <c r="AQ21" s="3">
        <f>'S28 Transportation Matrix'!AM23</f>
        <v>0</v>
      </c>
      <c r="AR21" s="3">
        <f>'S28 Transportation Matrix'!AN23</f>
        <v>0</v>
      </c>
      <c r="AS21" s="3">
        <f>'S28 Transportation Matrix'!AO23</f>
        <v>0</v>
      </c>
      <c r="AT21" s="3">
        <f>'S28 Transportation Matrix'!AP23</f>
        <v>0</v>
      </c>
      <c r="AU21" s="3">
        <f>'S28 Transportation Matrix'!AQ23</f>
        <v>0</v>
      </c>
      <c r="AV21" s="3">
        <f>'S28 Transportation Matrix'!AR23</f>
        <v>0</v>
      </c>
      <c r="AW21" s="3">
        <f>'S28 Transportation Matrix'!AS23</f>
        <v>0</v>
      </c>
      <c r="BG21" s="3">
        <v>5</v>
      </c>
      <c r="BH21" s="121" t="str">
        <f>'S14 Clustering'!A18</f>
        <v>I-064</v>
      </c>
      <c r="BI21" s="62">
        <f>'S14 Clustering'!B18</f>
        <v>10</v>
      </c>
      <c r="BJ21" s="126" t="str">
        <f>'S14 Clustering'!C18</f>
        <v/>
      </c>
      <c r="BK21" s="127" t="str">
        <f>'S14 Clustering'!D18</f>
        <v/>
      </c>
      <c r="BL21" s="128">
        <f>'S14 Clustering'!E18</f>
        <v>20</v>
      </c>
      <c r="BM21" s="63" t="str">
        <f>'S14 Clustering'!F18</f>
        <v/>
      </c>
      <c r="BN21" s="64">
        <f>'S14 Clustering'!G18</f>
        <v>30</v>
      </c>
      <c r="BO21" s="65" t="str">
        <f>'S14 Clustering'!H18</f>
        <v/>
      </c>
      <c r="BP21" s="126">
        <f>'S14 Clustering'!I18</f>
        <v>40</v>
      </c>
      <c r="BQ21" s="127" t="str">
        <f>'S14 Clustering'!J18</f>
        <v/>
      </c>
      <c r="BR21" s="127" t="str">
        <f>'S14 Clustering'!K18</f>
        <v/>
      </c>
      <c r="BS21" s="127" t="str">
        <f>'S14 Clustering'!L18</f>
        <v/>
      </c>
      <c r="BT21" s="127" t="str">
        <f>'S14 Clustering'!M18</f>
        <v/>
      </c>
      <c r="BU21" s="127" t="str">
        <f>'S14 Clustering'!N18</f>
        <v/>
      </c>
      <c r="BV21" s="127">
        <f>'S14 Clustering'!O18</f>
        <v>50</v>
      </c>
      <c r="BW21" s="128" t="str">
        <f>'S14 Clustering'!P18</f>
        <v/>
      </c>
      <c r="BX21" s="63" t="str">
        <f>'S14 Clustering'!Q18</f>
        <v/>
      </c>
      <c r="BY21" s="64" t="str">
        <f>'S14 Clustering'!R18</f>
        <v/>
      </c>
      <c r="BZ21" s="64" t="str">
        <f>'S14 Clustering'!S18</f>
        <v/>
      </c>
      <c r="CA21" s="65">
        <f>'S14 Clustering'!T18</f>
        <v>60</v>
      </c>
      <c r="CB21" s="126" t="str">
        <f>'S14 Clustering'!U18</f>
        <v/>
      </c>
      <c r="CC21" s="128" t="str">
        <f>'S14 Clustering'!V18</f>
        <v/>
      </c>
      <c r="CD21" s="63">
        <f>'S14 Clustering'!W18</f>
        <v>70</v>
      </c>
      <c r="CE21" s="64" t="str">
        <f>'S14 Clustering'!X18</f>
        <v/>
      </c>
      <c r="CF21" s="65" t="str">
        <f>'S14 Clustering'!Y18</f>
        <v/>
      </c>
      <c r="CG21" s="130">
        <f>'S14 Clustering'!Z18</f>
        <v>80</v>
      </c>
      <c r="CH21" s="62">
        <f>'S14 Clustering'!AA18</f>
        <v>90</v>
      </c>
    </row>
    <row r="22" spans="1:86">
      <c r="A22" s="3">
        <f>ROUND(SQRT(_xlfn.XLOOKUP(E22, 'S26 Space Requirements'!$B$5:$B$30, 'S26 Space Requirements'!$R$5:$R$30, 0, 0)), 0)</f>
        <v>21</v>
      </c>
      <c r="E22" s="295" t="s">
        <v>594</v>
      </c>
      <c r="F22" s="3">
        <f>'S28 Transportation Matrix'!B24</f>
        <v>0</v>
      </c>
      <c r="G22" s="3">
        <f>'S28 Transportation Matrix'!C24</f>
        <v>0</v>
      </c>
      <c r="H22" s="3">
        <f>'S28 Transportation Matrix'!D24</f>
        <v>0</v>
      </c>
      <c r="I22" s="3">
        <f>'S28 Transportation Matrix'!E24</f>
        <v>0</v>
      </c>
      <c r="J22" s="3">
        <f>'S28 Transportation Matrix'!F24</f>
        <v>0</v>
      </c>
      <c r="K22" s="3">
        <f>'S28 Transportation Matrix'!G24</f>
        <v>0</v>
      </c>
      <c r="L22" s="3">
        <f>'S28 Transportation Matrix'!H24</f>
        <v>0</v>
      </c>
      <c r="M22" s="3">
        <f>'S28 Transportation Matrix'!I24</f>
        <v>0</v>
      </c>
      <c r="N22" s="3">
        <f>'S28 Transportation Matrix'!J24</f>
        <v>0</v>
      </c>
      <c r="O22" s="3">
        <f>'S28 Transportation Matrix'!K24</f>
        <v>0</v>
      </c>
      <c r="P22" s="3">
        <f>'S28 Transportation Matrix'!L24</f>
        <v>0</v>
      </c>
      <c r="Q22" s="3">
        <f>'S28 Transportation Matrix'!M24</f>
        <v>0</v>
      </c>
      <c r="R22" s="3">
        <f>'S28 Transportation Matrix'!N24</f>
        <v>0</v>
      </c>
      <c r="S22" s="3">
        <f>'S28 Transportation Matrix'!O24</f>
        <v>0</v>
      </c>
      <c r="T22" s="3">
        <f>'S28 Transportation Matrix'!P24</f>
        <v>0</v>
      </c>
      <c r="U22" s="3">
        <f>'S28 Transportation Matrix'!Q24</f>
        <v>0</v>
      </c>
      <c r="V22" s="3">
        <f>'S28 Transportation Matrix'!R24</f>
        <v>0</v>
      </c>
      <c r="W22" s="3">
        <f>'S28 Transportation Matrix'!S24</f>
        <v>0</v>
      </c>
      <c r="X22" s="3">
        <f>'S28 Transportation Matrix'!T24</f>
        <v>0</v>
      </c>
      <c r="Y22" s="3">
        <f>'S28 Transportation Matrix'!U24</f>
        <v>0</v>
      </c>
      <c r="Z22" s="3">
        <f>'S28 Transportation Matrix'!V24</f>
        <v>0</v>
      </c>
      <c r="AA22" s="3">
        <f>'S28 Transportation Matrix'!W24</f>
        <v>0</v>
      </c>
      <c r="AB22" s="3">
        <f>'S28 Transportation Matrix'!X24</f>
        <v>0</v>
      </c>
      <c r="AC22" s="3">
        <f>'S28 Transportation Matrix'!Y24</f>
        <v>0</v>
      </c>
      <c r="AD22" s="3">
        <f>'S28 Transportation Matrix'!Z24</f>
        <v>0</v>
      </c>
      <c r="AE22" s="3">
        <f>'S28 Transportation Matrix'!AA24</f>
        <v>0</v>
      </c>
      <c r="AF22" s="3">
        <f>'S28 Transportation Matrix'!AB24</f>
        <v>0</v>
      </c>
      <c r="AG22" s="3">
        <f>'S28 Transportation Matrix'!AC24</f>
        <v>89</v>
      </c>
      <c r="AH22" s="3">
        <f>'S28 Transportation Matrix'!AD24</f>
        <v>0</v>
      </c>
      <c r="AI22" s="3">
        <f>'S28 Transportation Matrix'!AE24</f>
        <v>0</v>
      </c>
      <c r="AJ22" s="3">
        <f>'S28 Transportation Matrix'!AF24</f>
        <v>0</v>
      </c>
      <c r="AK22" s="3">
        <f>'S28 Transportation Matrix'!AG24</f>
        <v>0</v>
      </c>
      <c r="AL22" s="3">
        <f>'S28 Transportation Matrix'!AH24</f>
        <v>0</v>
      </c>
      <c r="AM22" s="3">
        <f>'S28 Transportation Matrix'!AI24</f>
        <v>0</v>
      </c>
      <c r="AN22" s="3">
        <f>'S28 Transportation Matrix'!AJ24</f>
        <v>0</v>
      </c>
      <c r="AO22" s="3">
        <f>'S28 Transportation Matrix'!AK24</f>
        <v>0</v>
      </c>
      <c r="AP22" s="3">
        <f>'S28 Transportation Matrix'!AL24</f>
        <v>0</v>
      </c>
      <c r="AQ22" s="3">
        <f>'S28 Transportation Matrix'!AM24</f>
        <v>0</v>
      </c>
      <c r="AR22" s="3">
        <f>'S28 Transportation Matrix'!AN24</f>
        <v>0</v>
      </c>
      <c r="AS22" s="3">
        <f>'S28 Transportation Matrix'!AO24</f>
        <v>0</v>
      </c>
      <c r="AT22" s="3">
        <f>'S28 Transportation Matrix'!AP24</f>
        <v>0</v>
      </c>
      <c r="AU22" s="3">
        <f>'S28 Transportation Matrix'!AQ24</f>
        <v>0</v>
      </c>
      <c r="AV22" s="3">
        <f>'S28 Transportation Matrix'!AR24</f>
        <v>0</v>
      </c>
      <c r="AW22" s="3">
        <f>'S28 Transportation Matrix'!AS24</f>
        <v>0</v>
      </c>
    </row>
    <row r="23" spans="1:86">
      <c r="A23" s="3">
        <f>ROUND(SQRT(_xlfn.XLOOKUP(E23, 'S26 Space Requirements'!$B$5:$B$30, 'S26 Space Requirements'!$R$5:$R$30, 0, 0)), 0)</f>
        <v>0</v>
      </c>
      <c r="E23" s="295" t="s">
        <v>595</v>
      </c>
      <c r="F23" s="3">
        <f>'S28 Transportation Matrix'!B25</f>
        <v>0</v>
      </c>
      <c r="G23" s="3">
        <f>'S28 Transportation Matrix'!C25</f>
        <v>0</v>
      </c>
      <c r="H23" s="3">
        <f>'S28 Transportation Matrix'!D25</f>
        <v>0</v>
      </c>
      <c r="I23" s="3">
        <f>'S28 Transportation Matrix'!E25</f>
        <v>0</v>
      </c>
      <c r="J23" s="3">
        <f>'S28 Transportation Matrix'!F25</f>
        <v>0</v>
      </c>
      <c r="K23" s="3">
        <f>'S28 Transportation Matrix'!G25</f>
        <v>0</v>
      </c>
      <c r="L23" s="3">
        <f>'S28 Transportation Matrix'!H25</f>
        <v>0</v>
      </c>
      <c r="M23" s="3">
        <f>'S28 Transportation Matrix'!I25</f>
        <v>0</v>
      </c>
      <c r="N23" s="3">
        <f>'S28 Transportation Matrix'!J25</f>
        <v>0</v>
      </c>
      <c r="O23" s="3">
        <f>'S28 Transportation Matrix'!K25</f>
        <v>0</v>
      </c>
      <c r="P23" s="3">
        <f>'S28 Transportation Matrix'!L25</f>
        <v>0</v>
      </c>
      <c r="Q23" s="3">
        <f>'S28 Transportation Matrix'!M25</f>
        <v>0</v>
      </c>
      <c r="R23" s="3">
        <f>'S28 Transportation Matrix'!N25</f>
        <v>0</v>
      </c>
      <c r="S23" s="3">
        <f>'S28 Transportation Matrix'!O25</f>
        <v>0</v>
      </c>
      <c r="T23" s="3">
        <f>'S28 Transportation Matrix'!P25</f>
        <v>0</v>
      </c>
      <c r="U23" s="3">
        <f>'S28 Transportation Matrix'!Q25</f>
        <v>0</v>
      </c>
      <c r="V23" s="3">
        <f>'S28 Transportation Matrix'!R25</f>
        <v>0</v>
      </c>
      <c r="W23" s="3">
        <f>'S28 Transportation Matrix'!S25</f>
        <v>0</v>
      </c>
      <c r="X23" s="3">
        <f>'S28 Transportation Matrix'!T25</f>
        <v>0</v>
      </c>
      <c r="Y23" s="3">
        <f>'S28 Transportation Matrix'!U25</f>
        <v>0</v>
      </c>
      <c r="Z23" s="3">
        <f>'S28 Transportation Matrix'!V25</f>
        <v>0</v>
      </c>
      <c r="AA23" s="3">
        <f>'S28 Transportation Matrix'!W25</f>
        <v>0</v>
      </c>
      <c r="AB23" s="3">
        <f>'S28 Transportation Matrix'!X25</f>
        <v>0</v>
      </c>
      <c r="AC23" s="3">
        <f>'S28 Transportation Matrix'!Y25</f>
        <v>0</v>
      </c>
      <c r="AD23" s="3">
        <f>'S28 Transportation Matrix'!Z25</f>
        <v>0</v>
      </c>
      <c r="AE23" s="3">
        <f>'S28 Transportation Matrix'!AA25</f>
        <v>0</v>
      </c>
      <c r="AF23" s="3">
        <f>'S28 Transportation Matrix'!AB25</f>
        <v>0</v>
      </c>
      <c r="AG23" s="3">
        <f>'S28 Transportation Matrix'!AC25</f>
        <v>0</v>
      </c>
      <c r="AH23" s="3">
        <f>'S28 Transportation Matrix'!AD25</f>
        <v>0</v>
      </c>
      <c r="AI23" s="3">
        <f>'S28 Transportation Matrix'!AE25</f>
        <v>0</v>
      </c>
      <c r="AJ23" s="3">
        <f>'S28 Transportation Matrix'!AF25</f>
        <v>0</v>
      </c>
      <c r="AK23" s="3">
        <f>'S28 Transportation Matrix'!AG25</f>
        <v>0</v>
      </c>
      <c r="AL23" s="3">
        <f>'S28 Transportation Matrix'!AH25</f>
        <v>0</v>
      </c>
      <c r="AM23" s="3">
        <f>'S28 Transportation Matrix'!AI25</f>
        <v>0</v>
      </c>
      <c r="AN23" s="3">
        <f>'S28 Transportation Matrix'!AJ25</f>
        <v>0</v>
      </c>
      <c r="AO23" s="3">
        <f>'S28 Transportation Matrix'!AK25</f>
        <v>0</v>
      </c>
      <c r="AP23" s="3">
        <f>'S28 Transportation Matrix'!AL25</f>
        <v>0</v>
      </c>
      <c r="AQ23" s="3">
        <f>'S28 Transportation Matrix'!AM25</f>
        <v>0</v>
      </c>
      <c r="AR23" s="3">
        <f>'S28 Transportation Matrix'!AN25</f>
        <v>0</v>
      </c>
      <c r="AS23" s="3">
        <f>'S28 Transportation Matrix'!AO25</f>
        <v>0</v>
      </c>
      <c r="AT23" s="3">
        <f>'S28 Transportation Matrix'!AP25</f>
        <v>0</v>
      </c>
      <c r="AU23" s="3">
        <f>'S28 Transportation Matrix'!AQ25</f>
        <v>0</v>
      </c>
      <c r="AV23" s="3">
        <f>'S28 Transportation Matrix'!AR25</f>
        <v>0</v>
      </c>
      <c r="AW23" s="3">
        <f>'S28 Transportation Matrix'!AS25</f>
        <v>0</v>
      </c>
    </row>
    <row r="24" spans="1:86">
      <c r="A24" s="3">
        <f>ROUND(SQRT(_xlfn.XLOOKUP(E24, 'S26 Space Requirements'!$B$5:$B$30, 'S26 Space Requirements'!$R$5:$R$30, 0, 0)), 0)</f>
        <v>15</v>
      </c>
      <c r="E24" s="295" t="s">
        <v>596</v>
      </c>
      <c r="F24" s="3">
        <f>'S28 Transportation Matrix'!B26</f>
        <v>0</v>
      </c>
      <c r="G24" s="3">
        <f>'S28 Transportation Matrix'!C26</f>
        <v>0</v>
      </c>
      <c r="H24" s="3">
        <f>'S28 Transportation Matrix'!D26</f>
        <v>0</v>
      </c>
      <c r="I24" s="3">
        <f>'S28 Transportation Matrix'!E26</f>
        <v>0</v>
      </c>
      <c r="J24" s="3">
        <f>'S28 Transportation Matrix'!F26</f>
        <v>0</v>
      </c>
      <c r="K24" s="3">
        <f>'S28 Transportation Matrix'!G26</f>
        <v>0</v>
      </c>
      <c r="L24" s="3">
        <f>'S28 Transportation Matrix'!H26</f>
        <v>0</v>
      </c>
      <c r="M24" s="3">
        <f>'S28 Transportation Matrix'!I26</f>
        <v>0</v>
      </c>
      <c r="N24" s="3">
        <f>'S28 Transportation Matrix'!J26</f>
        <v>0</v>
      </c>
      <c r="O24" s="3">
        <f>'S28 Transportation Matrix'!K26</f>
        <v>0</v>
      </c>
      <c r="P24" s="3">
        <f>'S28 Transportation Matrix'!L26</f>
        <v>0</v>
      </c>
      <c r="Q24" s="3">
        <f>'S28 Transportation Matrix'!M26</f>
        <v>0</v>
      </c>
      <c r="R24" s="3">
        <f>'S28 Transportation Matrix'!N26</f>
        <v>0</v>
      </c>
      <c r="S24" s="3">
        <f>'S28 Transportation Matrix'!O26</f>
        <v>0</v>
      </c>
      <c r="T24" s="3">
        <f>'S28 Transportation Matrix'!P26</f>
        <v>0</v>
      </c>
      <c r="U24" s="3">
        <f>'S28 Transportation Matrix'!Q26</f>
        <v>0</v>
      </c>
      <c r="V24" s="3">
        <f>'S28 Transportation Matrix'!R26</f>
        <v>0</v>
      </c>
      <c r="W24" s="3">
        <f>'S28 Transportation Matrix'!S26</f>
        <v>0</v>
      </c>
      <c r="X24" s="3">
        <f>'S28 Transportation Matrix'!T26</f>
        <v>0</v>
      </c>
      <c r="Y24" s="3">
        <f>'S28 Transportation Matrix'!U26</f>
        <v>0</v>
      </c>
      <c r="Z24" s="3">
        <f>'S28 Transportation Matrix'!V26</f>
        <v>0</v>
      </c>
      <c r="AA24" s="3">
        <f>'S28 Transportation Matrix'!W26</f>
        <v>0</v>
      </c>
      <c r="AB24" s="3">
        <f>'S28 Transportation Matrix'!X26</f>
        <v>0</v>
      </c>
      <c r="AC24" s="3">
        <f>'S28 Transportation Matrix'!Y26</f>
        <v>0</v>
      </c>
      <c r="AD24" s="3">
        <f>'S28 Transportation Matrix'!Z26</f>
        <v>0</v>
      </c>
      <c r="AE24" s="3">
        <f>'S28 Transportation Matrix'!AA26</f>
        <v>0</v>
      </c>
      <c r="AF24" s="3">
        <f>'S28 Transportation Matrix'!AB26</f>
        <v>0</v>
      </c>
      <c r="AG24" s="3">
        <f>'S28 Transportation Matrix'!AC26</f>
        <v>0</v>
      </c>
      <c r="AH24" s="3">
        <f>'S28 Transportation Matrix'!AD26</f>
        <v>0</v>
      </c>
      <c r="AI24" s="3">
        <f>'S28 Transportation Matrix'!AE26</f>
        <v>0</v>
      </c>
      <c r="AJ24" s="3">
        <f>'S28 Transportation Matrix'!AF26</f>
        <v>71</v>
      </c>
      <c r="AK24" s="3">
        <f>'S28 Transportation Matrix'!AG26</f>
        <v>0</v>
      </c>
      <c r="AL24" s="3">
        <f>'S28 Transportation Matrix'!AH26</f>
        <v>0</v>
      </c>
      <c r="AM24" s="3">
        <f>'S28 Transportation Matrix'!AI26</f>
        <v>0</v>
      </c>
      <c r="AN24" s="3">
        <f>'S28 Transportation Matrix'!AJ26</f>
        <v>0</v>
      </c>
      <c r="AO24" s="3">
        <f>'S28 Transportation Matrix'!AK26</f>
        <v>0</v>
      </c>
      <c r="AP24" s="3">
        <f>'S28 Transportation Matrix'!AL26</f>
        <v>0</v>
      </c>
      <c r="AQ24" s="3">
        <f>'S28 Transportation Matrix'!AM26</f>
        <v>0</v>
      </c>
      <c r="AR24" s="3">
        <f>'S28 Transportation Matrix'!AN26</f>
        <v>0</v>
      </c>
      <c r="AS24" s="3">
        <f>'S28 Transportation Matrix'!AO26</f>
        <v>0</v>
      </c>
      <c r="AT24" s="3">
        <f>'S28 Transportation Matrix'!AP26</f>
        <v>0</v>
      </c>
      <c r="AU24" s="3">
        <f>'S28 Transportation Matrix'!AQ26</f>
        <v>0</v>
      </c>
      <c r="AV24" s="3">
        <f>'S28 Transportation Matrix'!AR26</f>
        <v>0</v>
      </c>
      <c r="AW24" s="3">
        <f>'S28 Transportation Matrix'!AS26</f>
        <v>0</v>
      </c>
    </row>
    <row r="25" spans="1:86">
      <c r="A25" s="3">
        <f>ROUND(SQRT(_xlfn.XLOOKUP(E25, 'S26 Space Requirements'!$B$5:$B$30, 'S26 Space Requirements'!$R$5:$R$30, 0, 0)), 0)</f>
        <v>27</v>
      </c>
      <c r="E25" s="295" t="s">
        <v>597</v>
      </c>
      <c r="F25" s="3">
        <f>'S28 Transportation Matrix'!B27</f>
        <v>0</v>
      </c>
      <c r="G25" s="3">
        <f>'S28 Transportation Matrix'!C27</f>
        <v>0</v>
      </c>
      <c r="H25" s="3">
        <f>'S28 Transportation Matrix'!D27</f>
        <v>0</v>
      </c>
      <c r="I25" s="3">
        <f>'S28 Transportation Matrix'!E27</f>
        <v>0</v>
      </c>
      <c r="J25" s="3">
        <f>'S28 Transportation Matrix'!F27</f>
        <v>0</v>
      </c>
      <c r="K25" s="3">
        <f>'S28 Transportation Matrix'!G27</f>
        <v>0</v>
      </c>
      <c r="L25" s="3">
        <f>'S28 Transportation Matrix'!H27</f>
        <v>0</v>
      </c>
      <c r="M25" s="3">
        <f>'S28 Transportation Matrix'!I27</f>
        <v>0</v>
      </c>
      <c r="N25" s="3">
        <f>'S28 Transportation Matrix'!J27</f>
        <v>0</v>
      </c>
      <c r="O25" s="3">
        <f>'S28 Transportation Matrix'!K27</f>
        <v>0</v>
      </c>
      <c r="P25" s="3">
        <f>'S28 Transportation Matrix'!L27</f>
        <v>0</v>
      </c>
      <c r="Q25" s="3">
        <f>'S28 Transportation Matrix'!M27</f>
        <v>0</v>
      </c>
      <c r="R25" s="3">
        <f>'S28 Transportation Matrix'!N27</f>
        <v>0</v>
      </c>
      <c r="S25" s="3">
        <f>'S28 Transportation Matrix'!O27</f>
        <v>0</v>
      </c>
      <c r="T25" s="3">
        <f>'S28 Transportation Matrix'!P27</f>
        <v>0</v>
      </c>
      <c r="U25" s="3">
        <f>'S28 Transportation Matrix'!Q27</f>
        <v>0</v>
      </c>
      <c r="V25" s="3">
        <f>'S28 Transportation Matrix'!R27</f>
        <v>0</v>
      </c>
      <c r="W25" s="3">
        <f>'S28 Transportation Matrix'!S27</f>
        <v>0</v>
      </c>
      <c r="X25" s="3">
        <f>'S28 Transportation Matrix'!T27</f>
        <v>0</v>
      </c>
      <c r="Y25" s="3">
        <f>'S28 Transportation Matrix'!U27</f>
        <v>0</v>
      </c>
      <c r="Z25" s="3">
        <f>'S28 Transportation Matrix'!V27</f>
        <v>0</v>
      </c>
      <c r="AA25" s="3">
        <f>'S28 Transportation Matrix'!W27</f>
        <v>0</v>
      </c>
      <c r="AB25" s="3">
        <f>'S28 Transportation Matrix'!X27</f>
        <v>0</v>
      </c>
      <c r="AC25" s="3">
        <f>'S28 Transportation Matrix'!Y27</f>
        <v>0</v>
      </c>
      <c r="AD25" s="3">
        <f>'S28 Transportation Matrix'!Z27</f>
        <v>0</v>
      </c>
      <c r="AE25" s="3">
        <f>'S28 Transportation Matrix'!AA27</f>
        <v>0</v>
      </c>
      <c r="AF25" s="3">
        <f>'S28 Transportation Matrix'!AB27</f>
        <v>0</v>
      </c>
      <c r="AG25" s="3">
        <f>'S28 Transportation Matrix'!AC27</f>
        <v>0</v>
      </c>
      <c r="AH25" s="3">
        <f>'S28 Transportation Matrix'!AD27</f>
        <v>151</v>
      </c>
      <c r="AI25" s="3">
        <f>'S28 Transportation Matrix'!AE27</f>
        <v>0</v>
      </c>
      <c r="AJ25" s="3">
        <f>'S28 Transportation Matrix'!AF27</f>
        <v>0</v>
      </c>
      <c r="AK25" s="3">
        <f>'S28 Transportation Matrix'!AG27</f>
        <v>0</v>
      </c>
      <c r="AL25" s="3">
        <f>'S28 Transportation Matrix'!AH27</f>
        <v>0</v>
      </c>
      <c r="AM25" s="3">
        <f>'S28 Transportation Matrix'!AI27</f>
        <v>0</v>
      </c>
      <c r="AN25" s="3">
        <f>'S28 Transportation Matrix'!AJ27</f>
        <v>0</v>
      </c>
      <c r="AO25" s="3">
        <f>'S28 Transportation Matrix'!AK27</f>
        <v>0</v>
      </c>
      <c r="AP25" s="3">
        <f>'S28 Transportation Matrix'!AL27</f>
        <v>0</v>
      </c>
      <c r="AQ25" s="3">
        <f>'S28 Transportation Matrix'!AM27</f>
        <v>0</v>
      </c>
      <c r="AR25" s="3">
        <f>'S28 Transportation Matrix'!AN27</f>
        <v>0</v>
      </c>
      <c r="AS25" s="3">
        <f>'S28 Transportation Matrix'!AO27</f>
        <v>0</v>
      </c>
      <c r="AT25" s="3">
        <f>'S28 Transportation Matrix'!AP27</f>
        <v>0</v>
      </c>
      <c r="AU25" s="3">
        <f>'S28 Transportation Matrix'!AQ27</f>
        <v>0</v>
      </c>
      <c r="AV25" s="3">
        <f>'S28 Transportation Matrix'!AR27</f>
        <v>0</v>
      </c>
      <c r="AW25" s="3">
        <f>'S28 Transportation Matrix'!AS27</f>
        <v>0</v>
      </c>
    </row>
    <row r="26" spans="1:86">
      <c r="A26" s="3">
        <f>ROUND(SQRT(_xlfn.XLOOKUP(E26, 'S26 Space Requirements'!$B$5:$B$30, 'S26 Space Requirements'!$R$5:$R$30, 0, 0)), 0)</f>
        <v>28</v>
      </c>
      <c r="E26" s="295" t="s">
        <v>598</v>
      </c>
      <c r="F26" s="3">
        <f>'S28 Transportation Matrix'!B28</f>
        <v>0</v>
      </c>
      <c r="G26" s="3">
        <f>'S28 Transportation Matrix'!C28</f>
        <v>0</v>
      </c>
      <c r="H26" s="3">
        <f>'S28 Transportation Matrix'!D28</f>
        <v>0</v>
      </c>
      <c r="I26" s="3">
        <f>'S28 Transportation Matrix'!E28</f>
        <v>0</v>
      </c>
      <c r="J26" s="3">
        <f>'S28 Transportation Matrix'!F28</f>
        <v>0</v>
      </c>
      <c r="K26" s="3">
        <f>'S28 Transportation Matrix'!G28</f>
        <v>0</v>
      </c>
      <c r="L26" s="3">
        <f>'S28 Transportation Matrix'!H28</f>
        <v>0</v>
      </c>
      <c r="M26" s="3">
        <f>'S28 Transportation Matrix'!I28</f>
        <v>0</v>
      </c>
      <c r="N26" s="3">
        <f>'S28 Transportation Matrix'!J28</f>
        <v>0</v>
      </c>
      <c r="O26" s="3">
        <f>'S28 Transportation Matrix'!K28</f>
        <v>0</v>
      </c>
      <c r="P26" s="3">
        <f>'S28 Transportation Matrix'!L28</f>
        <v>0</v>
      </c>
      <c r="Q26" s="3">
        <f>'S28 Transportation Matrix'!M28</f>
        <v>0</v>
      </c>
      <c r="R26" s="3">
        <f>'S28 Transportation Matrix'!N28</f>
        <v>0</v>
      </c>
      <c r="S26" s="3">
        <f>'S28 Transportation Matrix'!O28</f>
        <v>0</v>
      </c>
      <c r="T26" s="3">
        <f>'S28 Transportation Matrix'!P28</f>
        <v>0</v>
      </c>
      <c r="U26" s="3">
        <f>'S28 Transportation Matrix'!Q28</f>
        <v>0</v>
      </c>
      <c r="V26" s="3">
        <f>'S28 Transportation Matrix'!R28</f>
        <v>0</v>
      </c>
      <c r="W26" s="3">
        <f>'S28 Transportation Matrix'!S28</f>
        <v>0</v>
      </c>
      <c r="X26" s="3">
        <f>'S28 Transportation Matrix'!T28</f>
        <v>0</v>
      </c>
      <c r="Y26" s="3">
        <f>'S28 Transportation Matrix'!U28</f>
        <v>0</v>
      </c>
      <c r="Z26" s="3">
        <f>'S28 Transportation Matrix'!V28</f>
        <v>0</v>
      </c>
      <c r="AA26" s="3">
        <f>'S28 Transportation Matrix'!W28</f>
        <v>0</v>
      </c>
      <c r="AB26" s="3">
        <f>'S28 Transportation Matrix'!X28</f>
        <v>0</v>
      </c>
      <c r="AC26" s="3">
        <f>'S28 Transportation Matrix'!Y28</f>
        <v>0</v>
      </c>
      <c r="AD26" s="3">
        <f>'S28 Transportation Matrix'!Z28</f>
        <v>0</v>
      </c>
      <c r="AE26" s="3">
        <f>'S28 Transportation Matrix'!AA28</f>
        <v>0</v>
      </c>
      <c r="AF26" s="3">
        <f>'S28 Transportation Matrix'!AB28</f>
        <v>0</v>
      </c>
      <c r="AG26" s="3">
        <f>'S28 Transportation Matrix'!AC28</f>
        <v>0</v>
      </c>
      <c r="AH26" s="3">
        <f>'S28 Transportation Matrix'!AD28</f>
        <v>0</v>
      </c>
      <c r="AI26" s="3">
        <f>'S28 Transportation Matrix'!AE28</f>
        <v>0</v>
      </c>
      <c r="AJ26" s="3">
        <f>'S28 Transportation Matrix'!AF28</f>
        <v>0</v>
      </c>
      <c r="AK26" s="3">
        <f>'S28 Transportation Matrix'!AG28</f>
        <v>0</v>
      </c>
      <c r="AL26" s="3">
        <f>'S28 Transportation Matrix'!AH28</f>
        <v>0</v>
      </c>
      <c r="AM26" s="3">
        <f>'S28 Transportation Matrix'!AI28</f>
        <v>213</v>
      </c>
      <c r="AN26" s="3">
        <f>'S28 Transportation Matrix'!AJ28</f>
        <v>0</v>
      </c>
      <c r="AO26" s="3">
        <f>'S28 Transportation Matrix'!AK28</f>
        <v>0</v>
      </c>
      <c r="AP26" s="3">
        <f>'S28 Transportation Matrix'!AL28</f>
        <v>0</v>
      </c>
      <c r="AQ26" s="3">
        <f>'S28 Transportation Matrix'!AM28</f>
        <v>0</v>
      </c>
      <c r="AR26" s="3">
        <f>'S28 Transportation Matrix'!AN28</f>
        <v>0</v>
      </c>
      <c r="AS26" s="3">
        <f>'S28 Transportation Matrix'!AO28</f>
        <v>0</v>
      </c>
      <c r="AT26" s="3">
        <f>'S28 Transportation Matrix'!AP28</f>
        <v>0</v>
      </c>
      <c r="AU26" s="3">
        <f>'S28 Transportation Matrix'!AQ28</f>
        <v>0</v>
      </c>
      <c r="AV26" s="3">
        <f>'S28 Transportation Matrix'!AR28</f>
        <v>0</v>
      </c>
      <c r="AW26" s="3">
        <f>'S28 Transportation Matrix'!AS28</f>
        <v>0</v>
      </c>
    </row>
    <row r="27" spans="1:86">
      <c r="A27" s="3">
        <f>ROUND(SQRT(_xlfn.XLOOKUP(E27, 'S26 Space Requirements'!$B$5:$B$30, 'S26 Space Requirements'!$R$5:$R$30, 0, 0)), 0)</f>
        <v>10</v>
      </c>
      <c r="E27" s="295" t="s">
        <v>599</v>
      </c>
      <c r="F27" s="3">
        <f>'S28 Transportation Matrix'!B29</f>
        <v>0</v>
      </c>
      <c r="G27" s="3">
        <f>'S28 Transportation Matrix'!C29</f>
        <v>0</v>
      </c>
      <c r="H27" s="3">
        <f>'S28 Transportation Matrix'!D29</f>
        <v>0</v>
      </c>
      <c r="I27" s="3">
        <f>'S28 Transportation Matrix'!E29</f>
        <v>0</v>
      </c>
      <c r="J27" s="3">
        <f>'S28 Transportation Matrix'!F29</f>
        <v>0</v>
      </c>
      <c r="K27" s="3">
        <f>'S28 Transportation Matrix'!G29</f>
        <v>0</v>
      </c>
      <c r="L27" s="3">
        <f>'S28 Transportation Matrix'!H29</f>
        <v>0</v>
      </c>
      <c r="M27" s="3">
        <f>'S28 Transportation Matrix'!I29</f>
        <v>0</v>
      </c>
      <c r="N27" s="3">
        <f>'S28 Transportation Matrix'!J29</f>
        <v>0</v>
      </c>
      <c r="O27" s="3">
        <f>'S28 Transportation Matrix'!K29</f>
        <v>0</v>
      </c>
      <c r="P27" s="3">
        <f>'S28 Transportation Matrix'!L29</f>
        <v>0</v>
      </c>
      <c r="Q27" s="3">
        <f>'S28 Transportation Matrix'!M29</f>
        <v>0</v>
      </c>
      <c r="R27" s="3">
        <f>'S28 Transportation Matrix'!N29</f>
        <v>0</v>
      </c>
      <c r="S27" s="3">
        <f>'S28 Transportation Matrix'!O29</f>
        <v>0</v>
      </c>
      <c r="T27" s="3">
        <f>'S28 Transportation Matrix'!P29</f>
        <v>0</v>
      </c>
      <c r="U27" s="3">
        <f>'S28 Transportation Matrix'!Q29</f>
        <v>0</v>
      </c>
      <c r="V27" s="3">
        <f>'S28 Transportation Matrix'!R29</f>
        <v>0</v>
      </c>
      <c r="W27" s="3">
        <f>'S28 Transportation Matrix'!S29</f>
        <v>0</v>
      </c>
      <c r="X27" s="3">
        <f>'S28 Transportation Matrix'!T29</f>
        <v>0</v>
      </c>
      <c r="Y27" s="3">
        <f>'S28 Transportation Matrix'!U29</f>
        <v>0</v>
      </c>
      <c r="Z27" s="3">
        <f>'S28 Transportation Matrix'!V29</f>
        <v>0</v>
      </c>
      <c r="AA27" s="3">
        <f>'S28 Transportation Matrix'!W29</f>
        <v>0</v>
      </c>
      <c r="AB27" s="3">
        <f>'S28 Transportation Matrix'!X29</f>
        <v>0</v>
      </c>
      <c r="AC27" s="3">
        <f>'S28 Transportation Matrix'!Y29</f>
        <v>0</v>
      </c>
      <c r="AD27" s="3">
        <f>'S28 Transportation Matrix'!Z29</f>
        <v>0</v>
      </c>
      <c r="AE27" s="3">
        <f>'S28 Transportation Matrix'!AA29</f>
        <v>0</v>
      </c>
      <c r="AF27" s="3">
        <f>'S28 Transportation Matrix'!AB29</f>
        <v>0</v>
      </c>
      <c r="AG27" s="3">
        <f>'S28 Transportation Matrix'!AC29</f>
        <v>0</v>
      </c>
      <c r="AH27" s="3">
        <f>'S28 Transportation Matrix'!AD29</f>
        <v>0</v>
      </c>
      <c r="AI27" s="3">
        <f>'S28 Transportation Matrix'!AE29</f>
        <v>0</v>
      </c>
      <c r="AJ27" s="3">
        <f>'S28 Transportation Matrix'!AF29</f>
        <v>0</v>
      </c>
      <c r="AK27" s="3">
        <f>'S28 Transportation Matrix'!AG29</f>
        <v>69</v>
      </c>
      <c r="AL27" s="3">
        <f>'S28 Transportation Matrix'!AH29</f>
        <v>0</v>
      </c>
      <c r="AM27" s="3">
        <f>'S28 Transportation Matrix'!AI29</f>
        <v>0</v>
      </c>
      <c r="AN27" s="3">
        <f>'S28 Transportation Matrix'!AJ29</f>
        <v>0</v>
      </c>
      <c r="AO27" s="3">
        <f>'S28 Transportation Matrix'!AK29</f>
        <v>0</v>
      </c>
      <c r="AP27" s="3">
        <f>'S28 Transportation Matrix'!AL29</f>
        <v>0</v>
      </c>
      <c r="AQ27" s="3">
        <f>'S28 Transportation Matrix'!AM29</f>
        <v>0</v>
      </c>
      <c r="AR27" s="3">
        <f>'S28 Transportation Matrix'!AN29</f>
        <v>0</v>
      </c>
      <c r="AS27" s="3">
        <f>'S28 Transportation Matrix'!AO29</f>
        <v>0</v>
      </c>
      <c r="AT27" s="3">
        <f>'S28 Transportation Matrix'!AP29</f>
        <v>0</v>
      </c>
      <c r="AU27" s="3">
        <f>'S28 Transportation Matrix'!AQ29</f>
        <v>0</v>
      </c>
      <c r="AV27" s="3">
        <f>'S28 Transportation Matrix'!AR29</f>
        <v>0</v>
      </c>
      <c r="AW27" s="3">
        <f>'S28 Transportation Matrix'!AS29</f>
        <v>0</v>
      </c>
    </row>
    <row r="28" spans="1:86">
      <c r="A28" s="3">
        <f>ROUND(SQRT(_xlfn.XLOOKUP(E28, 'S26 Space Requirements'!$B$5:$B$30, 'S26 Space Requirements'!$R$5:$R$30, 0, 0)), 0)</f>
        <v>19</v>
      </c>
      <c r="E28" s="295" t="s">
        <v>600</v>
      </c>
      <c r="F28" s="3">
        <f>'S28 Transportation Matrix'!B30</f>
        <v>0</v>
      </c>
      <c r="G28" s="3">
        <f>'S28 Transportation Matrix'!C30</f>
        <v>0</v>
      </c>
      <c r="H28" s="3">
        <f>'S28 Transportation Matrix'!D30</f>
        <v>0</v>
      </c>
      <c r="I28" s="3">
        <f>'S28 Transportation Matrix'!E30</f>
        <v>0</v>
      </c>
      <c r="J28" s="3">
        <f>'S28 Transportation Matrix'!F30</f>
        <v>0</v>
      </c>
      <c r="K28" s="3">
        <f>'S28 Transportation Matrix'!G30</f>
        <v>0</v>
      </c>
      <c r="L28" s="3">
        <f>'S28 Transportation Matrix'!H30</f>
        <v>0</v>
      </c>
      <c r="M28" s="3">
        <f>'S28 Transportation Matrix'!I30</f>
        <v>0</v>
      </c>
      <c r="N28" s="3">
        <f>'S28 Transportation Matrix'!J30</f>
        <v>0</v>
      </c>
      <c r="O28" s="3">
        <f>'S28 Transportation Matrix'!K30</f>
        <v>0</v>
      </c>
      <c r="P28" s="3">
        <f>'S28 Transportation Matrix'!L30</f>
        <v>0</v>
      </c>
      <c r="Q28" s="3">
        <f>'S28 Transportation Matrix'!M30</f>
        <v>0</v>
      </c>
      <c r="R28" s="3">
        <f>'S28 Transportation Matrix'!N30</f>
        <v>0</v>
      </c>
      <c r="S28" s="3">
        <f>'S28 Transportation Matrix'!O30</f>
        <v>0</v>
      </c>
      <c r="T28" s="3">
        <f>'S28 Transportation Matrix'!P30</f>
        <v>0</v>
      </c>
      <c r="U28" s="3">
        <f>'S28 Transportation Matrix'!Q30</f>
        <v>0</v>
      </c>
      <c r="V28" s="3">
        <f>'S28 Transportation Matrix'!R30</f>
        <v>0</v>
      </c>
      <c r="W28" s="3">
        <f>'S28 Transportation Matrix'!S30</f>
        <v>0</v>
      </c>
      <c r="X28" s="3">
        <f>'S28 Transportation Matrix'!T30</f>
        <v>0</v>
      </c>
      <c r="Y28" s="3">
        <f>'S28 Transportation Matrix'!U30</f>
        <v>0</v>
      </c>
      <c r="Z28" s="3">
        <f>'S28 Transportation Matrix'!V30</f>
        <v>0</v>
      </c>
      <c r="AA28" s="3">
        <f>'S28 Transportation Matrix'!W30</f>
        <v>0</v>
      </c>
      <c r="AB28" s="3">
        <f>'S28 Transportation Matrix'!X30</f>
        <v>0</v>
      </c>
      <c r="AC28" s="3">
        <f>'S28 Transportation Matrix'!Y30</f>
        <v>0</v>
      </c>
      <c r="AD28" s="3">
        <f>'S28 Transportation Matrix'!Z30</f>
        <v>0</v>
      </c>
      <c r="AE28" s="3">
        <f>'S28 Transportation Matrix'!AA30</f>
        <v>0</v>
      </c>
      <c r="AF28" s="3">
        <f>'S28 Transportation Matrix'!AB30</f>
        <v>0</v>
      </c>
      <c r="AG28" s="3">
        <f>'S28 Transportation Matrix'!AC30</f>
        <v>0</v>
      </c>
      <c r="AH28" s="3">
        <f>'S28 Transportation Matrix'!AD30</f>
        <v>0</v>
      </c>
      <c r="AI28" s="3">
        <f>'S28 Transportation Matrix'!AE30</f>
        <v>0</v>
      </c>
      <c r="AJ28" s="3">
        <f>'S28 Transportation Matrix'!AF30</f>
        <v>0</v>
      </c>
      <c r="AK28" s="3">
        <f>'S28 Transportation Matrix'!AG30</f>
        <v>89</v>
      </c>
      <c r="AL28" s="3">
        <f>'S28 Transportation Matrix'!AH30</f>
        <v>0</v>
      </c>
      <c r="AM28" s="3">
        <f>'S28 Transportation Matrix'!AI30</f>
        <v>0</v>
      </c>
      <c r="AN28" s="3">
        <f>'S28 Transportation Matrix'!AJ30</f>
        <v>0</v>
      </c>
      <c r="AO28" s="3">
        <f>'S28 Transportation Matrix'!AK30</f>
        <v>0</v>
      </c>
      <c r="AP28" s="3">
        <f>'S28 Transportation Matrix'!AL30</f>
        <v>0</v>
      </c>
      <c r="AQ28" s="3">
        <f>'S28 Transportation Matrix'!AM30</f>
        <v>0</v>
      </c>
      <c r="AR28" s="3">
        <f>'S28 Transportation Matrix'!AN30</f>
        <v>0</v>
      </c>
      <c r="AS28" s="3">
        <f>'S28 Transportation Matrix'!AO30</f>
        <v>0</v>
      </c>
      <c r="AT28" s="3">
        <f>'S28 Transportation Matrix'!AP30</f>
        <v>0</v>
      </c>
      <c r="AU28" s="3">
        <f>'S28 Transportation Matrix'!AQ30</f>
        <v>0</v>
      </c>
      <c r="AV28" s="3">
        <f>'S28 Transportation Matrix'!AR30</f>
        <v>0</v>
      </c>
      <c r="AW28" s="3">
        <f>'S28 Transportation Matrix'!AS30</f>
        <v>0</v>
      </c>
    </row>
    <row r="29" spans="1:86">
      <c r="A29" s="3">
        <f>ROUND(SQRT(_xlfn.XLOOKUP(E29, 'S26 Space Requirements'!$B$5:$B$30, 'S26 Space Requirements'!$R$5:$R$30, 0, 0)), 0)</f>
        <v>22</v>
      </c>
      <c r="E29" s="295" t="s">
        <v>601</v>
      </c>
      <c r="F29" s="3">
        <f>'S28 Transportation Matrix'!B31</f>
        <v>0</v>
      </c>
      <c r="G29" s="3">
        <f>'S28 Transportation Matrix'!C31</f>
        <v>0</v>
      </c>
      <c r="H29" s="3">
        <f>'S28 Transportation Matrix'!D31</f>
        <v>0</v>
      </c>
      <c r="I29" s="3">
        <f>'S28 Transportation Matrix'!E31</f>
        <v>0</v>
      </c>
      <c r="J29" s="3">
        <f>'S28 Transportation Matrix'!F31</f>
        <v>0</v>
      </c>
      <c r="K29" s="3">
        <f>'S28 Transportation Matrix'!G31</f>
        <v>0</v>
      </c>
      <c r="L29" s="3">
        <f>'S28 Transportation Matrix'!H31</f>
        <v>0</v>
      </c>
      <c r="M29" s="3">
        <f>'S28 Transportation Matrix'!I31</f>
        <v>0</v>
      </c>
      <c r="N29" s="3">
        <f>'S28 Transportation Matrix'!J31</f>
        <v>0</v>
      </c>
      <c r="O29" s="3">
        <f>'S28 Transportation Matrix'!K31</f>
        <v>0</v>
      </c>
      <c r="P29" s="3">
        <f>'S28 Transportation Matrix'!L31</f>
        <v>0</v>
      </c>
      <c r="Q29" s="3">
        <f>'S28 Transportation Matrix'!M31</f>
        <v>0</v>
      </c>
      <c r="R29" s="3">
        <f>'S28 Transportation Matrix'!N31</f>
        <v>0</v>
      </c>
      <c r="S29" s="3">
        <f>'S28 Transportation Matrix'!O31</f>
        <v>0</v>
      </c>
      <c r="T29" s="3">
        <f>'S28 Transportation Matrix'!P31</f>
        <v>0</v>
      </c>
      <c r="U29" s="3">
        <f>'S28 Transportation Matrix'!Q31</f>
        <v>0</v>
      </c>
      <c r="V29" s="3">
        <f>'S28 Transportation Matrix'!R31</f>
        <v>0</v>
      </c>
      <c r="W29" s="3">
        <f>'S28 Transportation Matrix'!S31</f>
        <v>0</v>
      </c>
      <c r="X29" s="3">
        <f>'S28 Transportation Matrix'!T31</f>
        <v>0</v>
      </c>
      <c r="Y29" s="3">
        <f>'S28 Transportation Matrix'!U31</f>
        <v>0</v>
      </c>
      <c r="Z29" s="3">
        <f>'S28 Transportation Matrix'!V31</f>
        <v>0</v>
      </c>
      <c r="AA29" s="3">
        <f>'S28 Transportation Matrix'!W31</f>
        <v>0</v>
      </c>
      <c r="AB29" s="3">
        <f>'S28 Transportation Matrix'!X31</f>
        <v>0</v>
      </c>
      <c r="AC29" s="3">
        <f>'S28 Transportation Matrix'!Y31</f>
        <v>0</v>
      </c>
      <c r="AD29" s="3">
        <f>'S28 Transportation Matrix'!Z31</f>
        <v>0</v>
      </c>
      <c r="AE29" s="3">
        <f>'S28 Transportation Matrix'!AA31</f>
        <v>0</v>
      </c>
      <c r="AF29" s="3">
        <f>'S28 Transportation Matrix'!AB31</f>
        <v>89</v>
      </c>
      <c r="AG29" s="3">
        <f>'S28 Transportation Matrix'!AC31</f>
        <v>0</v>
      </c>
      <c r="AH29" s="3">
        <f>'S28 Transportation Matrix'!AD31</f>
        <v>0</v>
      </c>
      <c r="AI29" s="3">
        <f>'S28 Transportation Matrix'!AE31</f>
        <v>0</v>
      </c>
      <c r="AJ29" s="3">
        <f>'S28 Transportation Matrix'!AF31</f>
        <v>0</v>
      </c>
      <c r="AK29" s="3">
        <f>'S28 Transportation Matrix'!AG31</f>
        <v>0</v>
      </c>
      <c r="AL29" s="3">
        <f>'S28 Transportation Matrix'!AH31</f>
        <v>0</v>
      </c>
      <c r="AM29" s="3">
        <f>'S28 Transportation Matrix'!AI31</f>
        <v>0</v>
      </c>
      <c r="AN29" s="3">
        <f>'S28 Transportation Matrix'!AJ31</f>
        <v>0</v>
      </c>
      <c r="AO29" s="3">
        <f>'S28 Transportation Matrix'!AK31</f>
        <v>0</v>
      </c>
      <c r="AP29" s="3">
        <f>'S28 Transportation Matrix'!AL31</f>
        <v>0</v>
      </c>
      <c r="AQ29" s="3">
        <f>'S28 Transportation Matrix'!AM31</f>
        <v>0</v>
      </c>
      <c r="AR29" s="3">
        <f>'S28 Transportation Matrix'!AN31</f>
        <v>0</v>
      </c>
      <c r="AS29" s="3">
        <f>'S28 Transportation Matrix'!AO31</f>
        <v>0</v>
      </c>
      <c r="AT29" s="3">
        <f>'S28 Transportation Matrix'!AP31</f>
        <v>0</v>
      </c>
      <c r="AU29" s="3">
        <f>'S28 Transportation Matrix'!AQ31</f>
        <v>0</v>
      </c>
      <c r="AV29" s="3">
        <f>'S28 Transportation Matrix'!AR31</f>
        <v>0</v>
      </c>
      <c r="AW29" s="3">
        <f>'S28 Transportation Matrix'!AS31</f>
        <v>0</v>
      </c>
    </row>
    <row r="30" spans="1:86">
      <c r="A30" s="3">
        <f>ROUND(SQRT(_xlfn.XLOOKUP(E30, 'S26 Space Requirements'!$B$5:$B$30, 'S26 Space Requirements'!$R$5:$R$30, 0, 0)), 0)</f>
        <v>26</v>
      </c>
      <c r="E30" s="295" t="s">
        <v>602</v>
      </c>
      <c r="F30" s="3">
        <f>'S28 Transportation Matrix'!B32</f>
        <v>0</v>
      </c>
      <c r="G30" s="3">
        <f>'S28 Transportation Matrix'!C32</f>
        <v>0</v>
      </c>
      <c r="H30" s="3">
        <f>'S28 Transportation Matrix'!D32</f>
        <v>0</v>
      </c>
      <c r="I30" s="3">
        <f>'S28 Transportation Matrix'!E32</f>
        <v>0</v>
      </c>
      <c r="J30" s="3">
        <f>'S28 Transportation Matrix'!F32</f>
        <v>0</v>
      </c>
      <c r="K30" s="3">
        <f>'S28 Transportation Matrix'!G32</f>
        <v>0</v>
      </c>
      <c r="L30" s="3">
        <f>'S28 Transportation Matrix'!H32</f>
        <v>0</v>
      </c>
      <c r="M30" s="3">
        <f>'S28 Transportation Matrix'!I32</f>
        <v>0</v>
      </c>
      <c r="N30" s="3">
        <f>'S28 Transportation Matrix'!J32</f>
        <v>0</v>
      </c>
      <c r="O30" s="3">
        <f>'S28 Transportation Matrix'!K32</f>
        <v>0</v>
      </c>
      <c r="P30" s="3">
        <f>'S28 Transportation Matrix'!L32</f>
        <v>0</v>
      </c>
      <c r="Q30" s="3">
        <f>'S28 Transportation Matrix'!M32</f>
        <v>0</v>
      </c>
      <c r="R30" s="3">
        <f>'S28 Transportation Matrix'!N32</f>
        <v>0</v>
      </c>
      <c r="S30" s="3">
        <f>'S28 Transportation Matrix'!O32</f>
        <v>0</v>
      </c>
      <c r="T30" s="3">
        <f>'S28 Transportation Matrix'!P32</f>
        <v>0</v>
      </c>
      <c r="U30" s="3">
        <f>'S28 Transportation Matrix'!Q32</f>
        <v>0</v>
      </c>
      <c r="V30" s="3">
        <f>'S28 Transportation Matrix'!R32</f>
        <v>0</v>
      </c>
      <c r="W30" s="3">
        <f>'S28 Transportation Matrix'!S32</f>
        <v>0</v>
      </c>
      <c r="X30" s="3">
        <f>'S28 Transportation Matrix'!T32</f>
        <v>0</v>
      </c>
      <c r="Y30" s="3">
        <f>'S28 Transportation Matrix'!U32</f>
        <v>0</v>
      </c>
      <c r="Z30" s="3">
        <f>'S28 Transportation Matrix'!V32</f>
        <v>0</v>
      </c>
      <c r="AA30" s="3">
        <f>'S28 Transportation Matrix'!W32</f>
        <v>0</v>
      </c>
      <c r="AB30" s="3">
        <f>'S28 Transportation Matrix'!X32</f>
        <v>0</v>
      </c>
      <c r="AC30" s="3">
        <f>'S28 Transportation Matrix'!Y32</f>
        <v>0</v>
      </c>
      <c r="AD30" s="3">
        <f>'S28 Transportation Matrix'!Z32</f>
        <v>0</v>
      </c>
      <c r="AE30" s="3">
        <f>'S28 Transportation Matrix'!AA32</f>
        <v>0</v>
      </c>
      <c r="AF30" s="3">
        <f>'S28 Transportation Matrix'!AB32</f>
        <v>0</v>
      </c>
      <c r="AG30" s="3">
        <f>'S28 Transportation Matrix'!AC32</f>
        <v>0</v>
      </c>
      <c r="AH30" s="3">
        <f>'S28 Transportation Matrix'!AD32</f>
        <v>0</v>
      </c>
      <c r="AI30" s="3">
        <f>'S28 Transportation Matrix'!AE32</f>
        <v>0</v>
      </c>
      <c r="AJ30" s="3">
        <f>'S28 Transportation Matrix'!AF32</f>
        <v>0</v>
      </c>
      <c r="AK30" s="3">
        <f>'S28 Transportation Matrix'!AG32</f>
        <v>0</v>
      </c>
      <c r="AL30" s="3">
        <f>'S28 Transportation Matrix'!AH32</f>
        <v>151</v>
      </c>
      <c r="AM30" s="3">
        <f>'S28 Transportation Matrix'!AI32</f>
        <v>0</v>
      </c>
      <c r="AN30" s="3">
        <f>'S28 Transportation Matrix'!AJ32</f>
        <v>0</v>
      </c>
      <c r="AO30" s="3">
        <f>'S28 Transportation Matrix'!AK32</f>
        <v>0</v>
      </c>
      <c r="AP30" s="3">
        <f>'S28 Transportation Matrix'!AL32</f>
        <v>0</v>
      </c>
      <c r="AQ30" s="3">
        <f>'S28 Transportation Matrix'!AM32</f>
        <v>0</v>
      </c>
      <c r="AR30" s="3">
        <f>'S28 Transportation Matrix'!AN32</f>
        <v>0</v>
      </c>
      <c r="AS30" s="3">
        <f>'S28 Transportation Matrix'!AO32</f>
        <v>0</v>
      </c>
      <c r="AT30" s="3">
        <f>'S28 Transportation Matrix'!AP32</f>
        <v>0</v>
      </c>
      <c r="AU30" s="3">
        <f>'S28 Transportation Matrix'!AQ32</f>
        <v>0</v>
      </c>
      <c r="AV30" s="3">
        <f>'S28 Transportation Matrix'!AR32</f>
        <v>0</v>
      </c>
      <c r="AW30" s="3">
        <f>'S28 Transportation Matrix'!AS32</f>
        <v>0</v>
      </c>
    </row>
    <row r="31" spans="1:86">
      <c r="A31" s="3">
        <f>ROUND(SQRT(_xlfn.XLOOKUP(E31, 'S26 Space Requirements'!$B$5:$B$30, 'S26 Space Requirements'!$R$5:$R$30, 0, 0)), 0)</f>
        <v>0</v>
      </c>
      <c r="E31" s="295" t="s">
        <v>603</v>
      </c>
      <c r="F31" s="3">
        <f>'S28 Transportation Matrix'!B33</f>
        <v>0</v>
      </c>
      <c r="G31" s="3">
        <f>'S28 Transportation Matrix'!C33</f>
        <v>0</v>
      </c>
      <c r="H31" s="3">
        <f>'S28 Transportation Matrix'!D33</f>
        <v>0</v>
      </c>
      <c r="I31" s="3">
        <f>'S28 Transportation Matrix'!E33</f>
        <v>0</v>
      </c>
      <c r="J31" s="3">
        <f>'S28 Transportation Matrix'!F33</f>
        <v>0</v>
      </c>
      <c r="K31" s="3">
        <f>'S28 Transportation Matrix'!G33</f>
        <v>0</v>
      </c>
      <c r="L31" s="3">
        <f>'S28 Transportation Matrix'!H33</f>
        <v>0</v>
      </c>
      <c r="M31" s="3">
        <f>'S28 Transportation Matrix'!I33</f>
        <v>0</v>
      </c>
      <c r="N31" s="3">
        <f>'S28 Transportation Matrix'!J33</f>
        <v>0</v>
      </c>
      <c r="O31" s="3">
        <f>'S28 Transportation Matrix'!K33</f>
        <v>0</v>
      </c>
      <c r="P31" s="3">
        <f>'S28 Transportation Matrix'!L33</f>
        <v>0</v>
      </c>
      <c r="Q31" s="3">
        <f>'S28 Transportation Matrix'!M33</f>
        <v>0</v>
      </c>
      <c r="R31" s="3">
        <f>'S28 Transportation Matrix'!N33</f>
        <v>0</v>
      </c>
      <c r="S31" s="3">
        <f>'S28 Transportation Matrix'!O33</f>
        <v>0</v>
      </c>
      <c r="T31" s="3">
        <f>'S28 Transportation Matrix'!P33</f>
        <v>0</v>
      </c>
      <c r="U31" s="3">
        <f>'S28 Transportation Matrix'!Q33</f>
        <v>0</v>
      </c>
      <c r="V31" s="3">
        <f>'S28 Transportation Matrix'!R33</f>
        <v>0</v>
      </c>
      <c r="W31" s="3">
        <f>'S28 Transportation Matrix'!S33</f>
        <v>0</v>
      </c>
      <c r="X31" s="3">
        <f>'S28 Transportation Matrix'!T33</f>
        <v>0</v>
      </c>
      <c r="Y31" s="3">
        <f>'S28 Transportation Matrix'!U33</f>
        <v>0</v>
      </c>
      <c r="Z31" s="3">
        <f>'S28 Transportation Matrix'!V33</f>
        <v>0</v>
      </c>
      <c r="AA31" s="3">
        <f>'S28 Transportation Matrix'!W33</f>
        <v>0</v>
      </c>
      <c r="AB31" s="3">
        <f>'S28 Transportation Matrix'!X33</f>
        <v>0</v>
      </c>
      <c r="AC31" s="3">
        <f>'S28 Transportation Matrix'!Y33</f>
        <v>0</v>
      </c>
      <c r="AD31" s="3">
        <f>'S28 Transportation Matrix'!Z33</f>
        <v>0</v>
      </c>
      <c r="AE31" s="3">
        <f>'S28 Transportation Matrix'!AA33</f>
        <v>0</v>
      </c>
      <c r="AF31" s="3">
        <f>'S28 Transportation Matrix'!AB33</f>
        <v>0</v>
      </c>
      <c r="AG31" s="3">
        <f>'S28 Transportation Matrix'!AC33</f>
        <v>0</v>
      </c>
      <c r="AH31" s="3">
        <f>'S28 Transportation Matrix'!AD33</f>
        <v>0</v>
      </c>
      <c r="AI31" s="3">
        <f>'S28 Transportation Matrix'!AE33</f>
        <v>0</v>
      </c>
      <c r="AJ31" s="3">
        <f>'S28 Transportation Matrix'!AF33</f>
        <v>0</v>
      </c>
      <c r="AK31" s="3">
        <f>'S28 Transportation Matrix'!AG33</f>
        <v>0</v>
      </c>
      <c r="AL31" s="3">
        <f>'S28 Transportation Matrix'!AH33</f>
        <v>0</v>
      </c>
      <c r="AM31" s="3">
        <f>'S28 Transportation Matrix'!AI33</f>
        <v>0</v>
      </c>
      <c r="AN31" s="3">
        <f>'S28 Transportation Matrix'!AJ33</f>
        <v>0</v>
      </c>
      <c r="AO31" s="3">
        <f>'S28 Transportation Matrix'!AK33</f>
        <v>0</v>
      </c>
      <c r="AP31" s="3">
        <f>'S28 Transportation Matrix'!AL33</f>
        <v>0</v>
      </c>
      <c r="AQ31" s="3">
        <f>'S28 Transportation Matrix'!AM33</f>
        <v>0</v>
      </c>
      <c r="AR31" s="3">
        <f>'S28 Transportation Matrix'!AN33</f>
        <v>0</v>
      </c>
      <c r="AS31" s="3">
        <f>'S28 Transportation Matrix'!AO33</f>
        <v>0</v>
      </c>
      <c r="AT31" s="3">
        <f>'S28 Transportation Matrix'!AP33</f>
        <v>0</v>
      </c>
      <c r="AU31" s="3">
        <f>'S28 Transportation Matrix'!AQ33</f>
        <v>0</v>
      </c>
      <c r="AV31" s="3">
        <f>'S28 Transportation Matrix'!AR33</f>
        <v>0</v>
      </c>
      <c r="AW31" s="3">
        <f>'S28 Transportation Matrix'!AS33</f>
        <v>0</v>
      </c>
    </row>
    <row r="32" spans="1:86">
      <c r="A32" s="3">
        <f>ROUND(SQRT(_xlfn.XLOOKUP(E32, 'S26 Space Requirements'!$B$5:$B$30, 'S26 Space Requirements'!$R$5:$R$30, 0, 0)), 0)</f>
        <v>12</v>
      </c>
      <c r="E32" s="295" t="s">
        <v>604</v>
      </c>
      <c r="F32" s="3">
        <f>'S28 Transportation Matrix'!B34</f>
        <v>0</v>
      </c>
      <c r="G32" s="3">
        <f>'S28 Transportation Matrix'!C34</f>
        <v>0</v>
      </c>
      <c r="H32" s="3">
        <f>'S28 Transportation Matrix'!D34</f>
        <v>0</v>
      </c>
      <c r="I32" s="3">
        <f>'S28 Transportation Matrix'!E34</f>
        <v>0</v>
      </c>
      <c r="J32" s="3">
        <f>'S28 Transportation Matrix'!F34</f>
        <v>0</v>
      </c>
      <c r="K32" s="3">
        <f>'S28 Transportation Matrix'!G34</f>
        <v>0</v>
      </c>
      <c r="L32" s="3">
        <f>'S28 Transportation Matrix'!H34</f>
        <v>0</v>
      </c>
      <c r="M32" s="3">
        <f>'S28 Transportation Matrix'!I34</f>
        <v>0</v>
      </c>
      <c r="N32" s="3">
        <f>'S28 Transportation Matrix'!J34</f>
        <v>0</v>
      </c>
      <c r="O32" s="3">
        <f>'S28 Transportation Matrix'!K34</f>
        <v>0</v>
      </c>
      <c r="P32" s="3">
        <f>'S28 Transportation Matrix'!L34</f>
        <v>0</v>
      </c>
      <c r="Q32" s="3">
        <f>'S28 Transportation Matrix'!M34</f>
        <v>0</v>
      </c>
      <c r="R32" s="3">
        <f>'S28 Transportation Matrix'!N34</f>
        <v>0</v>
      </c>
      <c r="S32" s="3">
        <f>'S28 Transportation Matrix'!O34</f>
        <v>0</v>
      </c>
      <c r="T32" s="3">
        <f>'S28 Transportation Matrix'!P34</f>
        <v>0</v>
      </c>
      <c r="U32" s="3">
        <f>'S28 Transportation Matrix'!Q34</f>
        <v>0</v>
      </c>
      <c r="V32" s="3">
        <f>'S28 Transportation Matrix'!R34</f>
        <v>0</v>
      </c>
      <c r="W32" s="3">
        <f>'S28 Transportation Matrix'!S34</f>
        <v>0</v>
      </c>
      <c r="X32" s="3">
        <f>'S28 Transportation Matrix'!T34</f>
        <v>0</v>
      </c>
      <c r="Y32" s="3">
        <f>'S28 Transportation Matrix'!U34</f>
        <v>0</v>
      </c>
      <c r="Z32" s="3">
        <f>'S28 Transportation Matrix'!V34</f>
        <v>0</v>
      </c>
      <c r="AA32" s="3">
        <f>'S28 Transportation Matrix'!W34</f>
        <v>0</v>
      </c>
      <c r="AB32" s="3">
        <f>'S28 Transportation Matrix'!X34</f>
        <v>0</v>
      </c>
      <c r="AC32" s="3">
        <f>'S28 Transportation Matrix'!Y34</f>
        <v>0</v>
      </c>
      <c r="AD32" s="3">
        <f>'S28 Transportation Matrix'!Z34</f>
        <v>0</v>
      </c>
      <c r="AE32" s="3">
        <f>'S28 Transportation Matrix'!AA34</f>
        <v>0</v>
      </c>
      <c r="AF32" s="3">
        <f>'S28 Transportation Matrix'!AB34</f>
        <v>0</v>
      </c>
      <c r="AG32" s="3">
        <f>'S28 Transportation Matrix'!AC34</f>
        <v>0</v>
      </c>
      <c r="AH32" s="3">
        <f>'S28 Transportation Matrix'!AD34</f>
        <v>0</v>
      </c>
      <c r="AI32" s="3">
        <f>'S28 Transportation Matrix'!AE34</f>
        <v>0</v>
      </c>
      <c r="AJ32" s="3">
        <f>'S28 Transportation Matrix'!AF34</f>
        <v>0</v>
      </c>
      <c r="AK32" s="3">
        <f>'S28 Transportation Matrix'!AG34</f>
        <v>71</v>
      </c>
      <c r="AL32" s="3">
        <f>'S28 Transportation Matrix'!AH34</f>
        <v>0</v>
      </c>
      <c r="AM32" s="3">
        <f>'S28 Transportation Matrix'!AI34</f>
        <v>0</v>
      </c>
      <c r="AN32" s="3">
        <f>'S28 Transportation Matrix'!AJ34</f>
        <v>0</v>
      </c>
      <c r="AO32" s="3">
        <f>'S28 Transportation Matrix'!AK34</f>
        <v>0</v>
      </c>
      <c r="AP32" s="3">
        <f>'S28 Transportation Matrix'!AL34</f>
        <v>0</v>
      </c>
      <c r="AQ32" s="3">
        <f>'S28 Transportation Matrix'!AM34</f>
        <v>0</v>
      </c>
      <c r="AR32" s="3">
        <f>'S28 Transportation Matrix'!AN34</f>
        <v>0</v>
      </c>
      <c r="AS32" s="3">
        <f>'S28 Transportation Matrix'!AO34</f>
        <v>0</v>
      </c>
      <c r="AT32" s="3">
        <f>'S28 Transportation Matrix'!AP34</f>
        <v>0</v>
      </c>
      <c r="AU32" s="3">
        <f>'S28 Transportation Matrix'!AQ34</f>
        <v>0</v>
      </c>
      <c r="AV32" s="3">
        <f>'S28 Transportation Matrix'!AR34</f>
        <v>0</v>
      </c>
      <c r="AW32" s="3">
        <f>'S28 Transportation Matrix'!AS34</f>
        <v>0</v>
      </c>
    </row>
    <row r="33" spans="1:49">
      <c r="A33" s="3">
        <f>ROUND(SQRT(_xlfn.XLOOKUP(E33, 'S26 Space Requirements'!$B$5:$B$30, 'S26 Space Requirements'!$R$5:$R$30, 0, 0)), 0)</f>
        <v>36</v>
      </c>
      <c r="E33" s="295" t="s">
        <v>605</v>
      </c>
      <c r="F33" s="3">
        <f>'S28 Transportation Matrix'!B35</f>
        <v>0</v>
      </c>
      <c r="G33" s="3">
        <f>'S28 Transportation Matrix'!C35</f>
        <v>0</v>
      </c>
      <c r="H33" s="3">
        <f>'S28 Transportation Matrix'!D35</f>
        <v>0</v>
      </c>
      <c r="I33" s="3">
        <f>'S28 Transportation Matrix'!E35</f>
        <v>0</v>
      </c>
      <c r="J33" s="3">
        <f>'S28 Transportation Matrix'!F35</f>
        <v>0</v>
      </c>
      <c r="K33" s="3">
        <f>'S28 Transportation Matrix'!G35</f>
        <v>0</v>
      </c>
      <c r="L33" s="3">
        <f>'S28 Transportation Matrix'!H35</f>
        <v>0</v>
      </c>
      <c r="M33" s="3">
        <f>'S28 Transportation Matrix'!I35</f>
        <v>0</v>
      </c>
      <c r="N33" s="3">
        <f>'S28 Transportation Matrix'!J35</f>
        <v>0</v>
      </c>
      <c r="O33" s="3">
        <f>'S28 Transportation Matrix'!K35</f>
        <v>0</v>
      </c>
      <c r="P33" s="3">
        <f>'S28 Transportation Matrix'!L35</f>
        <v>0</v>
      </c>
      <c r="Q33" s="3">
        <f>'S28 Transportation Matrix'!M35</f>
        <v>0</v>
      </c>
      <c r="R33" s="3">
        <f>'S28 Transportation Matrix'!N35</f>
        <v>0</v>
      </c>
      <c r="S33" s="3">
        <f>'S28 Transportation Matrix'!O35</f>
        <v>0</v>
      </c>
      <c r="T33" s="3">
        <f>'S28 Transportation Matrix'!P35</f>
        <v>0</v>
      </c>
      <c r="U33" s="3">
        <f>'S28 Transportation Matrix'!Q35</f>
        <v>0</v>
      </c>
      <c r="V33" s="3">
        <f>'S28 Transportation Matrix'!R35</f>
        <v>0</v>
      </c>
      <c r="W33" s="3">
        <f>'S28 Transportation Matrix'!S35</f>
        <v>0</v>
      </c>
      <c r="X33" s="3">
        <f>'S28 Transportation Matrix'!T35</f>
        <v>0</v>
      </c>
      <c r="Y33" s="3">
        <f>'S28 Transportation Matrix'!U35</f>
        <v>0</v>
      </c>
      <c r="Z33" s="3">
        <f>'S28 Transportation Matrix'!V35</f>
        <v>0</v>
      </c>
      <c r="AA33" s="3">
        <f>'S28 Transportation Matrix'!W35</f>
        <v>0</v>
      </c>
      <c r="AB33" s="3">
        <f>'S28 Transportation Matrix'!X35</f>
        <v>0</v>
      </c>
      <c r="AC33" s="3">
        <f>'S28 Transportation Matrix'!Y35</f>
        <v>0</v>
      </c>
      <c r="AD33" s="3">
        <f>'S28 Transportation Matrix'!Z35</f>
        <v>0</v>
      </c>
      <c r="AE33" s="3">
        <f>'S28 Transportation Matrix'!AA35</f>
        <v>0</v>
      </c>
      <c r="AF33" s="3">
        <f>'S28 Transportation Matrix'!AB35</f>
        <v>0</v>
      </c>
      <c r="AG33" s="3">
        <f>'S28 Transportation Matrix'!AC35</f>
        <v>0</v>
      </c>
      <c r="AH33" s="3">
        <f>'S28 Transportation Matrix'!AD35</f>
        <v>0</v>
      </c>
      <c r="AI33" s="3">
        <f>'S28 Transportation Matrix'!AE35</f>
        <v>0</v>
      </c>
      <c r="AJ33" s="3">
        <f>'S28 Transportation Matrix'!AF35</f>
        <v>0</v>
      </c>
      <c r="AK33" s="3">
        <f>'S28 Transportation Matrix'!AG35</f>
        <v>0</v>
      </c>
      <c r="AL33" s="3">
        <f>'S28 Transportation Matrix'!AH35</f>
        <v>0</v>
      </c>
      <c r="AM33" s="3">
        <f>'S28 Transportation Matrix'!AI35</f>
        <v>0</v>
      </c>
      <c r="AN33" s="3">
        <f>'S28 Transportation Matrix'!AJ35</f>
        <v>0</v>
      </c>
      <c r="AO33" s="3">
        <f>'S28 Transportation Matrix'!AK35</f>
        <v>0</v>
      </c>
      <c r="AP33" s="3">
        <f>'S28 Transportation Matrix'!AL35</f>
        <v>0</v>
      </c>
      <c r="AQ33" s="3">
        <f>'S28 Transportation Matrix'!AM35</f>
        <v>0</v>
      </c>
      <c r="AR33" s="3">
        <f>'S28 Transportation Matrix'!AN35</f>
        <v>0</v>
      </c>
      <c r="AS33" s="3">
        <f>'S28 Transportation Matrix'!AO35</f>
        <v>0</v>
      </c>
      <c r="AT33" s="3">
        <f>'S28 Transportation Matrix'!AP35</f>
        <v>0</v>
      </c>
      <c r="AU33" s="3">
        <f>'S28 Transportation Matrix'!AQ35</f>
        <v>44</v>
      </c>
      <c r="AV33" s="3">
        <f>'S28 Transportation Matrix'!AR35</f>
        <v>0</v>
      </c>
      <c r="AW33" s="3">
        <f>'S28 Transportation Matrix'!AS35</f>
        <v>184</v>
      </c>
    </row>
    <row r="34" spans="1:49">
      <c r="A34" s="3">
        <f>ROUND(SQRT(_xlfn.XLOOKUP(E34, 'S26 Space Requirements'!$B$5:$B$30, 'S26 Space Requirements'!$R$5:$R$30, 0, 0)), 0)</f>
        <v>22</v>
      </c>
      <c r="E34" s="295" t="s">
        <v>606</v>
      </c>
      <c r="F34" s="3">
        <f>'S28 Transportation Matrix'!B36</f>
        <v>0</v>
      </c>
      <c r="G34" s="3">
        <f>'S28 Transportation Matrix'!C36</f>
        <v>0</v>
      </c>
      <c r="H34" s="3">
        <f>'S28 Transportation Matrix'!D36</f>
        <v>0</v>
      </c>
      <c r="I34" s="3">
        <f>'S28 Transportation Matrix'!E36</f>
        <v>0</v>
      </c>
      <c r="J34" s="3">
        <f>'S28 Transportation Matrix'!F36</f>
        <v>0</v>
      </c>
      <c r="K34" s="3">
        <f>'S28 Transportation Matrix'!G36</f>
        <v>0</v>
      </c>
      <c r="L34" s="3">
        <f>'S28 Transportation Matrix'!H36</f>
        <v>0</v>
      </c>
      <c r="M34" s="3">
        <f>'S28 Transportation Matrix'!I36</f>
        <v>0</v>
      </c>
      <c r="N34" s="3">
        <f>'S28 Transportation Matrix'!J36</f>
        <v>0</v>
      </c>
      <c r="O34" s="3">
        <f>'S28 Transportation Matrix'!K36</f>
        <v>0</v>
      </c>
      <c r="P34" s="3">
        <f>'S28 Transportation Matrix'!L36</f>
        <v>0</v>
      </c>
      <c r="Q34" s="3">
        <f>'S28 Transportation Matrix'!M36</f>
        <v>0</v>
      </c>
      <c r="R34" s="3">
        <f>'S28 Transportation Matrix'!N36</f>
        <v>0</v>
      </c>
      <c r="S34" s="3">
        <f>'S28 Transportation Matrix'!O36</f>
        <v>0</v>
      </c>
      <c r="T34" s="3">
        <f>'S28 Transportation Matrix'!P36</f>
        <v>0</v>
      </c>
      <c r="U34" s="3">
        <f>'S28 Transportation Matrix'!Q36</f>
        <v>0</v>
      </c>
      <c r="V34" s="3">
        <f>'S28 Transportation Matrix'!R36</f>
        <v>0</v>
      </c>
      <c r="W34" s="3">
        <f>'S28 Transportation Matrix'!S36</f>
        <v>0</v>
      </c>
      <c r="X34" s="3">
        <f>'S28 Transportation Matrix'!T36</f>
        <v>0</v>
      </c>
      <c r="Y34" s="3">
        <f>'S28 Transportation Matrix'!U36</f>
        <v>0</v>
      </c>
      <c r="Z34" s="3">
        <f>'S28 Transportation Matrix'!V36</f>
        <v>0</v>
      </c>
      <c r="AA34" s="3">
        <f>'S28 Transportation Matrix'!W36</f>
        <v>0</v>
      </c>
      <c r="AB34" s="3">
        <f>'S28 Transportation Matrix'!X36</f>
        <v>0</v>
      </c>
      <c r="AC34" s="3">
        <f>'S28 Transportation Matrix'!Y36</f>
        <v>0</v>
      </c>
      <c r="AD34" s="3">
        <f>'S28 Transportation Matrix'!Z36</f>
        <v>0</v>
      </c>
      <c r="AE34" s="3">
        <f>'S28 Transportation Matrix'!AA36</f>
        <v>0</v>
      </c>
      <c r="AF34" s="3">
        <f>'S28 Transportation Matrix'!AB36</f>
        <v>0</v>
      </c>
      <c r="AG34" s="3">
        <f>'S28 Transportation Matrix'!AC36</f>
        <v>0</v>
      </c>
      <c r="AH34" s="3">
        <f>'S28 Transportation Matrix'!AD36</f>
        <v>0</v>
      </c>
      <c r="AI34" s="3">
        <f>'S28 Transportation Matrix'!AE36</f>
        <v>0</v>
      </c>
      <c r="AJ34" s="3">
        <f>'S28 Transportation Matrix'!AF36</f>
        <v>0</v>
      </c>
      <c r="AK34" s="3">
        <f>'S28 Transportation Matrix'!AG36</f>
        <v>0</v>
      </c>
      <c r="AL34" s="3">
        <f>'S28 Transportation Matrix'!AH36</f>
        <v>0</v>
      </c>
      <c r="AM34" s="3">
        <f>'S28 Transportation Matrix'!AI36</f>
        <v>0</v>
      </c>
      <c r="AN34" s="3">
        <f>'S28 Transportation Matrix'!AJ36</f>
        <v>0</v>
      </c>
      <c r="AO34" s="3">
        <f>'S28 Transportation Matrix'!AK36</f>
        <v>0</v>
      </c>
      <c r="AP34" s="3">
        <f>'S28 Transportation Matrix'!AL36</f>
        <v>0</v>
      </c>
      <c r="AQ34" s="3">
        <f>'S28 Transportation Matrix'!AM36</f>
        <v>0</v>
      </c>
      <c r="AR34" s="3">
        <f>'S28 Transportation Matrix'!AN36</f>
        <v>0</v>
      </c>
      <c r="AS34" s="3">
        <f>'S28 Transportation Matrix'!AO36</f>
        <v>0</v>
      </c>
      <c r="AT34" s="3">
        <f>'S28 Transportation Matrix'!AP36</f>
        <v>0</v>
      </c>
      <c r="AU34" s="3">
        <f>'S28 Transportation Matrix'!AQ36</f>
        <v>0</v>
      </c>
      <c r="AV34" s="3">
        <f>'S28 Transportation Matrix'!AR36</f>
        <v>0</v>
      </c>
      <c r="AW34" s="3">
        <f>'S28 Transportation Matrix'!AS36</f>
        <v>151</v>
      </c>
    </row>
    <row r="35" spans="1:49">
      <c r="A35" s="3">
        <f>ROUND(SQRT(_xlfn.XLOOKUP(E35, 'S26 Space Requirements'!$B$5:$B$30, 'S26 Space Requirements'!$R$5:$R$30, 0, 0)), 0)</f>
        <v>48</v>
      </c>
      <c r="E35" s="295" t="s">
        <v>607</v>
      </c>
      <c r="F35" s="3">
        <f>'S28 Transportation Matrix'!B37</f>
        <v>0</v>
      </c>
      <c r="G35" s="3">
        <f>'S28 Transportation Matrix'!C37</f>
        <v>0</v>
      </c>
      <c r="H35" s="3">
        <f>'S28 Transportation Matrix'!D37</f>
        <v>0</v>
      </c>
      <c r="I35" s="3">
        <f>'S28 Transportation Matrix'!E37</f>
        <v>0</v>
      </c>
      <c r="J35" s="3">
        <f>'S28 Transportation Matrix'!F37</f>
        <v>0</v>
      </c>
      <c r="K35" s="3">
        <f>'S28 Transportation Matrix'!G37</f>
        <v>0</v>
      </c>
      <c r="L35" s="3">
        <f>'S28 Transportation Matrix'!H37</f>
        <v>0</v>
      </c>
      <c r="M35" s="3">
        <f>'S28 Transportation Matrix'!I37</f>
        <v>0</v>
      </c>
      <c r="N35" s="3">
        <f>'S28 Transportation Matrix'!J37</f>
        <v>0</v>
      </c>
      <c r="O35" s="3">
        <f>'S28 Transportation Matrix'!K37</f>
        <v>0</v>
      </c>
      <c r="P35" s="3">
        <f>'S28 Transportation Matrix'!L37</f>
        <v>0</v>
      </c>
      <c r="Q35" s="3">
        <f>'S28 Transportation Matrix'!M37</f>
        <v>0</v>
      </c>
      <c r="R35" s="3">
        <f>'S28 Transportation Matrix'!N37</f>
        <v>0</v>
      </c>
      <c r="S35" s="3">
        <f>'S28 Transportation Matrix'!O37</f>
        <v>0</v>
      </c>
      <c r="T35" s="3">
        <f>'S28 Transportation Matrix'!P37</f>
        <v>0</v>
      </c>
      <c r="U35" s="3">
        <f>'S28 Transportation Matrix'!Q37</f>
        <v>0</v>
      </c>
      <c r="V35" s="3">
        <f>'S28 Transportation Matrix'!R37</f>
        <v>0</v>
      </c>
      <c r="W35" s="3">
        <f>'S28 Transportation Matrix'!S37</f>
        <v>0</v>
      </c>
      <c r="X35" s="3">
        <f>'S28 Transportation Matrix'!T37</f>
        <v>0</v>
      </c>
      <c r="Y35" s="3">
        <f>'S28 Transportation Matrix'!U37</f>
        <v>0</v>
      </c>
      <c r="Z35" s="3">
        <f>'S28 Transportation Matrix'!V37</f>
        <v>0</v>
      </c>
      <c r="AA35" s="3">
        <f>'S28 Transportation Matrix'!W37</f>
        <v>0</v>
      </c>
      <c r="AB35" s="3">
        <f>'S28 Transportation Matrix'!X37</f>
        <v>0</v>
      </c>
      <c r="AC35" s="3">
        <f>'S28 Transportation Matrix'!Y37</f>
        <v>0</v>
      </c>
      <c r="AD35" s="3">
        <f>'S28 Transportation Matrix'!Z37</f>
        <v>0</v>
      </c>
      <c r="AE35" s="3">
        <f>'S28 Transportation Matrix'!AA37</f>
        <v>0</v>
      </c>
      <c r="AF35" s="3">
        <f>'S28 Transportation Matrix'!AB37</f>
        <v>0</v>
      </c>
      <c r="AG35" s="3">
        <f>'S28 Transportation Matrix'!AC37</f>
        <v>0</v>
      </c>
      <c r="AH35" s="3">
        <f>'S28 Transportation Matrix'!AD37</f>
        <v>0</v>
      </c>
      <c r="AI35" s="3">
        <f>'S28 Transportation Matrix'!AE37</f>
        <v>0</v>
      </c>
      <c r="AJ35" s="3">
        <f>'S28 Transportation Matrix'!AF37</f>
        <v>0</v>
      </c>
      <c r="AK35" s="3">
        <f>'S28 Transportation Matrix'!AG37</f>
        <v>0</v>
      </c>
      <c r="AL35" s="3">
        <f>'S28 Transportation Matrix'!AH37</f>
        <v>0</v>
      </c>
      <c r="AM35" s="3">
        <f>'S28 Transportation Matrix'!AI37</f>
        <v>0</v>
      </c>
      <c r="AN35" s="3">
        <f>'S28 Transportation Matrix'!AJ37</f>
        <v>0</v>
      </c>
      <c r="AO35" s="3">
        <f>'S28 Transportation Matrix'!AK37</f>
        <v>0</v>
      </c>
      <c r="AP35" s="3">
        <f>'S28 Transportation Matrix'!AL37</f>
        <v>0</v>
      </c>
      <c r="AQ35" s="3">
        <f>'S28 Transportation Matrix'!AM37</f>
        <v>0</v>
      </c>
      <c r="AR35" s="3">
        <f>'S28 Transportation Matrix'!AN37</f>
        <v>0</v>
      </c>
      <c r="AS35" s="3">
        <f>'S28 Transportation Matrix'!AO37</f>
        <v>0</v>
      </c>
      <c r="AT35" s="3">
        <f>'S28 Transportation Matrix'!AP37</f>
        <v>0</v>
      </c>
      <c r="AU35" s="3">
        <f>'S28 Transportation Matrix'!AQ37</f>
        <v>0</v>
      </c>
      <c r="AV35" s="3">
        <f>'S28 Transportation Matrix'!AR37</f>
        <v>0</v>
      </c>
      <c r="AW35" s="3">
        <f>'S28 Transportation Matrix'!AS37</f>
        <v>213</v>
      </c>
    </row>
    <row r="36" spans="1:49">
      <c r="A36" s="3">
        <f>ROUND(SQRT(_xlfn.XLOOKUP(E36, 'S26 Space Requirements'!$B$5:$B$30, 'S26 Space Requirements'!$R$5:$R$30, 0, 0)), 0)</f>
        <v>0</v>
      </c>
      <c r="E36" s="295" t="s">
        <v>608</v>
      </c>
      <c r="F36" s="3">
        <f>'S28 Transportation Matrix'!B38</f>
        <v>0</v>
      </c>
      <c r="G36" s="3">
        <f>'S28 Transportation Matrix'!C38</f>
        <v>0</v>
      </c>
      <c r="H36" s="3">
        <f>'S28 Transportation Matrix'!D38</f>
        <v>0</v>
      </c>
      <c r="I36" s="3">
        <f>'S28 Transportation Matrix'!E38</f>
        <v>0</v>
      </c>
      <c r="J36" s="3">
        <f>'S28 Transportation Matrix'!F38</f>
        <v>0</v>
      </c>
      <c r="K36" s="3">
        <f>'S28 Transportation Matrix'!G38</f>
        <v>0</v>
      </c>
      <c r="L36" s="3">
        <f>'S28 Transportation Matrix'!H38</f>
        <v>0</v>
      </c>
      <c r="M36" s="3">
        <f>'S28 Transportation Matrix'!I38</f>
        <v>0</v>
      </c>
      <c r="N36" s="3">
        <f>'S28 Transportation Matrix'!J38</f>
        <v>0</v>
      </c>
      <c r="O36" s="3">
        <f>'S28 Transportation Matrix'!K38</f>
        <v>0</v>
      </c>
      <c r="P36" s="3">
        <f>'S28 Transportation Matrix'!L38</f>
        <v>0</v>
      </c>
      <c r="Q36" s="3">
        <f>'S28 Transportation Matrix'!M38</f>
        <v>0</v>
      </c>
      <c r="R36" s="3">
        <f>'S28 Transportation Matrix'!N38</f>
        <v>0</v>
      </c>
      <c r="S36" s="3">
        <f>'S28 Transportation Matrix'!O38</f>
        <v>0</v>
      </c>
      <c r="T36" s="3">
        <f>'S28 Transportation Matrix'!P38</f>
        <v>0</v>
      </c>
      <c r="U36" s="3">
        <f>'S28 Transportation Matrix'!Q38</f>
        <v>0</v>
      </c>
      <c r="V36" s="3">
        <f>'S28 Transportation Matrix'!R38</f>
        <v>0</v>
      </c>
      <c r="W36" s="3">
        <f>'S28 Transportation Matrix'!S38</f>
        <v>0</v>
      </c>
      <c r="X36" s="3">
        <f>'S28 Transportation Matrix'!T38</f>
        <v>0</v>
      </c>
      <c r="Y36" s="3">
        <f>'S28 Transportation Matrix'!U38</f>
        <v>0</v>
      </c>
      <c r="Z36" s="3">
        <f>'S28 Transportation Matrix'!V38</f>
        <v>0</v>
      </c>
      <c r="AA36" s="3">
        <f>'S28 Transportation Matrix'!W38</f>
        <v>0</v>
      </c>
      <c r="AB36" s="3">
        <f>'S28 Transportation Matrix'!X38</f>
        <v>0</v>
      </c>
      <c r="AC36" s="3">
        <f>'S28 Transportation Matrix'!Y38</f>
        <v>0</v>
      </c>
      <c r="AD36" s="3">
        <f>'S28 Transportation Matrix'!Z38</f>
        <v>0</v>
      </c>
      <c r="AE36" s="3">
        <f>'S28 Transportation Matrix'!AA38</f>
        <v>0</v>
      </c>
      <c r="AF36" s="3">
        <f>'S28 Transportation Matrix'!AB38</f>
        <v>0</v>
      </c>
      <c r="AG36" s="3">
        <f>'S28 Transportation Matrix'!AC38</f>
        <v>0</v>
      </c>
      <c r="AH36" s="3">
        <f>'S28 Transportation Matrix'!AD38</f>
        <v>0</v>
      </c>
      <c r="AI36" s="3">
        <f>'S28 Transportation Matrix'!AE38</f>
        <v>0</v>
      </c>
      <c r="AJ36" s="3">
        <f>'S28 Transportation Matrix'!AF38</f>
        <v>0</v>
      </c>
      <c r="AK36" s="3">
        <f>'S28 Transportation Matrix'!AG38</f>
        <v>0</v>
      </c>
      <c r="AL36" s="3">
        <f>'S28 Transportation Matrix'!AH38</f>
        <v>0</v>
      </c>
      <c r="AM36" s="3">
        <f>'S28 Transportation Matrix'!AI38</f>
        <v>0</v>
      </c>
      <c r="AN36" s="3">
        <f>'S28 Transportation Matrix'!AJ38</f>
        <v>0</v>
      </c>
      <c r="AO36" s="3">
        <f>'S28 Transportation Matrix'!AK38</f>
        <v>0</v>
      </c>
      <c r="AP36" s="3">
        <f>'S28 Transportation Matrix'!AL38</f>
        <v>0</v>
      </c>
      <c r="AQ36" s="3">
        <f>'S28 Transportation Matrix'!AM38</f>
        <v>0</v>
      </c>
      <c r="AR36" s="3">
        <f>'S28 Transportation Matrix'!AN38</f>
        <v>0</v>
      </c>
      <c r="AS36" s="3">
        <f>'S28 Transportation Matrix'!AO38</f>
        <v>0</v>
      </c>
      <c r="AT36" s="3">
        <f>'S28 Transportation Matrix'!AP38</f>
        <v>0</v>
      </c>
      <c r="AU36" s="3">
        <f>'S28 Transportation Matrix'!AQ38</f>
        <v>0</v>
      </c>
      <c r="AV36" s="3">
        <f>'S28 Transportation Matrix'!AR38</f>
        <v>0</v>
      </c>
      <c r="AW36" s="3">
        <f>'S28 Transportation Matrix'!AS38</f>
        <v>0</v>
      </c>
    </row>
    <row r="37" spans="1:49">
      <c r="A37" s="3">
        <f>ROUND(SQRT(_xlfn.XLOOKUP(E37, 'S26 Space Requirements'!$B$5:$B$30, 'S26 Space Requirements'!$R$5:$R$30, 0, 0)), 0)</f>
        <v>15</v>
      </c>
      <c r="E37" s="295" t="s">
        <v>609</v>
      </c>
      <c r="F37" s="3">
        <f>'S28 Transportation Matrix'!B39</f>
        <v>0</v>
      </c>
      <c r="G37" s="3">
        <f>'S28 Transportation Matrix'!C39</f>
        <v>0</v>
      </c>
      <c r="H37" s="3">
        <f>'S28 Transportation Matrix'!D39</f>
        <v>0</v>
      </c>
      <c r="I37" s="3">
        <f>'S28 Transportation Matrix'!E39</f>
        <v>0</v>
      </c>
      <c r="J37" s="3">
        <f>'S28 Transportation Matrix'!F39</f>
        <v>213</v>
      </c>
      <c r="K37" s="3">
        <f>'S28 Transportation Matrix'!G39</f>
        <v>0</v>
      </c>
      <c r="L37" s="3">
        <f>'S28 Transportation Matrix'!H39</f>
        <v>0</v>
      </c>
      <c r="M37" s="3">
        <f>'S28 Transportation Matrix'!I39</f>
        <v>0</v>
      </c>
      <c r="N37" s="3">
        <f>'S28 Transportation Matrix'!J39</f>
        <v>0</v>
      </c>
      <c r="O37" s="3">
        <f>'S28 Transportation Matrix'!K39</f>
        <v>0</v>
      </c>
      <c r="P37" s="3">
        <f>'S28 Transportation Matrix'!L39</f>
        <v>0</v>
      </c>
      <c r="Q37" s="3">
        <f>'S28 Transportation Matrix'!M39</f>
        <v>0</v>
      </c>
      <c r="R37" s="3">
        <f>'S28 Transportation Matrix'!N39</f>
        <v>0</v>
      </c>
      <c r="S37" s="3">
        <f>'S28 Transportation Matrix'!O39</f>
        <v>0</v>
      </c>
      <c r="T37" s="3">
        <f>'S28 Transportation Matrix'!P39</f>
        <v>0</v>
      </c>
      <c r="U37" s="3">
        <f>'S28 Transportation Matrix'!Q39</f>
        <v>0</v>
      </c>
      <c r="V37" s="3">
        <f>'S28 Transportation Matrix'!R39</f>
        <v>0</v>
      </c>
      <c r="W37" s="3">
        <f>'S28 Transportation Matrix'!S39</f>
        <v>0</v>
      </c>
      <c r="X37" s="3">
        <f>'S28 Transportation Matrix'!T39</f>
        <v>0</v>
      </c>
      <c r="Y37" s="3">
        <f>'S28 Transportation Matrix'!U39</f>
        <v>0</v>
      </c>
      <c r="Z37" s="3">
        <f>'S28 Transportation Matrix'!V39</f>
        <v>0</v>
      </c>
      <c r="AA37" s="3">
        <f>'S28 Transportation Matrix'!W39</f>
        <v>0</v>
      </c>
      <c r="AB37" s="3">
        <f>'S28 Transportation Matrix'!X39</f>
        <v>0</v>
      </c>
      <c r="AC37" s="3">
        <f>'S28 Transportation Matrix'!Y39</f>
        <v>0</v>
      </c>
      <c r="AD37" s="3">
        <f>'S28 Transportation Matrix'!Z39</f>
        <v>0</v>
      </c>
      <c r="AE37" s="3">
        <f>'S28 Transportation Matrix'!AA39</f>
        <v>0</v>
      </c>
      <c r="AF37" s="3">
        <f>'S28 Transportation Matrix'!AB39</f>
        <v>0</v>
      </c>
      <c r="AG37" s="3">
        <f>'S28 Transportation Matrix'!AC39</f>
        <v>0</v>
      </c>
      <c r="AH37" s="3">
        <f>'S28 Transportation Matrix'!AD39</f>
        <v>0</v>
      </c>
      <c r="AI37" s="3">
        <f>'S28 Transportation Matrix'!AE39</f>
        <v>0</v>
      </c>
      <c r="AJ37" s="3">
        <f>'S28 Transportation Matrix'!AF39</f>
        <v>0</v>
      </c>
      <c r="AK37" s="3">
        <f>'S28 Transportation Matrix'!AG39</f>
        <v>0</v>
      </c>
      <c r="AL37" s="3">
        <f>'S28 Transportation Matrix'!AH39</f>
        <v>0</v>
      </c>
      <c r="AM37" s="3">
        <f>'S28 Transportation Matrix'!AI39</f>
        <v>0</v>
      </c>
      <c r="AN37" s="3">
        <f>'S28 Transportation Matrix'!AJ39</f>
        <v>0</v>
      </c>
      <c r="AO37" s="3">
        <f>'S28 Transportation Matrix'!AK39</f>
        <v>0</v>
      </c>
      <c r="AP37" s="3">
        <f>'S28 Transportation Matrix'!AL39</f>
        <v>0</v>
      </c>
      <c r="AQ37" s="3">
        <f>'S28 Transportation Matrix'!AM39</f>
        <v>0</v>
      </c>
      <c r="AR37" s="3">
        <f>'S28 Transportation Matrix'!AN39</f>
        <v>0</v>
      </c>
      <c r="AS37" s="3">
        <f>'S28 Transportation Matrix'!AO39</f>
        <v>0</v>
      </c>
      <c r="AT37" s="3">
        <f>'S28 Transportation Matrix'!AP39</f>
        <v>0</v>
      </c>
      <c r="AU37" s="3">
        <f>'S28 Transportation Matrix'!AQ39</f>
        <v>0</v>
      </c>
      <c r="AV37" s="3">
        <f>'S28 Transportation Matrix'!AR39</f>
        <v>0</v>
      </c>
      <c r="AW37" s="3">
        <f>'S28 Transportation Matrix'!AS39</f>
        <v>0</v>
      </c>
    </row>
    <row r="38" spans="1:49">
      <c r="A38" s="3">
        <f>ROUND(SQRT(_xlfn.XLOOKUP(E38, 'S26 Space Requirements'!$B$5:$B$30, 'S26 Space Requirements'!$R$5:$R$30, 0, 0)), 0)</f>
        <v>0</v>
      </c>
      <c r="E38" s="295" t="s">
        <v>610</v>
      </c>
      <c r="F38" s="3">
        <f>'S28 Transportation Matrix'!B40</f>
        <v>0</v>
      </c>
      <c r="G38" s="3">
        <f>'S28 Transportation Matrix'!C40</f>
        <v>0</v>
      </c>
      <c r="H38" s="3">
        <f>'S28 Transportation Matrix'!D40</f>
        <v>0</v>
      </c>
      <c r="I38" s="3">
        <f>'S28 Transportation Matrix'!E40</f>
        <v>0</v>
      </c>
      <c r="J38" s="3">
        <f>'S28 Transportation Matrix'!F40</f>
        <v>0</v>
      </c>
      <c r="K38" s="3">
        <f>'S28 Transportation Matrix'!G40</f>
        <v>0</v>
      </c>
      <c r="L38" s="3">
        <f>'S28 Transportation Matrix'!H40</f>
        <v>0</v>
      </c>
      <c r="M38" s="3">
        <f>'S28 Transportation Matrix'!I40</f>
        <v>0</v>
      </c>
      <c r="N38" s="3">
        <f>'S28 Transportation Matrix'!J40</f>
        <v>0</v>
      </c>
      <c r="O38" s="3">
        <f>'S28 Transportation Matrix'!K40</f>
        <v>0</v>
      </c>
      <c r="P38" s="3">
        <f>'S28 Transportation Matrix'!L40</f>
        <v>0</v>
      </c>
      <c r="Q38" s="3">
        <f>'S28 Transportation Matrix'!M40</f>
        <v>0</v>
      </c>
      <c r="R38" s="3">
        <f>'S28 Transportation Matrix'!N40</f>
        <v>0</v>
      </c>
      <c r="S38" s="3">
        <f>'S28 Transportation Matrix'!O40</f>
        <v>0</v>
      </c>
      <c r="T38" s="3">
        <f>'S28 Transportation Matrix'!P40</f>
        <v>0</v>
      </c>
      <c r="U38" s="3">
        <f>'S28 Transportation Matrix'!Q40</f>
        <v>0</v>
      </c>
      <c r="V38" s="3">
        <f>'S28 Transportation Matrix'!R40</f>
        <v>0</v>
      </c>
      <c r="W38" s="3">
        <f>'S28 Transportation Matrix'!S40</f>
        <v>0</v>
      </c>
      <c r="X38" s="3">
        <f>'S28 Transportation Matrix'!T40</f>
        <v>0</v>
      </c>
      <c r="Y38" s="3">
        <f>'S28 Transportation Matrix'!U40</f>
        <v>0</v>
      </c>
      <c r="Z38" s="3">
        <f>'S28 Transportation Matrix'!V40</f>
        <v>0</v>
      </c>
      <c r="AA38" s="3">
        <f>'S28 Transportation Matrix'!W40</f>
        <v>0</v>
      </c>
      <c r="AB38" s="3">
        <f>'S28 Transportation Matrix'!X40</f>
        <v>0</v>
      </c>
      <c r="AC38" s="3">
        <f>'S28 Transportation Matrix'!Y40</f>
        <v>0</v>
      </c>
      <c r="AD38" s="3">
        <f>'S28 Transportation Matrix'!Z40</f>
        <v>0</v>
      </c>
      <c r="AE38" s="3">
        <f>'S28 Transportation Matrix'!AA40</f>
        <v>0</v>
      </c>
      <c r="AF38" s="3">
        <f>'S28 Transportation Matrix'!AB40</f>
        <v>0</v>
      </c>
      <c r="AG38" s="3">
        <f>'S28 Transportation Matrix'!AC40</f>
        <v>0</v>
      </c>
      <c r="AH38" s="3">
        <f>'S28 Transportation Matrix'!AD40</f>
        <v>0</v>
      </c>
      <c r="AI38" s="3">
        <f>'S28 Transportation Matrix'!AE40</f>
        <v>0</v>
      </c>
      <c r="AJ38" s="3">
        <f>'S28 Transportation Matrix'!AF40</f>
        <v>0</v>
      </c>
      <c r="AK38" s="3">
        <f>'S28 Transportation Matrix'!AG40</f>
        <v>0</v>
      </c>
      <c r="AL38" s="3">
        <f>'S28 Transportation Matrix'!AH40</f>
        <v>0</v>
      </c>
      <c r="AM38" s="3">
        <f>'S28 Transportation Matrix'!AI40</f>
        <v>0</v>
      </c>
      <c r="AN38" s="3">
        <f>'S28 Transportation Matrix'!AJ40</f>
        <v>0</v>
      </c>
      <c r="AO38" s="3">
        <f>'S28 Transportation Matrix'!AK40</f>
        <v>0</v>
      </c>
      <c r="AP38" s="3">
        <f>'S28 Transportation Matrix'!AL40</f>
        <v>0</v>
      </c>
      <c r="AQ38" s="3">
        <f>'S28 Transportation Matrix'!AM40</f>
        <v>0</v>
      </c>
      <c r="AR38" s="3">
        <f>'S28 Transportation Matrix'!AN40</f>
        <v>0</v>
      </c>
      <c r="AS38" s="3">
        <f>'S28 Transportation Matrix'!AO40</f>
        <v>0</v>
      </c>
      <c r="AT38" s="3">
        <f>'S28 Transportation Matrix'!AP40</f>
        <v>0</v>
      </c>
      <c r="AU38" s="3">
        <f>'S28 Transportation Matrix'!AQ40</f>
        <v>0</v>
      </c>
      <c r="AV38" s="3">
        <f>'S28 Transportation Matrix'!AR40</f>
        <v>0</v>
      </c>
      <c r="AW38" s="3">
        <f>'S28 Transportation Matrix'!AS40</f>
        <v>0</v>
      </c>
    </row>
    <row r="39" spans="1:49">
      <c r="A39" s="3">
        <f>ROUND(SQRT(_xlfn.XLOOKUP(E39, 'S26 Space Requirements'!$B$5:$B$30, 'S26 Space Requirements'!$R$5:$R$30, 0, 0)), 0)</f>
        <v>11</v>
      </c>
      <c r="E39" s="295" t="s">
        <v>611</v>
      </c>
      <c r="F39" s="3">
        <f>'S28 Transportation Matrix'!B41</f>
        <v>0</v>
      </c>
      <c r="G39" s="3">
        <f>'S28 Transportation Matrix'!C41</f>
        <v>0</v>
      </c>
      <c r="H39" s="3">
        <f>'S28 Transportation Matrix'!D41</f>
        <v>0</v>
      </c>
      <c r="I39" s="3">
        <f>'S28 Transportation Matrix'!E41</f>
        <v>0</v>
      </c>
      <c r="J39" s="3">
        <f>'S28 Transportation Matrix'!F41</f>
        <v>0</v>
      </c>
      <c r="K39" s="3">
        <f>'S28 Transportation Matrix'!G41</f>
        <v>0</v>
      </c>
      <c r="L39" s="3">
        <f>'S28 Transportation Matrix'!H41</f>
        <v>89</v>
      </c>
      <c r="M39" s="3">
        <f>'S28 Transportation Matrix'!I41</f>
        <v>0</v>
      </c>
      <c r="N39" s="3">
        <f>'S28 Transportation Matrix'!J41</f>
        <v>0</v>
      </c>
      <c r="O39" s="3">
        <f>'S28 Transportation Matrix'!K41</f>
        <v>0</v>
      </c>
      <c r="P39" s="3">
        <f>'S28 Transportation Matrix'!L41</f>
        <v>0</v>
      </c>
      <c r="Q39" s="3">
        <f>'S28 Transportation Matrix'!M41</f>
        <v>0</v>
      </c>
      <c r="R39" s="3">
        <f>'S28 Transportation Matrix'!N41</f>
        <v>0</v>
      </c>
      <c r="S39" s="3">
        <f>'S28 Transportation Matrix'!O41</f>
        <v>0</v>
      </c>
      <c r="T39" s="3">
        <f>'S28 Transportation Matrix'!P41</f>
        <v>0</v>
      </c>
      <c r="U39" s="3">
        <f>'S28 Transportation Matrix'!Q41</f>
        <v>0</v>
      </c>
      <c r="V39" s="3">
        <f>'S28 Transportation Matrix'!R41</f>
        <v>0</v>
      </c>
      <c r="W39" s="3">
        <f>'S28 Transportation Matrix'!S41</f>
        <v>0</v>
      </c>
      <c r="X39" s="3">
        <f>'S28 Transportation Matrix'!T41</f>
        <v>0</v>
      </c>
      <c r="Y39" s="3">
        <f>'S28 Transportation Matrix'!U41</f>
        <v>0</v>
      </c>
      <c r="Z39" s="3">
        <f>'S28 Transportation Matrix'!V41</f>
        <v>0</v>
      </c>
      <c r="AA39" s="3">
        <f>'S28 Transportation Matrix'!W41</f>
        <v>0</v>
      </c>
      <c r="AB39" s="3">
        <f>'S28 Transportation Matrix'!X41</f>
        <v>0</v>
      </c>
      <c r="AC39" s="3">
        <f>'S28 Transportation Matrix'!Y41</f>
        <v>0</v>
      </c>
      <c r="AD39" s="3">
        <f>'S28 Transportation Matrix'!Z41</f>
        <v>0</v>
      </c>
      <c r="AE39" s="3">
        <f>'S28 Transportation Matrix'!AA41</f>
        <v>0</v>
      </c>
      <c r="AF39" s="3">
        <f>'S28 Transportation Matrix'!AB41</f>
        <v>0</v>
      </c>
      <c r="AG39" s="3">
        <f>'S28 Transportation Matrix'!AC41</f>
        <v>0</v>
      </c>
      <c r="AH39" s="3">
        <f>'S28 Transportation Matrix'!AD41</f>
        <v>0</v>
      </c>
      <c r="AI39" s="3">
        <f>'S28 Transportation Matrix'!AE41</f>
        <v>0</v>
      </c>
      <c r="AJ39" s="3">
        <f>'S28 Transportation Matrix'!AF41</f>
        <v>0</v>
      </c>
      <c r="AK39" s="3">
        <f>'S28 Transportation Matrix'!AG41</f>
        <v>0</v>
      </c>
      <c r="AL39" s="3">
        <f>'S28 Transportation Matrix'!AH41</f>
        <v>0</v>
      </c>
      <c r="AM39" s="3">
        <f>'S28 Transportation Matrix'!AI41</f>
        <v>0</v>
      </c>
      <c r="AN39" s="3">
        <f>'S28 Transportation Matrix'!AJ41</f>
        <v>0</v>
      </c>
      <c r="AO39" s="3">
        <f>'S28 Transportation Matrix'!AK41</f>
        <v>0</v>
      </c>
      <c r="AP39" s="3">
        <f>'S28 Transportation Matrix'!AL41</f>
        <v>0</v>
      </c>
      <c r="AQ39" s="3">
        <f>'S28 Transportation Matrix'!AM41</f>
        <v>0</v>
      </c>
      <c r="AR39" s="3">
        <f>'S28 Transportation Matrix'!AN41</f>
        <v>0</v>
      </c>
      <c r="AS39" s="3">
        <f>'S28 Transportation Matrix'!AO41</f>
        <v>0</v>
      </c>
      <c r="AT39" s="3">
        <f>'S28 Transportation Matrix'!AP41</f>
        <v>0</v>
      </c>
      <c r="AU39" s="3">
        <f>'S28 Transportation Matrix'!AQ41</f>
        <v>0</v>
      </c>
      <c r="AV39" s="3">
        <f>'S28 Transportation Matrix'!AR41</f>
        <v>0</v>
      </c>
      <c r="AW39" s="3">
        <f>'S28 Transportation Matrix'!AS41</f>
        <v>0</v>
      </c>
    </row>
    <row r="40" spans="1:49">
      <c r="A40" s="3">
        <f>ROUND(SQRT(_xlfn.XLOOKUP(E40, 'S26 Space Requirements'!$B$5:$B$30, 'S26 Space Requirements'!$R$5:$R$30, 0, 0)), 0)</f>
        <v>0</v>
      </c>
      <c r="E40" s="295" t="s">
        <v>612</v>
      </c>
      <c r="F40" s="3">
        <f>'S28 Transportation Matrix'!B42</f>
        <v>0</v>
      </c>
      <c r="G40" s="3">
        <f>'S28 Transportation Matrix'!C42</f>
        <v>0</v>
      </c>
      <c r="H40" s="3">
        <f>'S28 Transportation Matrix'!D42</f>
        <v>0</v>
      </c>
      <c r="I40" s="3">
        <f>'S28 Transportation Matrix'!E42</f>
        <v>0</v>
      </c>
      <c r="J40" s="3">
        <f>'S28 Transportation Matrix'!F42</f>
        <v>0</v>
      </c>
      <c r="K40" s="3">
        <f>'S28 Transportation Matrix'!G42</f>
        <v>0</v>
      </c>
      <c r="L40" s="3">
        <f>'S28 Transportation Matrix'!H42</f>
        <v>0</v>
      </c>
      <c r="M40" s="3">
        <f>'S28 Transportation Matrix'!I42</f>
        <v>0</v>
      </c>
      <c r="N40" s="3">
        <f>'S28 Transportation Matrix'!J42</f>
        <v>0</v>
      </c>
      <c r="O40" s="3">
        <f>'S28 Transportation Matrix'!K42</f>
        <v>0</v>
      </c>
      <c r="P40" s="3">
        <f>'S28 Transportation Matrix'!L42</f>
        <v>0</v>
      </c>
      <c r="Q40" s="3">
        <f>'S28 Transportation Matrix'!M42</f>
        <v>0</v>
      </c>
      <c r="R40" s="3">
        <f>'S28 Transportation Matrix'!N42</f>
        <v>0</v>
      </c>
      <c r="S40" s="3">
        <f>'S28 Transportation Matrix'!O42</f>
        <v>0</v>
      </c>
      <c r="T40" s="3">
        <f>'S28 Transportation Matrix'!P42</f>
        <v>0</v>
      </c>
      <c r="U40" s="3">
        <f>'S28 Transportation Matrix'!Q42</f>
        <v>0</v>
      </c>
      <c r="V40" s="3">
        <f>'S28 Transportation Matrix'!R42</f>
        <v>0</v>
      </c>
      <c r="W40" s="3">
        <f>'S28 Transportation Matrix'!S42</f>
        <v>0</v>
      </c>
      <c r="X40" s="3">
        <f>'S28 Transportation Matrix'!T42</f>
        <v>0</v>
      </c>
      <c r="Y40" s="3">
        <f>'S28 Transportation Matrix'!U42</f>
        <v>0</v>
      </c>
      <c r="Z40" s="3">
        <f>'S28 Transportation Matrix'!V42</f>
        <v>0</v>
      </c>
      <c r="AA40" s="3">
        <f>'S28 Transportation Matrix'!W42</f>
        <v>0</v>
      </c>
      <c r="AB40" s="3">
        <f>'S28 Transportation Matrix'!X42</f>
        <v>0</v>
      </c>
      <c r="AC40" s="3">
        <f>'S28 Transportation Matrix'!Y42</f>
        <v>0</v>
      </c>
      <c r="AD40" s="3">
        <f>'S28 Transportation Matrix'!Z42</f>
        <v>0</v>
      </c>
      <c r="AE40" s="3">
        <f>'S28 Transportation Matrix'!AA42</f>
        <v>0</v>
      </c>
      <c r="AF40" s="3">
        <f>'S28 Transportation Matrix'!AB42</f>
        <v>0</v>
      </c>
      <c r="AG40" s="3">
        <f>'S28 Transportation Matrix'!AC42</f>
        <v>0</v>
      </c>
      <c r="AH40" s="3">
        <f>'S28 Transportation Matrix'!AD42</f>
        <v>0</v>
      </c>
      <c r="AI40" s="3">
        <f>'S28 Transportation Matrix'!AE42</f>
        <v>0</v>
      </c>
      <c r="AJ40" s="3">
        <f>'S28 Transportation Matrix'!AF42</f>
        <v>0</v>
      </c>
      <c r="AK40" s="3">
        <f>'S28 Transportation Matrix'!AG42</f>
        <v>0</v>
      </c>
      <c r="AL40" s="3">
        <f>'S28 Transportation Matrix'!AH42</f>
        <v>0</v>
      </c>
      <c r="AM40" s="3">
        <f>'S28 Transportation Matrix'!AI42</f>
        <v>0</v>
      </c>
      <c r="AN40" s="3">
        <f>'S28 Transportation Matrix'!AJ42</f>
        <v>0</v>
      </c>
      <c r="AO40" s="3">
        <f>'S28 Transportation Matrix'!AK42</f>
        <v>0</v>
      </c>
      <c r="AP40" s="3">
        <f>'S28 Transportation Matrix'!AL42</f>
        <v>0</v>
      </c>
      <c r="AQ40" s="3">
        <f>'S28 Transportation Matrix'!AM42</f>
        <v>0</v>
      </c>
      <c r="AR40" s="3">
        <f>'S28 Transportation Matrix'!AN42</f>
        <v>0</v>
      </c>
      <c r="AS40" s="3">
        <f>'S28 Transportation Matrix'!AO42</f>
        <v>0</v>
      </c>
      <c r="AT40" s="3">
        <f>'S28 Transportation Matrix'!AP42</f>
        <v>0</v>
      </c>
      <c r="AU40" s="3">
        <f>'S28 Transportation Matrix'!AQ42</f>
        <v>0</v>
      </c>
      <c r="AV40" s="3">
        <f>'S28 Transportation Matrix'!AR42</f>
        <v>0</v>
      </c>
      <c r="AW40" s="3">
        <f>'S28 Transportation Matrix'!AS42</f>
        <v>0</v>
      </c>
    </row>
    <row r="41" spans="1:49">
      <c r="A41" s="3">
        <f>ROUND(SQRT(_xlfn.XLOOKUP(E41, 'S26 Space Requirements'!$B$5:$B$30, 'S26 Space Requirements'!$R$5:$R$30, 0, 0)), 0)</f>
        <v>20</v>
      </c>
      <c r="E41" s="295" t="s">
        <v>613</v>
      </c>
      <c r="F41" s="3">
        <f>'S28 Transportation Matrix'!B43</f>
        <v>0</v>
      </c>
      <c r="G41" s="3">
        <f>'S28 Transportation Matrix'!C43</f>
        <v>151</v>
      </c>
      <c r="H41" s="3">
        <f>'S28 Transportation Matrix'!D43</f>
        <v>0</v>
      </c>
      <c r="I41" s="3">
        <f>'S28 Transportation Matrix'!E43</f>
        <v>71</v>
      </c>
      <c r="J41" s="3">
        <f>'S28 Transportation Matrix'!F43</f>
        <v>0</v>
      </c>
      <c r="K41" s="3">
        <f>'S28 Transportation Matrix'!G43</f>
        <v>0</v>
      </c>
      <c r="L41" s="3">
        <f>'S28 Transportation Matrix'!H43</f>
        <v>69</v>
      </c>
      <c r="M41" s="3">
        <f>'S28 Transportation Matrix'!I43</f>
        <v>0</v>
      </c>
      <c r="N41" s="3">
        <f>'S28 Transportation Matrix'!J43</f>
        <v>0</v>
      </c>
      <c r="O41" s="3">
        <f>'S28 Transportation Matrix'!K43</f>
        <v>0</v>
      </c>
      <c r="P41" s="3">
        <f>'S28 Transportation Matrix'!L43</f>
        <v>0</v>
      </c>
      <c r="Q41" s="3">
        <f>'S28 Transportation Matrix'!M43</f>
        <v>0</v>
      </c>
      <c r="R41" s="3">
        <f>'S28 Transportation Matrix'!N43</f>
        <v>0</v>
      </c>
      <c r="S41" s="3">
        <f>'S28 Transportation Matrix'!O43</f>
        <v>0</v>
      </c>
      <c r="T41" s="3">
        <f>'S28 Transportation Matrix'!P43</f>
        <v>0</v>
      </c>
      <c r="U41" s="3">
        <f>'S28 Transportation Matrix'!Q43</f>
        <v>0</v>
      </c>
      <c r="V41" s="3">
        <f>'S28 Transportation Matrix'!R43</f>
        <v>0</v>
      </c>
      <c r="W41" s="3">
        <f>'S28 Transportation Matrix'!S43</f>
        <v>0</v>
      </c>
      <c r="X41" s="3">
        <f>'S28 Transportation Matrix'!T43</f>
        <v>0</v>
      </c>
      <c r="Y41" s="3">
        <f>'S28 Transportation Matrix'!U43</f>
        <v>0</v>
      </c>
      <c r="Z41" s="3">
        <f>'S28 Transportation Matrix'!V43</f>
        <v>0</v>
      </c>
      <c r="AA41" s="3">
        <f>'S28 Transportation Matrix'!W43</f>
        <v>0</v>
      </c>
      <c r="AB41" s="3">
        <f>'S28 Transportation Matrix'!X43</f>
        <v>0</v>
      </c>
      <c r="AC41" s="3">
        <f>'S28 Transportation Matrix'!Y43</f>
        <v>0</v>
      </c>
      <c r="AD41" s="3">
        <f>'S28 Transportation Matrix'!Z43</f>
        <v>0</v>
      </c>
      <c r="AE41" s="3">
        <f>'S28 Transportation Matrix'!AA43</f>
        <v>0</v>
      </c>
      <c r="AF41" s="3">
        <f>'S28 Transportation Matrix'!AB43</f>
        <v>0</v>
      </c>
      <c r="AG41" s="3">
        <f>'S28 Transportation Matrix'!AC43</f>
        <v>0</v>
      </c>
      <c r="AH41" s="3">
        <f>'S28 Transportation Matrix'!AD43</f>
        <v>0</v>
      </c>
      <c r="AI41" s="3">
        <f>'S28 Transportation Matrix'!AE43</f>
        <v>0</v>
      </c>
      <c r="AJ41" s="3">
        <f>'S28 Transportation Matrix'!AF43</f>
        <v>0</v>
      </c>
      <c r="AK41" s="3">
        <f>'S28 Transportation Matrix'!AG43</f>
        <v>0</v>
      </c>
      <c r="AL41" s="3">
        <f>'S28 Transportation Matrix'!AH43</f>
        <v>0</v>
      </c>
      <c r="AM41" s="3">
        <f>'S28 Transportation Matrix'!AI43</f>
        <v>0</v>
      </c>
      <c r="AN41" s="3">
        <f>'S28 Transportation Matrix'!AJ43</f>
        <v>0</v>
      </c>
      <c r="AO41" s="3">
        <f>'S28 Transportation Matrix'!AK43</f>
        <v>0</v>
      </c>
      <c r="AP41" s="3">
        <f>'S28 Transportation Matrix'!AL43</f>
        <v>0</v>
      </c>
      <c r="AQ41" s="3">
        <f>'S28 Transportation Matrix'!AM43</f>
        <v>0</v>
      </c>
      <c r="AR41" s="3">
        <f>'S28 Transportation Matrix'!AN43</f>
        <v>0</v>
      </c>
      <c r="AS41" s="3">
        <f>'S28 Transportation Matrix'!AO43</f>
        <v>0</v>
      </c>
      <c r="AT41" s="3">
        <f>'S28 Transportation Matrix'!AP43</f>
        <v>0</v>
      </c>
      <c r="AU41" s="3">
        <f>'S28 Transportation Matrix'!AQ43</f>
        <v>0</v>
      </c>
      <c r="AV41" s="3">
        <f>'S28 Transportation Matrix'!AR43</f>
        <v>0</v>
      </c>
      <c r="AW41" s="3">
        <f>'S28 Transportation Matrix'!AS43</f>
        <v>0</v>
      </c>
    </row>
    <row r="42" spans="1:49">
      <c r="A42" s="3">
        <f>ROUND(SQRT(_xlfn.XLOOKUP(E42, 'S26 Space Requirements'!$B$5:$B$30, 'S26 Space Requirements'!$R$5:$R$30, 0, 0)), 0)</f>
        <v>0</v>
      </c>
      <c r="E42" s="295" t="s">
        <v>614</v>
      </c>
      <c r="F42" s="3">
        <f>'S28 Transportation Matrix'!B44</f>
        <v>0</v>
      </c>
      <c r="G42" s="3">
        <f>'S28 Transportation Matrix'!C44</f>
        <v>0</v>
      </c>
      <c r="H42" s="3">
        <f>'S28 Transportation Matrix'!D44</f>
        <v>0</v>
      </c>
      <c r="I42" s="3">
        <f>'S28 Transportation Matrix'!E44</f>
        <v>0</v>
      </c>
      <c r="J42" s="3">
        <f>'S28 Transportation Matrix'!F44</f>
        <v>0</v>
      </c>
      <c r="K42" s="3">
        <f>'S28 Transportation Matrix'!G44</f>
        <v>0</v>
      </c>
      <c r="L42" s="3">
        <f>'S28 Transportation Matrix'!H44</f>
        <v>0</v>
      </c>
      <c r="M42" s="3">
        <f>'S28 Transportation Matrix'!I44</f>
        <v>0</v>
      </c>
      <c r="N42" s="3">
        <f>'S28 Transportation Matrix'!J44</f>
        <v>0</v>
      </c>
      <c r="O42" s="3">
        <f>'S28 Transportation Matrix'!K44</f>
        <v>0</v>
      </c>
      <c r="P42" s="3">
        <f>'S28 Transportation Matrix'!L44</f>
        <v>0</v>
      </c>
      <c r="Q42" s="3">
        <f>'S28 Transportation Matrix'!M44</f>
        <v>0</v>
      </c>
      <c r="R42" s="3">
        <f>'S28 Transportation Matrix'!N44</f>
        <v>0</v>
      </c>
      <c r="S42" s="3">
        <f>'S28 Transportation Matrix'!O44</f>
        <v>0</v>
      </c>
      <c r="T42" s="3">
        <f>'S28 Transportation Matrix'!P44</f>
        <v>0</v>
      </c>
      <c r="U42" s="3">
        <f>'S28 Transportation Matrix'!Q44</f>
        <v>0</v>
      </c>
      <c r="V42" s="3">
        <f>'S28 Transportation Matrix'!R44</f>
        <v>0</v>
      </c>
      <c r="W42" s="3">
        <f>'S28 Transportation Matrix'!S44</f>
        <v>0</v>
      </c>
      <c r="X42" s="3">
        <f>'S28 Transportation Matrix'!T44</f>
        <v>0</v>
      </c>
      <c r="Y42" s="3">
        <f>'S28 Transportation Matrix'!U44</f>
        <v>0</v>
      </c>
      <c r="Z42" s="3">
        <f>'S28 Transportation Matrix'!V44</f>
        <v>0</v>
      </c>
      <c r="AA42" s="3">
        <f>'S28 Transportation Matrix'!W44</f>
        <v>0</v>
      </c>
      <c r="AB42" s="3">
        <f>'S28 Transportation Matrix'!X44</f>
        <v>0</v>
      </c>
      <c r="AC42" s="3">
        <f>'S28 Transportation Matrix'!Y44</f>
        <v>0</v>
      </c>
      <c r="AD42" s="3">
        <f>'S28 Transportation Matrix'!Z44</f>
        <v>0</v>
      </c>
      <c r="AE42" s="3">
        <f>'S28 Transportation Matrix'!AA44</f>
        <v>0</v>
      </c>
      <c r="AF42" s="3">
        <f>'S28 Transportation Matrix'!AB44</f>
        <v>0</v>
      </c>
      <c r="AG42" s="3">
        <f>'S28 Transportation Matrix'!AC44</f>
        <v>0</v>
      </c>
      <c r="AH42" s="3">
        <f>'S28 Transportation Matrix'!AD44</f>
        <v>0</v>
      </c>
      <c r="AI42" s="3">
        <f>'S28 Transportation Matrix'!AE44</f>
        <v>0</v>
      </c>
      <c r="AJ42" s="3">
        <f>'S28 Transportation Matrix'!AF44</f>
        <v>0</v>
      </c>
      <c r="AK42" s="3">
        <f>'S28 Transportation Matrix'!AG44</f>
        <v>0</v>
      </c>
      <c r="AL42" s="3">
        <f>'S28 Transportation Matrix'!AH44</f>
        <v>0</v>
      </c>
      <c r="AM42" s="3">
        <f>'S28 Transportation Matrix'!AI44</f>
        <v>0</v>
      </c>
      <c r="AN42" s="3">
        <f>'S28 Transportation Matrix'!AJ44</f>
        <v>0</v>
      </c>
      <c r="AO42" s="3">
        <f>'S28 Transportation Matrix'!AK44</f>
        <v>0</v>
      </c>
      <c r="AP42" s="3">
        <f>'S28 Transportation Matrix'!AL44</f>
        <v>0</v>
      </c>
      <c r="AQ42" s="3">
        <f>'S28 Transportation Matrix'!AM44</f>
        <v>0</v>
      </c>
      <c r="AR42" s="3">
        <f>'S28 Transportation Matrix'!AN44</f>
        <v>0</v>
      </c>
      <c r="AS42" s="3">
        <f>'S28 Transportation Matrix'!AO44</f>
        <v>0</v>
      </c>
      <c r="AT42" s="3">
        <f>'S28 Transportation Matrix'!AP44</f>
        <v>0</v>
      </c>
      <c r="AU42" s="3">
        <f>'S28 Transportation Matrix'!AQ44</f>
        <v>0</v>
      </c>
      <c r="AV42" s="3">
        <f>'S28 Transportation Matrix'!AR44</f>
        <v>0</v>
      </c>
      <c r="AW42" s="3">
        <f>'S28 Transportation Matrix'!AS44</f>
        <v>0</v>
      </c>
    </row>
    <row r="43" spans="1:49">
      <c r="A43" s="3">
        <f>ROUND(SQRT(_xlfn.XLOOKUP(E43, 'S26 Space Requirements'!$B$5:$B$30, 'S26 Space Requirements'!$R$5:$R$30, 0, 0)), 0)</f>
        <v>20</v>
      </c>
      <c r="E43" s="295" t="s">
        <v>615</v>
      </c>
      <c r="F43" s="3">
        <f>'S28 Transportation Matrix'!B45</f>
        <v>0</v>
      </c>
      <c r="G43" s="3">
        <f>'S28 Transportation Matrix'!C45</f>
        <v>0</v>
      </c>
      <c r="H43" s="3">
        <f>'S28 Transportation Matrix'!D45</f>
        <v>0</v>
      </c>
      <c r="I43" s="3">
        <f>'S28 Transportation Matrix'!E45</f>
        <v>0</v>
      </c>
      <c r="J43" s="3">
        <f>'S28 Transportation Matrix'!F45</f>
        <v>0</v>
      </c>
      <c r="K43" s="3">
        <f>'S28 Transportation Matrix'!G45</f>
        <v>0</v>
      </c>
      <c r="L43" s="3">
        <f>'S28 Transportation Matrix'!H45</f>
        <v>0</v>
      </c>
      <c r="M43" s="3">
        <f>'S28 Transportation Matrix'!I45</f>
        <v>0</v>
      </c>
      <c r="N43" s="3">
        <f>'S28 Transportation Matrix'!J45</f>
        <v>0</v>
      </c>
      <c r="O43" s="3">
        <f>'S28 Transportation Matrix'!K45</f>
        <v>0</v>
      </c>
      <c r="P43" s="3">
        <f>'S28 Transportation Matrix'!L45</f>
        <v>0</v>
      </c>
      <c r="Q43" s="3">
        <f>'S28 Transportation Matrix'!M45</f>
        <v>0</v>
      </c>
      <c r="R43" s="3">
        <f>'S28 Transportation Matrix'!N45</f>
        <v>0</v>
      </c>
      <c r="S43" s="3">
        <f>'S28 Transportation Matrix'!O45</f>
        <v>0</v>
      </c>
      <c r="T43" s="3">
        <f>'S28 Transportation Matrix'!P45</f>
        <v>0</v>
      </c>
      <c r="U43" s="3">
        <f>'S28 Transportation Matrix'!Q45</f>
        <v>0</v>
      </c>
      <c r="V43" s="3">
        <f>'S28 Transportation Matrix'!R45</f>
        <v>0</v>
      </c>
      <c r="W43" s="3">
        <f>'S28 Transportation Matrix'!S45</f>
        <v>0</v>
      </c>
      <c r="X43" s="3">
        <f>'S28 Transportation Matrix'!T45</f>
        <v>0</v>
      </c>
      <c r="Y43" s="3">
        <f>'S28 Transportation Matrix'!U45</f>
        <v>0</v>
      </c>
      <c r="Z43" s="3">
        <f>'S28 Transportation Matrix'!V45</f>
        <v>0</v>
      </c>
      <c r="AA43" s="3">
        <f>'S28 Transportation Matrix'!W45</f>
        <v>0</v>
      </c>
      <c r="AB43" s="3">
        <f>'S28 Transportation Matrix'!X45</f>
        <v>0</v>
      </c>
      <c r="AC43" s="3">
        <f>'S28 Transportation Matrix'!Y45</f>
        <v>0</v>
      </c>
      <c r="AD43" s="3">
        <f>'S28 Transportation Matrix'!Z45</f>
        <v>0</v>
      </c>
      <c r="AE43" s="3">
        <f>'S28 Transportation Matrix'!AA45</f>
        <v>0</v>
      </c>
      <c r="AF43" s="3">
        <f>'S28 Transportation Matrix'!AB45</f>
        <v>0</v>
      </c>
      <c r="AG43" s="3">
        <f>'S28 Transportation Matrix'!AC45</f>
        <v>0</v>
      </c>
      <c r="AH43" s="3">
        <f>'S28 Transportation Matrix'!AD45</f>
        <v>0</v>
      </c>
      <c r="AI43" s="3">
        <f>'S28 Transportation Matrix'!AE45</f>
        <v>0</v>
      </c>
      <c r="AJ43" s="3">
        <f>'S28 Transportation Matrix'!AF45</f>
        <v>0</v>
      </c>
      <c r="AK43" s="3">
        <f>'S28 Transportation Matrix'!AG45</f>
        <v>0</v>
      </c>
      <c r="AL43" s="3">
        <f>'S28 Transportation Matrix'!AH45</f>
        <v>0</v>
      </c>
      <c r="AM43" s="3">
        <f>'S28 Transportation Matrix'!AI45</f>
        <v>0</v>
      </c>
      <c r="AN43" s="3">
        <f>'S28 Transportation Matrix'!AJ45</f>
        <v>0</v>
      </c>
      <c r="AO43" s="3">
        <f>'S28 Transportation Matrix'!AK45</f>
        <v>0</v>
      </c>
      <c r="AP43" s="3">
        <f>'S28 Transportation Matrix'!AL45</f>
        <v>0</v>
      </c>
      <c r="AQ43" s="3">
        <f>'S28 Transportation Matrix'!AM45</f>
        <v>0</v>
      </c>
      <c r="AR43" s="3">
        <f>'S28 Transportation Matrix'!AN45</f>
        <v>0</v>
      </c>
      <c r="AS43" s="3">
        <f>'S28 Transportation Matrix'!AO45</f>
        <v>0</v>
      </c>
      <c r="AT43" s="3">
        <f>'S28 Transportation Matrix'!AP45</f>
        <v>0</v>
      </c>
      <c r="AU43" s="3">
        <f>'S28 Transportation Matrix'!AQ45</f>
        <v>0</v>
      </c>
      <c r="AV43" s="3">
        <f>'S28 Transportation Matrix'!AR45</f>
        <v>0</v>
      </c>
      <c r="AW43" s="3">
        <f>'S28 Transportation Matrix'!AS45</f>
        <v>0</v>
      </c>
    </row>
    <row r="44" spans="1:49">
      <c r="A44" s="3">
        <f>ROUND(SQRT(_xlfn.XLOOKUP(E44, 'S26 Space Requirements'!$B$5:$B$30, 'S26 Space Requirements'!$R$5:$R$30, 0, 0)), 0)</f>
        <v>19</v>
      </c>
      <c r="E44" s="295" t="s">
        <v>616</v>
      </c>
      <c r="F44" s="3">
        <f>'S28 Transportation Matrix'!B46</f>
        <v>0</v>
      </c>
      <c r="G44" s="3">
        <f>'S28 Transportation Matrix'!C46</f>
        <v>0</v>
      </c>
      <c r="H44" s="3">
        <f>'S28 Transportation Matrix'!D46</f>
        <v>0</v>
      </c>
      <c r="I44" s="3">
        <f>'S28 Transportation Matrix'!E46</f>
        <v>0</v>
      </c>
      <c r="J44" s="3">
        <f>'S28 Transportation Matrix'!F46</f>
        <v>0</v>
      </c>
      <c r="K44" s="3">
        <f>'S28 Transportation Matrix'!G46</f>
        <v>0</v>
      </c>
      <c r="L44" s="3">
        <f>'S28 Transportation Matrix'!H46</f>
        <v>0</v>
      </c>
      <c r="M44" s="3">
        <f>'S28 Transportation Matrix'!I46</f>
        <v>0</v>
      </c>
      <c r="N44" s="3">
        <f>'S28 Transportation Matrix'!J46</f>
        <v>0</v>
      </c>
      <c r="O44" s="3">
        <f>'S28 Transportation Matrix'!K46</f>
        <v>0</v>
      </c>
      <c r="P44" s="3">
        <f>'S28 Transportation Matrix'!L46</f>
        <v>0</v>
      </c>
      <c r="Q44" s="3">
        <f>'S28 Transportation Matrix'!M46</f>
        <v>0</v>
      </c>
      <c r="R44" s="3">
        <f>'S28 Transportation Matrix'!N46</f>
        <v>0</v>
      </c>
      <c r="S44" s="3">
        <f>'S28 Transportation Matrix'!O46</f>
        <v>0</v>
      </c>
      <c r="T44" s="3">
        <f>'S28 Transportation Matrix'!P46</f>
        <v>0</v>
      </c>
      <c r="U44" s="3">
        <f>'S28 Transportation Matrix'!Q46</f>
        <v>0</v>
      </c>
      <c r="V44" s="3">
        <f>'S28 Transportation Matrix'!R46</f>
        <v>0</v>
      </c>
      <c r="W44" s="3">
        <f>'S28 Transportation Matrix'!S46</f>
        <v>0</v>
      </c>
      <c r="X44" s="3">
        <f>'S28 Transportation Matrix'!T46</f>
        <v>0</v>
      </c>
      <c r="Y44" s="3">
        <f>'S28 Transportation Matrix'!U46</f>
        <v>0</v>
      </c>
      <c r="Z44" s="3">
        <f>'S28 Transportation Matrix'!V46</f>
        <v>0</v>
      </c>
      <c r="AA44" s="3">
        <f>'S28 Transportation Matrix'!W46</f>
        <v>0</v>
      </c>
      <c r="AB44" s="3">
        <f>'S28 Transportation Matrix'!X46</f>
        <v>0</v>
      </c>
      <c r="AC44" s="3">
        <f>'S28 Transportation Matrix'!Y46</f>
        <v>0</v>
      </c>
      <c r="AD44" s="3">
        <f>'S28 Transportation Matrix'!Z46</f>
        <v>0</v>
      </c>
      <c r="AE44" s="3">
        <f>'S28 Transportation Matrix'!AA46</f>
        <v>0</v>
      </c>
      <c r="AF44" s="3">
        <f>'S28 Transportation Matrix'!AB46</f>
        <v>0</v>
      </c>
      <c r="AG44" s="3">
        <f>'S28 Transportation Matrix'!AC46</f>
        <v>0</v>
      </c>
      <c r="AH44" s="3">
        <f>'S28 Transportation Matrix'!AD46</f>
        <v>0</v>
      </c>
      <c r="AI44" s="3">
        <f>'S28 Transportation Matrix'!AE46</f>
        <v>0</v>
      </c>
      <c r="AJ44" s="3">
        <f>'S28 Transportation Matrix'!AF46</f>
        <v>0</v>
      </c>
      <c r="AK44" s="3">
        <f>'S28 Transportation Matrix'!AG46</f>
        <v>0</v>
      </c>
      <c r="AL44" s="3">
        <f>'S28 Transportation Matrix'!AH46</f>
        <v>0</v>
      </c>
      <c r="AM44" s="3">
        <f>'S28 Transportation Matrix'!AI46</f>
        <v>0</v>
      </c>
      <c r="AN44" s="3">
        <f>'S28 Transportation Matrix'!AJ46</f>
        <v>0</v>
      </c>
      <c r="AO44" s="3">
        <f>'S28 Transportation Matrix'!AK46</f>
        <v>213</v>
      </c>
      <c r="AP44" s="3">
        <f>'S28 Transportation Matrix'!AL46</f>
        <v>0</v>
      </c>
      <c r="AQ44" s="3">
        <f>'S28 Transportation Matrix'!AM46</f>
        <v>89</v>
      </c>
      <c r="AR44" s="3">
        <f>'S28 Transportation Matrix'!AN46</f>
        <v>0</v>
      </c>
      <c r="AS44" s="3">
        <f>'S28 Transportation Matrix'!AO46</f>
        <v>290</v>
      </c>
      <c r="AT44" s="3">
        <f>'S28 Transportation Matrix'!AP46</f>
        <v>0</v>
      </c>
      <c r="AU44" s="3">
        <f>'S28 Transportation Matrix'!AQ46</f>
        <v>0</v>
      </c>
      <c r="AV44" s="3">
        <f>'S28 Transportation Matrix'!AR46</f>
        <v>0</v>
      </c>
      <c r="AW44" s="3">
        <f>'S28 Transportation Matrix'!AS46</f>
        <v>0</v>
      </c>
    </row>
    <row r="45" spans="1:49">
      <c r="A45" s="3">
        <f>ROUND(SQRT(_xlfn.XLOOKUP(E45, 'S26 Space Requirements'!$B$5:$B$30, 'S26 Space Requirements'!$R$5:$R$30, 0, 0)), 0)</f>
        <v>19</v>
      </c>
      <c r="E45" s="295" t="s">
        <v>617</v>
      </c>
      <c r="F45" s="3">
        <f>'S28 Transportation Matrix'!B47</f>
        <v>0</v>
      </c>
      <c r="G45" s="3">
        <f>'S28 Transportation Matrix'!C47</f>
        <v>0</v>
      </c>
      <c r="H45" s="3">
        <f>'S28 Transportation Matrix'!D47</f>
        <v>0</v>
      </c>
      <c r="I45" s="3">
        <f>'S28 Transportation Matrix'!E47</f>
        <v>0</v>
      </c>
      <c r="J45" s="3">
        <f>'S28 Transportation Matrix'!F47</f>
        <v>0</v>
      </c>
      <c r="K45" s="3">
        <f>'S28 Transportation Matrix'!G47</f>
        <v>0</v>
      </c>
      <c r="L45" s="3">
        <f>'S28 Transportation Matrix'!H47</f>
        <v>0</v>
      </c>
      <c r="M45" s="3">
        <f>'S28 Transportation Matrix'!I47</f>
        <v>0</v>
      </c>
      <c r="N45" s="3">
        <f>'S28 Transportation Matrix'!J47</f>
        <v>0</v>
      </c>
      <c r="O45" s="3">
        <f>'S28 Transportation Matrix'!K47</f>
        <v>0</v>
      </c>
      <c r="P45" s="3">
        <f>'S28 Transportation Matrix'!L47</f>
        <v>0</v>
      </c>
      <c r="Q45" s="3">
        <f>'S28 Transportation Matrix'!M47</f>
        <v>0</v>
      </c>
      <c r="R45" s="3">
        <f>'S28 Transportation Matrix'!N47</f>
        <v>0</v>
      </c>
      <c r="S45" s="3">
        <f>'S28 Transportation Matrix'!O47</f>
        <v>0</v>
      </c>
      <c r="T45" s="3">
        <f>'S28 Transportation Matrix'!P47</f>
        <v>0</v>
      </c>
      <c r="U45" s="3">
        <f>'S28 Transportation Matrix'!Q47</f>
        <v>0</v>
      </c>
      <c r="V45" s="3">
        <f>'S28 Transportation Matrix'!R47</f>
        <v>0</v>
      </c>
      <c r="W45" s="3">
        <f>'S28 Transportation Matrix'!S47</f>
        <v>0</v>
      </c>
      <c r="X45" s="3">
        <f>'S28 Transportation Matrix'!T47</f>
        <v>0</v>
      </c>
      <c r="Y45" s="3">
        <f>'S28 Transportation Matrix'!U47</f>
        <v>0</v>
      </c>
      <c r="Z45" s="3">
        <f>'S28 Transportation Matrix'!V47</f>
        <v>0</v>
      </c>
      <c r="AA45" s="3">
        <f>'S28 Transportation Matrix'!W47</f>
        <v>0</v>
      </c>
      <c r="AB45" s="3">
        <f>'S28 Transportation Matrix'!X47</f>
        <v>0</v>
      </c>
      <c r="AC45" s="3">
        <f>'S28 Transportation Matrix'!Y47</f>
        <v>0</v>
      </c>
      <c r="AD45" s="3">
        <f>'S28 Transportation Matrix'!Z47</f>
        <v>0</v>
      </c>
      <c r="AE45" s="3">
        <f>'S28 Transportation Matrix'!AA47</f>
        <v>0</v>
      </c>
      <c r="AF45" s="3">
        <f>'S28 Transportation Matrix'!AB47</f>
        <v>0</v>
      </c>
      <c r="AG45" s="3">
        <f>'S28 Transportation Matrix'!AC47</f>
        <v>0</v>
      </c>
      <c r="AH45" s="3">
        <f>'S28 Transportation Matrix'!AD47</f>
        <v>0</v>
      </c>
      <c r="AI45" s="3">
        <f>'S28 Transportation Matrix'!AE47</f>
        <v>0</v>
      </c>
      <c r="AJ45" s="3">
        <f>'S28 Transportation Matrix'!AF47</f>
        <v>0</v>
      </c>
      <c r="AK45" s="3">
        <f>'S28 Transportation Matrix'!AG47</f>
        <v>0</v>
      </c>
      <c r="AL45" s="3">
        <f>'S28 Transportation Matrix'!AH47</f>
        <v>0</v>
      </c>
      <c r="AM45" s="3">
        <f>'S28 Transportation Matrix'!AI47</f>
        <v>0</v>
      </c>
      <c r="AN45" s="3">
        <f>'S28 Transportation Matrix'!AJ47</f>
        <v>0</v>
      </c>
      <c r="AO45" s="3">
        <f>'S28 Transportation Matrix'!AK47</f>
        <v>0</v>
      </c>
      <c r="AP45" s="3">
        <f>'S28 Transportation Matrix'!AL47</f>
        <v>0</v>
      </c>
      <c r="AQ45" s="3">
        <f>'S28 Transportation Matrix'!AM47</f>
        <v>0</v>
      </c>
      <c r="AR45" s="3">
        <f>'S28 Transportation Matrix'!AN47</f>
        <v>0</v>
      </c>
      <c r="AS45" s="3">
        <f>'S28 Transportation Matrix'!AO47</f>
        <v>0</v>
      </c>
      <c r="AT45" s="3">
        <f>'S28 Transportation Matrix'!AP47</f>
        <v>0</v>
      </c>
      <c r="AU45" s="3">
        <f>'S28 Transportation Matrix'!AQ47</f>
        <v>0</v>
      </c>
      <c r="AV45" s="3">
        <f>'S28 Transportation Matrix'!AR47</f>
        <v>0</v>
      </c>
      <c r="AW45" s="3">
        <f>'S28 Transportation Matrix'!AS47</f>
        <v>0</v>
      </c>
    </row>
  </sheetData>
  <mergeCells count="6">
    <mergeCell ref="CD4:CF4"/>
    <mergeCell ref="BJ4:BL4"/>
    <mergeCell ref="BM4:BO4"/>
    <mergeCell ref="BP4:BW4"/>
    <mergeCell ref="BX4:CA4"/>
    <mergeCell ref="CB4:CC4"/>
  </mergeCells>
  <conditionalFormatting sqref="F2:AW45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3" r:id="rId3" name="Button 3">
              <controlPr defaultSize="0" print="0" autoFill="0" autoPict="0" macro="[0]!Sheet31_CreateShapes">
                <anchor moveWithCells="1" sizeWithCells="1">
                  <from>
                    <xdr:col>88</xdr:col>
                    <xdr:colOff>330200</xdr:colOff>
                    <xdr:row>7</xdr:row>
                    <xdr:rowOff>12700</xdr:rowOff>
                  </from>
                  <to>
                    <xdr:col>90</xdr:col>
                    <xdr:colOff>203200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4" name="Button 4">
              <controlPr defaultSize="0" print="0" autoFill="0" autoPict="0" macro="[0]!Sheet31_RemoveAllShapes">
                <anchor moveWithCells="1" sizeWithCells="1">
                  <from>
                    <xdr:col>88</xdr:col>
                    <xdr:colOff>406400</xdr:colOff>
                    <xdr:row>3</xdr:row>
                    <xdr:rowOff>165100</xdr:rowOff>
                  </from>
                  <to>
                    <xdr:col>90</xdr:col>
                    <xdr:colOff>279400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E4F70-DDB8-3A4A-8B02-CB8D43748068}">
  <dimension ref="A1:L118"/>
  <sheetViews>
    <sheetView topLeftCell="A99" zoomScale="150" workbookViewId="0">
      <selection activeCell="C118" sqref="C118"/>
    </sheetView>
  </sheetViews>
  <sheetFormatPr baseColWidth="10" defaultRowHeight="16"/>
  <cols>
    <col min="1" max="1" width="20.33203125" bestFit="1" customWidth="1"/>
    <col min="5" max="5" width="16.33203125" customWidth="1"/>
    <col min="7" max="7" width="19.33203125" customWidth="1"/>
  </cols>
  <sheetData>
    <row r="1" spans="1:8" ht="24">
      <c r="A1" s="324" t="s">
        <v>1109</v>
      </c>
    </row>
    <row r="2" spans="1:8">
      <c r="A2" s="3" t="s">
        <v>1125</v>
      </c>
      <c r="B2" s="430" t="s">
        <v>1167</v>
      </c>
      <c r="C2" s="430"/>
      <c r="D2" s="430"/>
      <c r="E2" s="430"/>
      <c r="F2" s="430"/>
      <c r="G2" s="430"/>
      <c r="H2" s="430"/>
    </row>
    <row r="3" spans="1:8">
      <c r="A3" s="434"/>
      <c r="B3" s="431"/>
      <c r="C3" s="432"/>
      <c r="D3" s="432"/>
      <c r="E3" s="432"/>
      <c r="F3" s="433"/>
      <c r="G3" s="430" t="s">
        <v>1168</v>
      </c>
      <c r="H3" s="430"/>
    </row>
    <row r="4" spans="1:8">
      <c r="A4" s="435"/>
      <c r="B4" s="3" t="s">
        <v>981</v>
      </c>
      <c r="C4" s="3" t="s">
        <v>988</v>
      </c>
      <c r="D4" s="3" t="s">
        <v>991</v>
      </c>
      <c r="E4" s="3" t="s">
        <v>994</v>
      </c>
      <c r="F4" s="3" t="s">
        <v>1020</v>
      </c>
      <c r="G4" s="3" t="s">
        <v>981</v>
      </c>
      <c r="H4" s="3" t="s">
        <v>988</v>
      </c>
    </row>
    <row r="5" spans="1:8">
      <c r="A5" s="233">
        <v>2</v>
      </c>
      <c r="B5" s="233">
        <v>2</v>
      </c>
      <c r="C5" s="233">
        <v>2</v>
      </c>
      <c r="D5" s="233">
        <v>2</v>
      </c>
      <c r="E5" s="233">
        <v>2</v>
      </c>
      <c r="F5" s="233">
        <v>2</v>
      </c>
      <c r="G5" s="233">
        <v>1.6</v>
      </c>
      <c r="H5" s="233">
        <v>1.6</v>
      </c>
    </row>
    <row r="6" spans="1:8">
      <c r="A6" s="233">
        <v>2.5</v>
      </c>
      <c r="B6" s="233">
        <v>2.5</v>
      </c>
      <c r="C6" s="233">
        <v>2.5</v>
      </c>
      <c r="D6" s="233">
        <v>3.6</v>
      </c>
      <c r="E6" s="233">
        <v>3.6</v>
      </c>
      <c r="F6" s="233">
        <v>2.4</v>
      </c>
      <c r="G6" s="233">
        <v>2.2999999999999998</v>
      </c>
      <c r="H6" s="233">
        <v>2.2999999999999998</v>
      </c>
    </row>
    <row r="7" spans="1:8">
      <c r="A7" s="233">
        <v>5.0999999999999996</v>
      </c>
      <c r="B7" s="233">
        <v>4</v>
      </c>
      <c r="C7" s="233">
        <v>4</v>
      </c>
      <c r="D7" s="233">
        <v>5.9</v>
      </c>
      <c r="E7" s="233">
        <v>5.9</v>
      </c>
      <c r="F7" s="233">
        <v>3.8</v>
      </c>
      <c r="G7" s="233">
        <v>3.5</v>
      </c>
      <c r="H7" s="233">
        <v>2.7</v>
      </c>
    </row>
    <row r="8" spans="1:8">
      <c r="A8" s="233">
        <v>7.6</v>
      </c>
      <c r="B8" s="233">
        <v>5.3</v>
      </c>
      <c r="C8" s="233">
        <v>5.3</v>
      </c>
      <c r="D8" s="233">
        <v>7.3</v>
      </c>
      <c r="E8" s="233">
        <v>7.3</v>
      </c>
      <c r="F8" s="233">
        <v>5.3</v>
      </c>
      <c r="G8" s="233">
        <v>4.5</v>
      </c>
      <c r="H8" s="233">
        <v>3.6</v>
      </c>
    </row>
    <row r="9" spans="1:8">
      <c r="A9" s="233">
        <v>10.1</v>
      </c>
      <c r="B9" s="233">
        <v>6.1</v>
      </c>
      <c r="C9" s="233">
        <v>6.4</v>
      </c>
      <c r="D9" s="233">
        <v>8.4</v>
      </c>
      <c r="E9" s="233">
        <v>8.4</v>
      </c>
      <c r="F9" s="233">
        <v>6.8</v>
      </c>
      <c r="G9" s="233">
        <v>4.9000000000000004</v>
      </c>
      <c r="H9" s="233">
        <v>4.3</v>
      </c>
    </row>
    <row r="10" spans="1:8">
      <c r="A10" s="233">
        <v>12.5</v>
      </c>
      <c r="B10" s="233">
        <v>6.5</v>
      </c>
      <c r="C10" s="233">
        <v>7.8</v>
      </c>
      <c r="D10" s="233">
        <v>9.4</v>
      </c>
      <c r="E10" s="233">
        <v>9.4</v>
      </c>
      <c r="F10" s="233">
        <v>7.4</v>
      </c>
      <c r="G10" s="233">
        <v>5.3</v>
      </c>
      <c r="H10" s="233">
        <v>5</v>
      </c>
    </row>
    <row r="11" spans="1:8">
      <c r="A11" s="233">
        <v>15.2</v>
      </c>
      <c r="B11" s="233">
        <v>7</v>
      </c>
      <c r="C11" s="233">
        <v>8.6</v>
      </c>
      <c r="D11" s="233">
        <v>10.1</v>
      </c>
      <c r="E11" s="233">
        <v>10.1</v>
      </c>
      <c r="F11" s="233">
        <v>8</v>
      </c>
      <c r="G11" s="233">
        <v>5.7</v>
      </c>
      <c r="H11" s="233">
        <v>5.7</v>
      </c>
    </row>
    <row r="12" spans="1:8">
      <c r="A12" s="233">
        <v>17.8</v>
      </c>
      <c r="B12" s="233">
        <v>7.4</v>
      </c>
      <c r="C12" s="233">
        <v>9.3000000000000007</v>
      </c>
      <c r="D12" s="233">
        <v>10.8</v>
      </c>
      <c r="E12" s="233">
        <v>10.8</v>
      </c>
      <c r="F12" s="233">
        <v>8.6999999999999993</v>
      </c>
      <c r="G12" s="233">
        <v>6.1</v>
      </c>
      <c r="H12" s="233">
        <v>6.5</v>
      </c>
    </row>
    <row r="13" spans="1:8">
      <c r="A13" s="233">
        <v>20.3</v>
      </c>
      <c r="B13" s="233">
        <v>7.9</v>
      </c>
      <c r="C13" s="233">
        <v>10.1</v>
      </c>
      <c r="D13" s="233">
        <v>11.5</v>
      </c>
      <c r="E13" s="233">
        <v>11.5</v>
      </c>
      <c r="F13" s="233">
        <v>9.3000000000000007</v>
      </c>
      <c r="G13" s="233">
        <v>6.5</v>
      </c>
      <c r="H13" s="233">
        <v>7.2</v>
      </c>
    </row>
    <row r="14" spans="1:8">
      <c r="A14" s="233">
        <v>22.9</v>
      </c>
      <c r="B14" s="233">
        <v>8.3000000000000007</v>
      </c>
      <c r="C14" s="233">
        <v>10.8</v>
      </c>
      <c r="D14" s="233">
        <v>12.2</v>
      </c>
      <c r="E14" s="233">
        <v>12.2</v>
      </c>
      <c r="F14" s="233">
        <v>9.9</v>
      </c>
      <c r="G14" s="233">
        <v>6.9</v>
      </c>
      <c r="H14" s="233">
        <v>7.9</v>
      </c>
    </row>
    <row r="15" spans="1:8">
      <c r="A15" s="233">
        <v>25.4</v>
      </c>
      <c r="B15" s="233">
        <v>8.6999999999999993</v>
      </c>
      <c r="C15" s="233">
        <v>11.5</v>
      </c>
      <c r="D15" s="233">
        <v>12.9</v>
      </c>
      <c r="E15" s="233">
        <v>12.9</v>
      </c>
      <c r="F15" s="233">
        <v>10.5</v>
      </c>
      <c r="G15" s="233">
        <v>7.3</v>
      </c>
      <c r="H15" s="233">
        <v>8.6</v>
      </c>
    </row>
    <row r="16" spans="1:8">
      <c r="A16" s="233">
        <v>30.5</v>
      </c>
      <c r="B16" s="233">
        <v>9.6</v>
      </c>
      <c r="C16" s="233">
        <v>12.9</v>
      </c>
      <c r="D16" s="233">
        <v>14.2</v>
      </c>
      <c r="E16" s="233">
        <v>14.2</v>
      </c>
      <c r="F16" s="233">
        <v>11.8</v>
      </c>
      <c r="G16" s="233">
        <v>8.1</v>
      </c>
      <c r="H16" s="233">
        <v>10.1</v>
      </c>
    </row>
    <row r="17" spans="1:8">
      <c r="A17" s="233">
        <v>35.6</v>
      </c>
      <c r="B17" s="233">
        <v>10.5</v>
      </c>
      <c r="C17" s="233">
        <v>14.4</v>
      </c>
      <c r="D17" s="233">
        <v>15.6</v>
      </c>
      <c r="E17" s="233">
        <v>15.6</v>
      </c>
      <c r="F17" s="233">
        <v>13</v>
      </c>
      <c r="G17" s="233">
        <v>8.9</v>
      </c>
      <c r="H17" s="233">
        <v>11.5</v>
      </c>
    </row>
    <row r="18" spans="1:8">
      <c r="A18" s="233">
        <v>40.6</v>
      </c>
      <c r="B18" s="233">
        <v>11.4</v>
      </c>
      <c r="C18" s="233">
        <v>15.8</v>
      </c>
      <c r="D18" s="233">
        <v>17</v>
      </c>
      <c r="E18" s="233">
        <v>17</v>
      </c>
      <c r="F18" s="233">
        <v>14.2</v>
      </c>
      <c r="G18" s="233">
        <v>9.6999999999999993</v>
      </c>
      <c r="H18" s="233">
        <v>12.9</v>
      </c>
    </row>
    <row r="19" spans="1:8">
      <c r="A19" s="233">
        <v>45.7</v>
      </c>
      <c r="B19" s="233">
        <v>12.3</v>
      </c>
      <c r="C19" s="233">
        <v>17.2</v>
      </c>
      <c r="D19" s="233">
        <v>18.399999999999999</v>
      </c>
      <c r="E19" s="233">
        <v>18.399999999999999</v>
      </c>
      <c r="F19" s="233">
        <v>15.5</v>
      </c>
      <c r="G19" s="233">
        <v>10.5</v>
      </c>
      <c r="H19" s="233">
        <v>14.4</v>
      </c>
    </row>
    <row r="20" spans="1:8">
      <c r="A20" s="233">
        <v>50.8</v>
      </c>
      <c r="B20" s="233">
        <v>13.1</v>
      </c>
      <c r="C20" s="233">
        <v>18.600000000000001</v>
      </c>
      <c r="D20" s="233">
        <v>19.8</v>
      </c>
      <c r="E20" s="233">
        <v>19.8</v>
      </c>
      <c r="F20" s="233">
        <v>16.7</v>
      </c>
      <c r="G20" s="233">
        <v>11.3</v>
      </c>
      <c r="H20" s="233">
        <v>15.8</v>
      </c>
    </row>
    <row r="21" spans="1:8">
      <c r="A21" s="233">
        <v>55.9</v>
      </c>
      <c r="B21" s="233">
        <v>14</v>
      </c>
      <c r="C21" s="233">
        <v>20.100000000000001</v>
      </c>
      <c r="D21" s="233">
        <v>21.2</v>
      </c>
      <c r="E21" s="233">
        <v>21.2</v>
      </c>
      <c r="F21" s="233">
        <v>18</v>
      </c>
      <c r="G21" s="233">
        <v>12.1</v>
      </c>
      <c r="H21" s="233">
        <v>17.3</v>
      </c>
    </row>
    <row r="22" spans="1:8">
      <c r="A22" s="233">
        <v>61</v>
      </c>
      <c r="B22" s="233">
        <v>14.9</v>
      </c>
      <c r="C22" s="233">
        <v>21.5</v>
      </c>
      <c r="D22" s="233">
        <v>22.5</v>
      </c>
      <c r="E22" s="233">
        <v>22.5</v>
      </c>
      <c r="F22" s="233">
        <v>19.2</v>
      </c>
      <c r="G22" s="233">
        <v>12.9</v>
      </c>
      <c r="H22" s="233">
        <v>18.8</v>
      </c>
    </row>
    <row r="23" spans="1:8">
      <c r="A23" s="233">
        <v>66</v>
      </c>
      <c r="B23" s="233">
        <v>15.8</v>
      </c>
      <c r="C23" s="233">
        <v>22.9</v>
      </c>
      <c r="D23" s="233">
        <v>23.9</v>
      </c>
      <c r="E23" s="233">
        <v>23.9</v>
      </c>
      <c r="F23" s="233">
        <v>20.399999999999999</v>
      </c>
      <c r="G23" s="233">
        <v>13.7</v>
      </c>
      <c r="H23" s="233">
        <v>20.2</v>
      </c>
    </row>
    <row r="24" spans="1:8">
      <c r="A24" s="233">
        <v>71.099999999999994</v>
      </c>
      <c r="B24" s="233">
        <v>16.7</v>
      </c>
      <c r="C24" s="233">
        <v>24.4</v>
      </c>
      <c r="D24" s="233">
        <v>25.3</v>
      </c>
      <c r="E24" s="233">
        <v>25.3</v>
      </c>
      <c r="F24" s="233">
        <v>21.7</v>
      </c>
      <c r="G24" s="233">
        <v>14.5</v>
      </c>
      <c r="H24" s="233">
        <v>21.7</v>
      </c>
    </row>
    <row r="25" spans="1:8">
      <c r="A25" s="233">
        <v>76.2</v>
      </c>
      <c r="B25" s="233">
        <v>17.5</v>
      </c>
      <c r="C25" s="233">
        <v>25.8</v>
      </c>
      <c r="D25" s="233">
        <v>26.7</v>
      </c>
      <c r="E25" s="233">
        <v>26.7</v>
      </c>
      <c r="F25" s="233">
        <v>22.9</v>
      </c>
      <c r="G25" s="233">
        <v>15.3</v>
      </c>
      <c r="H25" s="233">
        <v>23.2</v>
      </c>
    </row>
    <row r="28" spans="1:8" ht="24">
      <c r="A28" s="324" t="s">
        <v>1110</v>
      </c>
    </row>
    <row r="29" spans="1:8">
      <c r="A29" s="3" t="s">
        <v>1169</v>
      </c>
      <c r="B29" s="3" t="s">
        <v>1133</v>
      </c>
      <c r="C29" s="3" t="s">
        <v>1167</v>
      </c>
    </row>
    <row r="30" spans="1:8">
      <c r="A30" s="436" t="s">
        <v>1170</v>
      </c>
      <c r="B30" s="69" t="s">
        <v>1138</v>
      </c>
      <c r="C30" s="233">
        <v>2</v>
      </c>
    </row>
    <row r="31" spans="1:8">
      <c r="A31" s="437"/>
      <c r="B31" s="69" t="s">
        <v>1150</v>
      </c>
      <c r="C31" s="233">
        <v>3.5</v>
      </c>
    </row>
    <row r="32" spans="1:8">
      <c r="A32" s="437"/>
      <c r="B32" s="69" t="s">
        <v>1162</v>
      </c>
      <c r="C32" s="233">
        <v>7.3</v>
      </c>
    </row>
    <row r="33" spans="1:7">
      <c r="A33" s="437"/>
      <c r="B33" s="69" t="s">
        <v>1163</v>
      </c>
      <c r="C33" s="233">
        <v>8.6999999999999993</v>
      </c>
    </row>
    <row r="34" spans="1:7">
      <c r="A34" s="438"/>
      <c r="B34" s="69" t="s">
        <v>1164</v>
      </c>
      <c r="C34" s="233">
        <v>10.8</v>
      </c>
    </row>
    <row r="35" spans="1:7">
      <c r="A35" s="3" t="s">
        <v>1171</v>
      </c>
      <c r="B35" s="69">
        <v>2</v>
      </c>
      <c r="C35" s="233">
        <v>5.6</v>
      </c>
    </row>
    <row r="36" spans="1:7">
      <c r="A36" s="3" t="s">
        <v>1172</v>
      </c>
      <c r="B36" s="69">
        <v>3</v>
      </c>
      <c r="C36" s="233">
        <v>5.6</v>
      </c>
    </row>
    <row r="37" spans="1:7">
      <c r="A37" s="436" t="s">
        <v>1173</v>
      </c>
      <c r="B37" s="69" t="s">
        <v>1153</v>
      </c>
      <c r="C37" s="233">
        <v>7.3</v>
      </c>
    </row>
    <row r="38" spans="1:7">
      <c r="A38" s="437"/>
      <c r="B38" s="69" t="s">
        <v>1157</v>
      </c>
      <c r="C38" s="233">
        <v>9.1</v>
      </c>
    </row>
    <row r="39" spans="1:7">
      <c r="A39" s="438"/>
      <c r="B39" s="69" t="s">
        <v>1165</v>
      </c>
      <c r="C39" s="233">
        <v>12.9</v>
      </c>
    </row>
    <row r="40" spans="1:7">
      <c r="A40" s="3" t="s">
        <v>1174</v>
      </c>
      <c r="B40" s="69">
        <v>5</v>
      </c>
      <c r="C40" s="233">
        <v>0</v>
      </c>
    </row>
    <row r="41" spans="1:7">
      <c r="C41" s="233"/>
    </row>
    <row r="43" spans="1:7" ht="24">
      <c r="A43" s="324" t="s">
        <v>1111</v>
      </c>
    </row>
    <row r="44" spans="1:7">
      <c r="A44" s="3"/>
      <c r="B44" s="430" t="s">
        <v>1167</v>
      </c>
      <c r="C44" s="430"/>
      <c r="D44" s="430"/>
      <c r="E44" s="430" t="s">
        <v>1175</v>
      </c>
      <c r="F44" s="430"/>
      <c r="G44" s="430"/>
    </row>
    <row r="45" spans="1:7">
      <c r="A45" s="3" t="s">
        <v>1125</v>
      </c>
      <c r="B45" s="3" t="s">
        <v>981</v>
      </c>
      <c r="C45" s="3" t="s">
        <v>988</v>
      </c>
      <c r="D45" s="3" t="s">
        <v>991</v>
      </c>
      <c r="E45" s="3" t="s">
        <v>1176</v>
      </c>
      <c r="F45" s="3" t="s">
        <v>1177</v>
      </c>
      <c r="G45" s="3" t="s">
        <v>1178</v>
      </c>
    </row>
    <row r="46" spans="1:7">
      <c r="A46" s="233">
        <v>2</v>
      </c>
      <c r="B46" s="233">
        <v>2</v>
      </c>
      <c r="C46" s="233">
        <v>2</v>
      </c>
      <c r="D46" s="233">
        <v>2</v>
      </c>
      <c r="E46" s="233">
        <v>1.1000000000000001</v>
      </c>
      <c r="F46" s="9">
        <v>1</v>
      </c>
      <c r="G46" s="233">
        <v>0</v>
      </c>
    </row>
    <row r="47" spans="1:7">
      <c r="A47" s="233">
        <v>2.5</v>
      </c>
      <c r="B47" s="233">
        <v>2.5</v>
      </c>
      <c r="C47" s="233">
        <v>2.9</v>
      </c>
      <c r="D47" s="233">
        <v>3.4</v>
      </c>
      <c r="E47" s="233">
        <v>1.1000000000000001</v>
      </c>
      <c r="F47" s="9">
        <v>1</v>
      </c>
      <c r="G47" s="233">
        <v>0</v>
      </c>
    </row>
    <row r="48" spans="1:7">
      <c r="A48" s="233">
        <v>5.0999999999999996</v>
      </c>
      <c r="B48" s="233">
        <v>3.6</v>
      </c>
      <c r="C48" s="233">
        <v>4.5999999999999996</v>
      </c>
      <c r="D48" s="233">
        <v>5.2</v>
      </c>
      <c r="E48" s="233">
        <v>3.4</v>
      </c>
      <c r="F48" s="9">
        <v>1.06</v>
      </c>
      <c r="G48" s="233">
        <v>2.2000000000000002</v>
      </c>
    </row>
    <row r="49" spans="1:7">
      <c r="A49" s="233">
        <v>7.6</v>
      </c>
      <c r="B49" s="233">
        <v>4.9000000000000004</v>
      </c>
      <c r="C49" s="233">
        <v>5.7</v>
      </c>
      <c r="D49" s="233">
        <v>6.7</v>
      </c>
      <c r="E49" s="233">
        <v>3.4</v>
      </c>
      <c r="F49" s="9">
        <v>1.06</v>
      </c>
      <c r="G49" s="233">
        <v>2.2000000000000002</v>
      </c>
    </row>
    <row r="50" spans="1:7">
      <c r="A50" s="233">
        <v>10.1</v>
      </c>
      <c r="B50" s="233">
        <v>6.1</v>
      </c>
      <c r="C50" s="233">
        <v>6.9</v>
      </c>
      <c r="D50" s="233">
        <v>8</v>
      </c>
      <c r="E50" s="233">
        <v>5.7</v>
      </c>
      <c r="F50" s="9">
        <v>1.1100000000000001</v>
      </c>
      <c r="G50" s="233">
        <v>3.9</v>
      </c>
    </row>
    <row r="51" spans="1:7">
      <c r="A51" s="233">
        <v>12.5</v>
      </c>
      <c r="B51" s="233">
        <v>7.3</v>
      </c>
      <c r="C51" s="233">
        <v>8</v>
      </c>
      <c r="D51" s="233">
        <v>9.1999999999999993</v>
      </c>
      <c r="E51" s="233">
        <v>5.7</v>
      </c>
      <c r="F51" s="9">
        <v>1.1100000000000001</v>
      </c>
      <c r="G51" s="233">
        <v>3.9</v>
      </c>
    </row>
    <row r="52" spans="1:7">
      <c r="A52" s="233">
        <v>15.2</v>
      </c>
      <c r="B52" s="233">
        <v>8.1</v>
      </c>
      <c r="C52" s="233">
        <v>8.9</v>
      </c>
      <c r="D52" s="233">
        <v>10.3</v>
      </c>
      <c r="E52" s="233">
        <v>7.9</v>
      </c>
      <c r="F52" s="9">
        <v>1.17</v>
      </c>
      <c r="G52" s="233">
        <v>5.6</v>
      </c>
    </row>
    <row r="53" spans="1:7">
      <c r="A53" s="233">
        <v>17.8</v>
      </c>
      <c r="B53" s="233">
        <v>8.9</v>
      </c>
      <c r="C53" s="233">
        <v>9.6999999999999993</v>
      </c>
      <c r="D53" s="233">
        <v>11.1</v>
      </c>
      <c r="E53" s="233">
        <v>7.9</v>
      </c>
      <c r="F53" s="9">
        <v>1.17</v>
      </c>
      <c r="G53" s="233">
        <v>5.6</v>
      </c>
    </row>
    <row r="54" spans="1:7">
      <c r="A54" s="233">
        <v>20.3</v>
      </c>
      <c r="B54" s="233">
        <v>9.6999999999999993</v>
      </c>
      <c r="C54" s="233">
        <v>10.6</v>
      </c>
      <c r="D54" s="233">
        <v>11.8</v>
      </c>
      <c r="E54" s="233">
        <v>10.199999999999999</v>
      </c>
      <c r="F54" s="9">
        <v>1.22</v>
      </c>
      <c r="G54" s="233">
        <v>7.4</v>
      </c>
    </row>
    <row r="55" spans="1:7">
      <c r="A55" s="233">
        <v>22.9</v>
      </c>
      <c r="B55" s="233">
        <v>10.5</v>
      </c>
      <c r="C55" s="233">
        <v>11.5</v>
      </c>
      <c r="D55" s="233">
        <v>12.7</v>
      </c>
      <c r="E55" s="233">
        <v>10.199999999999999</v>
      </c>
      <c r="F55" s="9">
        <v>1.22</v>
      </c>
      <c r="G55" s="233">
        <v>7.4</v>
      </c>
    </row>
    <row r="56" spans="1:7">
      <c r="A56" s="233">
        <v>25.4</v>
      </c>
      <c r="B56" s="233">
        <v>11.3</v>
      </c>
      <c r="C56" s="233">
        <v>12.2</v>
      </c>
      <c r="D56" s="233">
        <v>13.5</v>
      </c>
      <c r="E56" s="233">
        <v>12.5</v>
      </c>
      <c r="F56" s="9">
        <v>1.28</v>
      </c>
      <c r="G56" s="233">
        <v>9.1</v>
      </c>
    </row>
    <row r="57" spans="1:7">
      <c r="A57" s="233">
        <v>30.5</v>
      </c>
      <c r="B57" s="233">
        <v>12.9</v>
      </c>
      <c r="C57" s="233">
        <v>13.4</v>
      </c>
      <c r="D57" s="233">
        <v>15.2</v>
      </c>
      <c r="E57" s="233">
        <v>12.5</v>
      </c>
      <c r="F57" s="9">
        <v>1.28</v>
      </c>
      <c r="G57" s="233">
        <v>9.1</v>
      </c>
    </row>
    <row r="58" spans="1:7">
      <c r="A58" s="233">
        <v>35.6</v>
      </c>
      <c r="B58" s="233">
        <v>14.4</v>
      </c>
      <c r="C58" s="233">
        <v>14.6</v>
      </c>
      <c r="D58" s="233">
        <v>16.899999999999999</v>
      </c>
      <c r="E58" s="233">
        <v>14.7</v>
      </c>
      <c r="F58" s="9">
        <v>1.33</v>
      </c>
      <c r="G58" s="233">
        <v>10.8</v>
      </c>
    </row>
    <row r="59" spans="1:7">
      <c r="A59" s="233">
        <v>40.6</v>
      </c>
      <c r="B59" s="233">
        <v>16</v>
      </c>
      <c r="C59" s="233">
        <v>15.8</v>
      </c>
      <c r="D59" s="233">
        <v>18.7</v>
      </c>
      <c r="E59" s="233">
        <v>14.7</v>
      </c>
      <c r="F59" s="9">
        <v>1.33</v>
      </c>
      <c r="G59" s="233">
        <v>10.8</v>
      </c>
    </row>
    <row r="60" spans="1:7">
      <c r="A60" s="233">
        <v>45.7</v>
      </c>
      <c r="B60" s="233">
        <v>17.600000000000001</v>
      </c>
      <c r="C60" s="233">
        <v>17</v>
      </c>
      <c r="D60" s="233">
        <v>20.399999999999999</v>
      </c>
      <c r="E60" s="233">
        <v>17</v>
      </c>
      <c r="F60" s="9">
        <v>1.39</v>
      </c>
      <c r="G60" s="233">
        <v>12.5</v>
      </c>
    </row>
    <row r="61" spans="1:7">
      <c r="A61" s="233">
        <v>50.8</v>
      </c>
      <c r="B61" s="233">
        <v>19.2</v>
      </c>
      <c r="C61" s="233">
        <v>18.2</v>
      </c>
      <c r="D61" s="233">
        <v>22.1</v>
      </c>
      <c r="E61" s="233">
        <v>17</v>
      </c>
      <c r="F61" s="9">
        <v>1.39</v>
      </c>
      <c r="G61" s="233">
        <v>12.5</v>
      </c>
    </row>
    <row r="62" spans="1:7">
      <c r="A62" s="233">
        <v>55.9</v>
      </c>
      <c r="B62" s="233">
        <v>20.8</v>
      </c>
      <c r="C62" s="233">
        <v>19.399999999999999</v>
      </c>
      <c r="D62" s="233">
        <v>23.8</v>
      </c>
      <c r="E62" s="233">
        <v>19.3</v>
      </c>
      <c r="F62" s="9">
        <v>1.44</v>
      </c>
      <c r="G62" s="233">
        <v>14.3</v>
      </c>
    </row>
    <row r="63" spans="1:7">
      <c r="A63" s="233">
        <v>61</v>
      </c>
      <c r="B63" s="233">
        <v>22.4</v>
      </c>
      <c r="C63" s="233">
        <v>20.6</v>
      </c>
      <c r="D63" s="233">
        <v>25.5</v>
      </c>
      <c r="E63" s="233">
        <v>19.3</v>
      </c>
      <c r="F63" s="9">
        <v>1.44</v>
      </c>
      <c r="G63" s="233">
        <v>14.3</v>
      </c>
    </row>
    <row r="64" spans="1:7">
      <c r="A64" s="233">
        <v>66</v>
      </c>
      <c r="B64" s="233">
        <v>24</v>
      </c>
      <c r="C64" s="233">
        <v>21.8</v>
      </c>
      <c r="D64" s="233">
        <v>27.3</v>
      </c>
      <c r="E64" s="233">
        <v>21.5</v>
      </c>
      <c r="F64" s="9">
        <v>1.5</v>
      </c>
      <c r="G64" s="233">
        <v>16</v>
      </c>
    </row>
    <row r="65" spans="1:7">
      <c r="A65" s="233">
        <v>71.099999999999994</v>
      </c>
      <c r="B65" s="233">
        <v>25.5</v>
      </c>
      <c r="C65" s="233">
        <v>23.1</v>
      </c>
      <c r="D65" s="233">
        <v>29</v>
      </c>
      <c r="E65" s="233">
        <v>21.5</v>
      </c>
      <c r="F65" s="9">
        <v>1.5</v>
      </c>
      <c r="G65" s="233">
        <v>16</v>
      </c>
    </row>
    <row r="66" spans="1:7">
      <c r="A66" s="233">
        <v>76.2</v>
      </c>
      <c r="B66" s="233">
        <v>27.1</v>
      </c>
      <c r="C66" s="233">
        <v>24.3</v>
      </c>
      <c r="D66" s="233">
        <v>30.7</v>
      </c>
      <c r="E66" s="233"/>
      <c r="F66" s="9"/>
      <c r="G66" s="233"/>
    </row>
    <row r="69" spans="1:7" ht="24">
      <c r="A69" s="324" t="s">
        <v>1112</v>
      </c>
    </row>
    <row r="70" spans="1:7">
      <c r="A70" s="325" t="s">
        <v>0</v>
      </c>
      <c r="B70" s="3" t="s">
        <v>1128</v>
      </c>
      <c r="C70" s="3" t="s">
        <v>1129</v>
      </c>
      <c r="D70" s="3" t="s">
        <v>1179</v>
      </c>
      <c r="E70" s="3" t="s">
        <v>1180</v>
      </c>
    </row>
    <row r="71" spans="1:7">
      <c r="A71" s="3">
        <v>1</v>
      </c>
      <c r="B71" s="3" t="s">
        <v>1139</v>
      </c>
      <c r="C71" s="3" t="s">
        <v>1145</v>
      </c>
      <c r="D71" s="233">
        <v>5.6</v>
      </c>
      <c r="E71" s="233">
        <v>11.2</v>
      </c>
    </row>
    <row r="72" spans="1:7">
      <c r="A72" s="3"/>
      <c r="B72" s="3" t="s">
        <v>1139</v>
      </c>
      <c r="C72" s="3" t="s">
        <v>1159</v>
      </c>
      <c r="D72" s="233">
        <v>9.1</v>
      </c>
      <c r="E72" s="233">
        <v>14.7</v>
      </c>
    </row>
    <row r="73" spans="1:7">
      <c r="A73" s="3"/>
      <c r="B73" s="3" t="s">
        <v>1139</v>
      </c>
      <c r="C73" s="3" t="s">
        <v>1140</v>
      </c>
      <c r="D73" s="233">
        <v>10.4</v>
      </c>
      <c r="E73" s="233">
        <v>16</v>
      </c>
    </row>
    <row r="74" spans="1:7">
      <c r="A74" s="3">
        <v>2</v>
      </c>
      <c r="B74" s="3" t="s">
        <v>1144</v>
      </c>
      <c r="C74" s="3" t="s">
        <v>1145</v>
      </c>
      <c r="D74" s="233">
        <v>16.2</v>
      </c>
      <c r="E74" s="233">
        <v>21.8</v>
      </c>
    </row>
    <row r="75" spans="1:7">
      <c r="A75" s="3"/>
      <c r="B75" s="3" t="s">
        <v>1144</v>
      </c>
      <c r="C75" s="3" t="s">
        <v>1159</v>
      </c>
      <c r="D75" s="233">
        <v>19.7</v>
      </c>
      <c r="E75" s="233">
        <v>25.3</v>
      </c>
    </row>
    <row r="76" spans="1:7">
      <c r="A76" s="3"/>
      <c r="B76" s="3" t="s">
        <v>1144</v>
      </c>
      <c r="C76" s="3" t="s">
        <v>1140</v>
      </c>
      <c r="D76" s="233">
        <v>21</v>
      </c>
      <c r="E76" s="233">
        <v>26.6</v>
      </c>
    </row>
    <row r="77" spans="1:7">
      <c r="A77" s="3">
        <v>3</v>
      </c>
      <c r="B77" s="3" t="s">
        <v>1158</v>
      </c>
      <c r="C77" s="3" t="s">
        <v>1145</v>
      </c>
      <c r="D77" s="233">
        <v>43</v>
      </c>
      <c r="E77" s="233">
        <v>48.6</v>
      </c>
    </row>
    <row r="78" spans="1:7">
      <c r="A78" s="3"/>
      <c r="B78" s="3" t="s">
        <v>1158</v>
      </c>
      <c r="C78" s="3" t="s">
        <v>1159</v>
      </c>
      <c r="D78" s="233">
        <v>46.5</v>
      </c>
      <c r="E78" s="233">
        <v>52.1</v>
      </c>
    </row>
    <row r="79" spans="1:7">
      <c r="A79" s="3"/>
      <c r="B79" s="3" t="s">
        <v>1158</v>
      </c>
      <c r="C79" s="3" t="s">
        <v>1140</v>
      </c>
      <c r="D79" s="233">
        <v>47.8</v>
      </c>
      <c r="E79" s="233">
        <v>53.4</v>
      </c>
    </row>
    <row r="82" spans="1:12" ht="24">
      <c r="A82" s="324" t="s">
        <v>1113</v>
      </c>
    </row>
    <row r="83" spans="1:12">
      <c r="A83" s="3" t="s">
        <v>1181</v>
      </c>
      <c r="B83" s="3" t="s">
        <v>1167</v>
      </c>
    </row>
    <row r="84" spans="1:12">
      <c r="A84" s="3" t="s">
        <v>1081</v>
      </c>
      <c r="B84" s="233">
        <v>3.4</v>
      </c>
    </row>
    <row r="85" spans="1:12">
      <c r="A85" s="3" t="s">
        <v>1151</v>
      </c>
      <c r="B85" s="233">
        <v>4.2</v>
      </c>
    </row>
    <row r="86" spans="1:12">
      <c r="A86" s="3" t="s">
        <v>1154</v>
      </c>
      <c r="B86" s="233">
        <v>3</v>
      </c>
    </row>
    <row r="87" spans="1:12">
      <c r="A87" s="3" t="s">
        <v>1160</v>
      </c>
      <c r="B87" s="233">
        <v>10.6</v>
      </c>
    </row>
    <row r="88" spans="1:12">
      <c r="A88" s="3" t="s">
        <v>1161</v>
      </c>
      <c r="B88" s="233">
        <v>16.2</v>
      </c>
    </row>
    <row r="90" spans="1:12" ht="24">
      <c r="A90" s="324" t="s">
        <v>1114</v>
      </c>
    </row>
    <row r="91" spans="1:12">
      <c r="A91" s="3"/>
      <c r="B91" s="3" t="s">
        <v>1167</v>
      </c>
      <c r="C91" s="3"/>
      <c r="D91" s="3"/>
      <c r="E91" s="3"/>
      <c r="F91" s="3"/>
      <c r="G91" s="3"/>
      <c r="H91" s="3"/>
      <c r="I91" s="3"/>
      <c r="J91" s="3"/>
      <c r="K91" s="3"/>
      <c r="L91" s="3"/>
    </row>
    <row r="92" spans="1:12">
      <c r="A92" s="3" t="s">
        <v>1131</v>
      </c>
      <c r="B92" s="3" t="s">
        <v>1143</v>
      </c>
      <c r="C92" s="3" t="s">
        <v>1182</v>
      </c>
      <c r="D92" s="3" t="s">
        <v>1148</v>
      </c>
      <c r="E92" s="3" t="s">
        <v>1183</v>
      </c>
      <c r="F92" s="3" t="s">
        <v>1156</v>
      </c>
      <c r="G92" s="3" t="s">
        <v>1184</v>
      </c>
      <c r="H92" s="3" t="s">
        <v>1152</v>
      </c>
      <c r="I92" s="3" t="s">
        <v>1185</v>
      </c>
      <c r="J92" s="3" t="s">
        <v>1186</v>
      </c>
      <c r="K92" s="3" t="s">
        <v>1187</v>
      </c>
      <c r="L92" s="3" t="s">
        <v>1188</v>
      </c>
    </row>
    <row r="93" spans="1:12">
      <c r="A93" s="3" t="s">
        <v>1142</v>
      </c>
      <c r="B93" s="233">
        <v>2.8</v>
      </c>
      <c r="C93" s="233">
        <v>3.5</v>
      </c>
      <c r="D93" s="233">
        <v>4.0999999999999996</v>
      </c>
      <c r="E93" s="233">
        <v>4.8</v>
      </c>
      <c r="F93" s="233">
        <v>5.4</v>
      </c>
      <c r="G93" s="233">
        <v>6.1</v>
      </c>
      <c r="H93" s="233">
        <v>6.8</v>
      </c>
      <c r="I93" s="233">
        <v>7.4</v>
      </c>
      <c r="J93" s="233">
        <v>8.1</v>
      </c>
      <c r="K93" s="233">
        <v>8.6999999999999993</v>
      </c>
      <c r="L93" s="233">
        <v>9.4</v>
      </c>
    </row>
    <row r="94" spans="1:12">
      <c r="A94" s="3" t="s">
        <v>1147</v>
      </c>
      <c r="B94" s="233">
        <v>4.4000000000000004</v>
      </c>
      <c r="C94" s="233">
        <v>5.5</v>
      </c>
      <c r="D94" s="233">
        <v>6.5</v>
      </c>
      <c r="E94" s="233">
        <v>7.5</v>
      </c>
      <c r="F94" s="233">
        <v>8.6</v>
      </c>
      <c r="G94" s="233">
        <v>9.6</v>
      </c>
      <c r="H94" s="233">
        <v>10.6</v>
      </c>
      <c r="I94" s="233">
        <v>11.6</v>
      </c>
      <c r="J94" s="233">
        <v>12.7</v>
      </c>
      <c r="K94" s="233">
        <v>13.7</v>
      </c>
      <c r="L94" s="233">
        <v>14.8</v>
      </c>
    </row>
    <row r="95" spans="1:12">
      <c r="A95" s="3" t="s">
        <v>1155</v>
      </c>
      <c r="B95" s="233">
        <v>8.4</v>
      </c>
      <c r="C95" s="233">
        <v>10.5</v>
      </c>
      <c r="D95" s="233">
        <v>12.3</v>
      </c>
      <c r="E95" s="233">
        <v>14.4</v>
      </c>
      <c r="F95" s="233">
        <v>16.2</v>
      </c>
      <c r="G95" s="233">
        <v>18.3</v>
      </c>
      <c r="H95" s="233">
        <v>20.399999999999999</v>
      </c>
      <c r="I95" s="233">
        <v>22.2</v>
      </c>
      <c r="J95" s="233">
        <v>24.2</v>
      </c>
      <c r="K95" s="233">
        <v>26.1</v>
      </c>
      <c r="L95" s="233">
        <v>28.2</v>
      </c>
    </row>
    <row r="98" spans="1:5" ht="24">
      <c r="A98" s="324" t="s">
        <v>1115</v>
      </c>
    </row>
    <row r="99" spans="1:5">
      <c r="A99" s="3" t="s">
        <v>1133</v>
      </c>
      <c r="B99" s="3" t="s">
        <v>1167</v>
      </c>
    </row>
    <row r="100" spans="1:5">
      <c r="A100" s="3">
        <v>1</v>
      </c>
      <c r="B100" s="233">
        <v>2</v>
      </c>
    </row>
    <row r="101" spans="1:5">
      <c r="A101" s="3">
        <v>2</v>
      </c>
      <c r="B101" s="233">
        <v>0</v>
      </c>
    </row>
    <row r="104" spans="1:5" ht="24">
      <c r="A104" s="324" t="s">
        <v>1116</v>
      </c>
    </row>
    <row r="105" spans="1:5">
      <c r="A105" s="3" t="s">
        <v>0</v>
      </c>
      <c r="B105" s="3" t="s">
        <v>1128</v>
      </c>
      <c r="C105" s="3" t="s">
        <v>1189</v>
      </c>
      <c r="D105" s="3" t="s">
        <v>1179</v>
      </c>
      <c r="E105" s="3" t="s">
        <v>1180</v>
      </c>
    </row>
    <row r="106" spans="1:5">
      <c r="A106" s="3">
        <v>1</v>
      </c>
      <c r="B106" s="3" t="s">
        <v>1139</v>
      </c>
      <c r="C106" s="3" t="s">
        <v>1190</v>
      </c>
      <c r="D106" s="233">
        <v>4</v>
      </c>
      <c r="E106" s="233">
        <v>5.7</v>
      </c>
    </row>
    <row r="107" spans="1:5">
      <c r="A107" s="3">
        <v>2</v>
      </c>
      <c r="B107" s="3" t="s">
        <v>1144</v>
      </c>
      <c r="C107" s="3" t="s">
        <v>1191</v>
      </c>
      <c r="D107" s="233">
        <v>7.5</v>
      </c>
      <c r="E107" s="233">
        <v>11.8</v>
      </c>
    </row>
    <row r="108" spans="1:5">
      <c r="A108" s="3">
        <v>3</v>
      </c>
      <c r="B108" s="3" t="s">
        <v>1149</v>
      </c>
      <c r="C108" s="3" t="s">
        <v>1192</v>
      </c>
      <c r="D108" s="233">
        <v>22.9</v>
      </c>
      <c r="E108" s="233">
        <v>34.700000000000003</v>
      </c>
    </row>
    <row r="111" spans="1:5" ht="24">
      <c r="A111" s="324" t="s">
        <v>1126</v>
      </c>
    </row>
    <row r="112" spans="1:5">
      <c r="A112" s="3">
        <v>1</v>
      </c>
      <c r="B112" s="3" t="s">
        <v>1193</v>
      </c>
      <c r="C112" s="3">
        <v>100000</v>
      </c>
      <c r="D112" s="3" t="s">
        <v>1126</v>
      </c>
    </row>
    <row r="113" spans="1:4">
      <c r="A113" s="3">
        <v>1</v>
      </c>
      <c r="B113" s="3" t="s">
        <v>1194</v>
      </c>
      <c r="C113" s="3">
        <f>C112/60</f>
        <v>1666.6666666666667</v>
      </c>
      <c r="D113" s="3" t="s">
        <v>1126</v>
      </c>
    </row>
    <row r="114" spans="1:4">
      <c r="A114" s="3">
        <v>1</v>
      </c>
      <c r="B114" s="3" t="s">
        <v>1195</v>
      </c>
      <c r="C114" s="3">
        <f>C112/3600</f>
        <v>27.777777777777779</v>
      </c>
      <c r="D114" s="3" t="s">
        <v>1126</v>
      </c>
    </row>
    <row r="115" spans="1:4">
      <c r="A115" s="431"/>
      <c r="B115" s="432"/>
      <c r="C115" s="432"/>
      <c r="D115" s="433"/>
    </row>
    <row r="116" spans="1:4">
      <c r="A116" s="3">
        <v>1</v>
      </c>
      <c r="B116" s="3" t="s">
        <v>1126</v>
      </c>
      <c r="C116" s="3">
        <f>A116/C112</f>
        <v>1.0000000000000001E-5</v>
      </c>
      <c r="D116" s="3" t="s">
        <v>1193</v>
      </c>
    </row>
    <row r="117" spans="1:4">
      <c r="A117" s="3">
        <v>1</v>
      </c>
      <c r="B117" s="3" t="s">
        <v>1126</v>
      </c>
      <c r="C117" s="3">
        <f t="shared" ref="C117:C118" si="0">A117/C113</f>
        <v>5.9999999999999995E-4</v>
      </c>
      <c r="D117" s="3" t="s">
        <v>1194</v>
      </c>
    </row>
    <row r="118" spans="1:4">
      <c r="A118" s="3">
        <v>1</v>
      </c>
      <c r="B118" s="3" t="s">
        <v>1126</v>
      </c>
      <c r="C118" s="3">
        <f t="shared" si="0"/>
        <v>3.5999999999999997E-2</v>
      </c>
      <c r="D118" s="3" t="s">
        <v>1195</v>
      </c>
    </row>
  </sheetData>
  <mergeCells count="9">
    <mergeCell ref="B44:D44"/>
    <mergeCell ref="E44:G44"/>
    <mergeCell ref="A115:D115"/>
    <mergeCell ref="B2:H2"/>
    <mergeCell ref="A3:A4"/>
    <mergeCell ref="B3:F3"/>
    <mergeCell ref="G3:H3"/>
    <mergeCell ref="A30:A34"/>
    <mergeCell ref="A37:A39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FAD94-779E-054F-A36A-D4546A6BB726}">
  <dimension ref="A1:AR29"/>
  <sheetViews>
    <sheetView tabSelected="1" topLeftCell="AF1" zoomScale="125" workbookViewId="0">
      <selection activeCell="AR29" sqref="AR29"/>
    </sheetView>
  </sheetViews>
  <sheetFormatPr baseColWidth="10" defaultRowHeight="16"/>
  <cols>
    <col min="2" max="2" width="13.1640625" customWidth="1"/>
    <col min="9" max="9" width="13.1640625" bestFit="1" customWidth="1"/>
    <col min="13" max="13" width="11" customWidth="1"/>
    <col min="35" max="35" width="14.33203125" customWidth="1"/>
    <col min="36" max="36" width="15" customWidth="1"/>
    <col min="43" max="43" width="8.1640625" bestFit="1" customWidth="1"/>
    <col min="44" max="44" width="17.33203125" customWidth="1"/>
  </cols>
  <sheetData>
    <row r="1" spans="1:44" s="66" customFormat="1" ht="35" thickBot="1">
      <c r="A1" s="459"/>
      <c r="B1" s="441" t="s">
        <v>1109</v>
      </c>
      <c r="C1" s="442"/>
      <c r="D1" s="442"/>
      <c r="E1" s="443"/>
      <c r="F1" s="441" t="s">
        <v>1110</v>
      </c>
      <c r="G1" s="442"/>
      <c r="H1" s="443"/>
      <c r="I1" s="441" t="s">
        <v>1111</v>
      </c>
      <c r="J1" s="442"/>
      <c r="K1" s="442"/>
      <c r="L1" s="443"/>
      <c r="M1" s="441" t="s">
        <v>1112</v>
      </c>
      <c r="N1" s="442"/>
      <c r="O1" s="442"/>
      <c r="P1" s="442"/>
      <c r="Q1" s="443"/>
      <c r="R1" s="441" t="s">
        <v>1113</v>
      </c>
      <c r="S1" s="442"/>
      <c r="T1" s="443"/>
      <c r="U1" s="441" t="s">
        <v>1114</v>
      </c>
      <c r="V1" s="442"/>
      <c r="W1" s="442"/>
      <c r="X1" s="443"/>
      <c r="Y1" s="441" t="s">
        <v>1115</v>
      </c>
      <c r="Z1" s="442"/>
      <c r="AA1" s="443"/>
      <c r="AB1" s="441" t="s">
        <v>1116</v>
      </c>
      <c r="AC1" s="442"/>
      <c r="AD1" s="442"/>
      <c r="AE1" s="443"/>
      <c r="AF1" s="444" t="s">
        <v>1117</v>
      </c>
      <c r="AG1" s="446" t="s">
        <v>1118</v>
      </c>
      <c r="AH1" s="448" t="s">
        <v>172</v>
      </c>
      <c r="AI1" s="450" t="s">
        <v>1119</v>
      </c>
      <c r="AJ1" s="452" t="s">
        <v>1120</v>
      </c>
      <c r="AK1" s="454" t="s">
        <v>1121</v>
      </c>
      <c r="AL1" s="454"/>
      <c r="AM1" s="454"/>
      <c r="AN1" s="455"/>
      <c r="AO1" s="299" t="s">
        <v>1122</v>
      </c>
      <c r="AP1" s="448" t="s">
        <v>1123</v>
      </c>
      <c r="AQ1" s="457" t="s">
        <v>1166</v>
      </c>
      <c r="AR1" s="439" t="s">
        <v>1124</v>
      </c>
    </row>
    <row r="2" spans="1:44" ht="51">
      <c r="A2" s="460"/>
      <c r="B2" s="300" t="s">
        <v>1125</v>
      </c>
      <c r="C2" s="301" t="s">
        <v>83</v>
      </c>
      <c r="D2" s="301" t="s">
        <v>0</v>
      </c>
      <c r="E2" s="302" t="s">
        <v>1126</v>
      </c>
      <c r="F2" s="300" t="s">
        <v>1127</v>
      </c>
      <c r="G2" s="301" t="s">
        <v>0</v>
      </c>
      <c r="H2" s="302" t="s">
        <v>1126</v>
      </c>
      <c r="I2" s="300" t="s">
        <v>1125</v>
      </c>
      <c r="J2" s="301" t="s">
        <v>1127</v>
      </c>
      <c r="K2" s="301" t="s">
        <v>0</v>
      </c>
      <c r="L2" s="302" t="s">
        <v>1126</v>
      </c>
      <c r="M2" s="300" t="s">
        <v>1128</v>
      </c>
      <c r="N2" s="301" t="s">
        <v>1129</v>
      </c>
      <c r="O2" s="301" t="s">
        <v>1130</v>
      </c>
      <c r="P2" s="301" t="s">
        <v>0</v>
      </c>
      <c r="Q2" s="302" t="s">
        <v>1126</v>
      </c>
      <c r="R2" s="300" t="s">
        <v>1127</v>
      </c>
      <c r="S2" s="301" t="s">
        <v>0</v>
      </c>
      <c r="T2" s="302" t="s">
        <v>1126</v>
      </c>
      <c r="U2" s="300" t="s">
        <v>1131</v>
      </c>
      <c r="V2" s="301" t="s">
        <v>1132</v>
      </c>
      <c r="W2" s="301" t="s">
        <v>0</v>
      </c>
      <c r="X2" s="302" t="s">
        <v>1126</v>
      </c>
      <c r="Y2" s="300" t="s">
        <v>1133</v>
      </c>
      <c r="Z2" s="301" t="s">
        <v>0</v>
      </c>
      <c r="AA2" s="302" t="s">
        <v>1126</v>
      </c>
      <c r="AB2" s="300" t="s">
        <v>1128</v>
      </c>
      <c r="AC2" s="301" t="s">
        <v>1130</v>
      </c>
      <c r="AD2" s="301" t="s">
        <v>0</v>
      </c>
      <c r="AE2" s="302" t="s">
        <v>1126</v>
      </c>
      <c r="AF2" s="445"/>
      <c r="AG2" s="447"/>
      <c r="AH2" s="449"/>
      <c r="AI2" s="451"/>
      <c r="AJ2" s="453"/>
      <c r="AK2" s="317" t="s">
        <v>1134</v>
      </c>
      <c r="AL2" s="303" t="s">
        <v>1135</v>
      </c>
      <c r="AM2" s="303" t="s">
        <v>1136</v>
      </c>
      <c r="AN2" s="319" t="s">
        <v>1137</v>
      </c>
      <c r="AO2" s="321">
        <v>0.25</v>
      </c>
      <c r="AP2" s="456"/>
      <c r="AQ2" s="458"/>
      <c r="AR2" s="440"/>
    </row>
    <row r="3" spans="1:44">
      <c r="A3" s="313" t="str">
        <f>'S24 Required # of Machines'!A2</f>
        <v>WS-02</v>
      </c>
      <c r="B3" s="304">
        <v>35</v>
      </c>
      <c r="C3" s="43" t="s">
        <v>994</v>
      </c>
      <c r="D3" s="43">
        <f>P3</f>
        <v>8</v>
      </c>
      <c r="E3" s="305">
        <f>VLOOKUP(B3, 'S32 MTM Motion Elements'!$A$5:$H$25, MATCH(C3, 'S32 MTM Motion Elements'!$A$4:$F$4, 0), 1)</f>
        <v>14.2</v>
      </c>
      <c r="F3" s="306" t="s">
        <v>1138</v>
      </c>
      <c r="G3" s="43">
        <f>P3</f>
        <v>8</v>
      </c>
      <c r="H3" s="307">
        <f>VLOOKUP(F3, 'S32 MTM Motion Elements'!$B$30:$C$40, 2, 0)</f>
        <v>2</v>
      </c>
      <c r="I3" s="304">
        <v>58</v>
      </c>
      <c r="J3" s="43" t="s">
        <v>991</v>
      </c>
      <c r="K3" s="43">
        <f>2*P3</f>
        <v>16</v>
      </c>
      <c r="L3" s="305">
        <f>VLOOKUP(I3, 'S32 MTM Motion Elements'!$A$46:$G$66, MATCH(J3, 'S32 MTM Motion Elements'!$A$45:$D$45, 0), 1)</f>
        <v>23.8</v>
      </c>
      <c r="M3" s="304" t="s">
        <v>1139</v>
      </c>
      <c r="N3" s="43" t="s">
        <v>1140</v>
      </c>
      <c r="O3" s="43" t="s">
        <v>1141</v>
      </c>
      <c r="P3" s="43">
        <v>8</v>
      </c>
      <c r="Q3" s="305" cm="1">
        <f t="array" ref="Q3">IF(O3="Easy", VLOOKUP(M3&amp;"-"&amp;N3, CHOOSE({1,2}, 'S32 MTM Motion Elements'!$B$71:$B$79&amp;"-"&amp;'S32 MTM Motion Elements'!$C$71:$C$79, 'S32 MTM Motion Elements'!$D$71:$D$79), 2, 0), VLOOKUP(M3&amp;"-"&amp;N3, CHOOSE({1,2}, 'S32 MTM Motion Elements'!$B$71:$B$79&amp;"-"&amp;'S32 MTM Motion Elements'!$C$71:$C$79, 'S32 MTM Motion Elements'!$E$71:$E$79), 2, 0))</f>
        <v>10.4</v>
      </c>
      <c r="R3" s="304" t="s">
        <v>1081</v>
      </c>
      <c r="S3" s="43">
        <f>P3</f>
        <v>8</v>
      </c>
      <c r="T3" s="305">
        <f>VLOOKUP(R3, 'S32 MTM Motion Elements'!$A$84:$B$88, 2, 0)</f>
        <v>3.4</v>
      </c>
      <c r="U3" s="304" t="s">
        <v>1142</v>
      </c>
      <c r="V3" s="43" t="s">
        <v>1143</v>
      </c>
      <c r="W3" s="43">
        <f>3*P3</f>
        <v>24</v>
      </c>
      <c r="X3" s="305">
        <f>VLOOKUP(U3, 'S32 MTM Motion Elements'!$A$93:$L$95, MATCH(V3, 'S32 MTM Motion Elements'!$A$92:$L$92, 0), 0)</f>
        <v>2.8</v>
      </c>
      <c r="Y3" s="304">
        <v>1</v>
      </c>
      <c r="Z3" s="43">
        <v>6</v>
      </c>
      <c r="AA3" s="305">
        <f>VLOOKUP(Y3, 'S32 MTM Motion Elements'!$A$100:$B$101, 2, 0)</f>
        <v>2</v>
      </c>
      <c r="AB3" s="304" t="s">
        <v>1139</v>
      </c>
      <c r="AC3" s="43" t="s">
        <v>1141</v>
      </c>
      <c r="AD3" s="43">
        <f>P3</f>
        <v>8</v>
      </c>
      <c r="AE3" s="307">
        <f>VLOOKUP(AB3, 'S32 MTM Motion Elements'!$B$106:$E$108, IF(AC3="Easy", 3, 4), 0)</f>
        <v>4</v>
      </c>
      <c r="AF3" s="304">
        <f>(D3*E3)+(G3*H3)+(K3*L3)+(P3*Q3)+(S3*T3)+(W3*X3)+(Z3*AA3)+(AD3*AE3)</f>
        <v>732</v>
      </c>
      <c r="AG3" s="305">
        <f>AF3*'S32 MTM Motion Elements'!$C$118</f>
        <v>26.351999999999997</v>
      </c>
      <c r="AH3" s="316">
        <f>SUMIFS('S22 Required Machine Hours'!$C$2:$C$118, 'S22 Required Machine Hours'!$A$2:$A$118, A3)</f>
        <v>301684</v>
      </c>
      <c r="AI3" s="308">
        <f>AG3*AH3</f>
        <v>7949976.7679999992</v>
      </c>
      <c r="AJ3" s="307">
        <f>AI3/3600</f>
        <v>2208.3268799999996</v>
      </c>
      <c r="AK3" s="318">
        <f>HLOOKUP(A3, 'S22 Required Machine Hours'!$S$37:$AR$38, 2, 0)</f>
        <v>258</v>
      </c>
      <c r="AL3" s="309">
        <f>VLOOKUP(A3, 'S11 Work Stations'!$A$2:$C$45, 3, 0)*60</f>
        <v>1800</v>
      </c>
      <c r="AM3" s="309">
        <f>AK3*AL3</f>
        <v>464400</v>
      </c>
      <c r="AN3" s="320">
        <f>AM3/3600</f>
        <v>129</v>
      </c>
      <c r="AO3" s="310">
        <f>AJ3*$AO$2</f>
        <v>552.0817199999999</v>
      </c>
      <c r="AP3" s="322">
        <f>AJ3+AN3+AO3</f>
        <v>2889.4085999999998</v>
      </c>
      <c r="AQ3" s="311">
        <f>'S23 Available Working Hours'!$D$2</f>
        <v>1600</v>
      </c>
      <c r="AR3" s="323" cm="1">
        <f t="array" ref="AR3">IFERROR(_xlfn.IFS(A3="WS-43", 2, A3="WS-44", 2), AP3/AQ3)</f>
        <v>1.8058803749999999</v>
      </c>
    </row>
    <row r="4" spans="1:44">
      <c r="A4" s="313" t="str">
        <f>'S24 Required # of Machines'!A3</f>
        <v>WS-03</v>
      </c>
      <c r="B4" s="10">
        <v>40</v>
      </c>
      <c r="C4" s="3" t="s">
        <v>981</v>
      </c>
      <c r="D4" s="3">
        <f t="shared" ref="D4:D28" si="0">P4</f>
        <v>8</v>
      </c>
      <c r="E4" s="305">
        <f>VLOOKUP(B4, 'S32 MTM Motion Elements'!$A$5:$H$25, MATCH(C4, 'S32 MTM Motion Elements'!$A$4:$F$4, 0), 1)</f>
        <v>10.5</v>
      </c>
      <c r="F4" s="312">
        <v>2</v>
      </c>
      <c r="G4" s="3">
        <f t="shared" ref="G4:G28" si="1">P4</f>
        <v>8</v>
      </c>
      <c r="H4" s="307">
        <f>VLOOKUP(F4, 'S32 MTM Motion Elements'!$B$30:$C$40, 2, 0)</f>
        <v>5.6</v>
      </c>
      <c r="I4" s="10">
        <v>23</v>
      </c>
      <c r="J4" s="3" t="s">
        <v>991</v>
      </c>
      <c r="K4" s="3">
        <f t="shared" ref="K4:K28" si="2">2*P4</f>
        <v>16</v>
      </c>
      <c r="L4" s="305">
        <f>VLOOKUP(I4, 'S32 MTM Motion Elements'!$A$46:$G$66, MATCH(J4, 'S32 MTM Motion Elements'!$A$45:$D$45, 0), 1)</f>
        <v>12.7</v>
      </c>
      <c r="M4" s="10" t="s">
        <v>1144</v>
      </c>
      <c r="N4" s="3" t="s">
        <v>1145</v>
      </c>
      <c r="O4" s="3" t="s">
        <v>1146</v>
      </c>
      <c r="P4" s="3">
        <v>8</v>
      </c>
      <c r="Q4" s="305" cm="1">
        <f t="array" ref="Q4">IF(O4="Easy", VLOOKUP(M4&amp;"-"&amp;N4, CHOOSE({1,2}, 'S32 MTM Motion Elements'!$B$71:$B$79&amp;"-"&amp;'S32 MTM Motion Elements'!$C$71:$C$79, 'S32 MTM Motion Elements'!$D$71:$D$79), 2, 0), VLOOKUP(M4&amp;"-"&amp;N4, CHOOSE({1,2}, 'S32 MTM Motion Elements'!$B$71:$B$79&amp;"-"&amp;'S32 MTM Motion Elements'!$C$71:$C$79, 'S32 MTM Motion Elements'!$E$71:$E$79), 2, 0))</f>
        <v>21.8</v>
      </c>
      <c r="R4" s="10" t="s">
        <v>1081</v>
      </c>
      <c r="S4" s="3">
        <f t="shared" ref="S4:S28" si="3">P4</f>
        <v>8</v>
      </c>
      <c r="T4" s="305">
        <f>VLOOKUP(R4, 'S32 MTM Motion Elements'!$A$84:$B$88, 2, 0)</f>
        <v>3.4</v>
      </c>
      <c r="U4" s="10" t="s">
        <v>1147</v>
      </c>
      <c r="V4" s="3" t="s">
        <v>1148</v>
      </c>
      <c r="W4" s="3">
        <f t="shared" ref="W4:W22" si="4">3*P4</f>
        <v>24</v>
      </c>
      <c r="X4" s="305">
        <f>VLOOKUP(U4, 'S32 MTM Motion Elements'!$A$93:$L$95, MATCH(V4, 'S32 MTM Motion Elements'!$A$92:$L$92, 0), 0)</f>
        <v>6.5</v>
      </c>
      <c r="Y4" s="10">
        <v>1</v>
      </c>
      <c r="Z4" s="3">
        <v>6</v>
      </c>
      <c r="AA4" s="305">
        <f>VLOOKUP(Y4, 'S32 MTM Motion Elements'!$A$100:$B$101, 2, 0)</f>
        <v>2</v>
      </c>
      <c r="AB4" s="10" t="s">
        <v>1149</v>
      </c>
      <c r="AC4" s="3" t="s">
        <v>1146</v>
      </c>
      <c r="AD4" s="43">
        <f t="shared" ref="AD4:AD22" si="5">P4</f>
        <v>8</v>
      </c>
      <c r="AE4" s="307">
        <f>VLOOKUP(AB4, 'S32 MTM Motion Elements'!$B$106:$E$108, IF(AC4="Easy", 3, 4), 0)</f>
        <v>34.700000000000003</v>
      </c>
      <c r="AF4" s="304">
        <f t="shared" ref="AF4:AF28" si="6">(D4*E4)+(G4*H4)+(K4*L4)+(P4*Q4)+(S4*T4)+(W4*X4)+(Z4*AA4)+(AD4*AE4)</f>
        <v>979.2</v>
      </c>
      <c r="AG4" s="305">
        <f>AF4*'S32 MTM Motion Elements'!$C$118</f>
        <v>35.251199999999997</v>
      </c>
      <c r="AH4" s="316">
        <f>SUMIFS('S22 Required Machine Hours'!$C$2:$C$118, 'S22 Required Machine Hours'!$A$2:$A$118, A4)</f>
        <v>141224</v>
      </c>
      <c r="AI4" s="308">
        <f t="shared" ref="AI4:AI28" si="7">AG4*AH4</f>
        <v>4978315.4687999999</v>
      </c>
      <c r="AJ4" s="307">
        <f t="shared" ref="AJ4:AJ28" si="8">AI4/3600</f>
        <v>1382.8654079999999</v>
      </c>
      <c r="AK4" s="318">
        <f>HLOOKUP(A4, 'S22 Required Machine Hours'!$S$37:$AR$38, 2, 0)</f>
        <v>274</v>
      </c>
      <c r="AL4" s="309">
        <f>VLOOKUP(A4, 'S11 Work Stations'!$A$2:$C$45, 3, 0)*60</f>
        <v>1800</v>
      </c>
      <c r="AM4" s="309">
        <f t="shared" ref="AM4:AM28" si="9">AK4*AL4</f>
        <v>493200</v>
      </c>
      <c r="AN4" s="320">
        <f t="shared" ref="AN4:AN28" si="10">AM4/3600</f>
        <v>137</v>
      </c>
      <c r="AO4" s="310">
        <f t="shared" ref="AO4:AO28" si="11">AJ4*$AO$2</f>
        <v>345.71635199999997</v>
      </c>
      <c r="AP4" s="322">
        <f t="shared" ref="AP4:AP28" si="12">AJ4+AN4+AO4</f>
        <v>1865.5817599999998</v>
      </c>
      <c r="AQ4" s="311">
        <f>'S23 Available Working Hours'!$D$2</f>
        <v>1600</v>
      </c>
      <c r="AR4" s="323" cm="1">
        <f t="array" ref="AR4">IFERROR(_xlfn.IFS(A4="WS-43", 2, A4="WS-44", 2), AP4/AQ4)</f>
        <v>1.1659885999999999</v>
      </c>
    </row>
    <row r="5" spans="1:44">
      <c r="A5" s="313" t="str">
        <f>'S24 Required # of Machines'!A4</f>
        <v>WS-04</v>
      </c>
      <c r="B5" s="10">
        <v>30</v>
      </c>
      <c r="C5" s="3" t="s">
        <v>988</v>
      </c>
      <c r="D5" s="3">
        <f t="shared" si="0"/>
        <v>8</v>
      </c>
      <c r="E5" s="305">
        <f>VLOOKUP(B5, 'S32 MTM Motion Elements'!$A$5:$H$25, MATCH(C5, 'S32 MTM Motion Elements'!$A$4:$F$4, 0), 1)</f>
        <v>11.5</v>
      </c>
      <c r="F5" s="312" t="s">
        <v>1150</v>
      </c>
      <c r="G5" s="3">
        <f t="shared" si="1"/>
        <v>8</v>
      </c>
      <c r="H5" s="307">
        <f>VLOOKUP(F5, 'S32 MTM Motion Elements'!$B$30:$C$40, 2, 0)</f>
        <v>3.5</v>
      </c>
      <c r="I5" s="10">
        <v>46</v>
      </c>
      <c r="J5" s="3" t="s">
        <v>991</v>
      </c>
      <c r="K5" s="3">
        <f t="shared" si="2"/>
        <v>16</v>
      </c>
      <c r="L5" s="305">
        <f>VLOOKUP(I5, 'S32 MTM Motion Elements'!$A$46:$G$66, MATCH(J5, 'S32 MTM Motion Elements'!$A$45:$D$45, 0), 1)</f>
        <v>20.399999999999999</v>
      </c>
      <c r="M5" s="10" t="s">
        <v>1144</v>
      </c>
      <c r="N5" s="3" t="s">
        <v>1145</v>
      </c>
      <c r="O5" s="3" t="s">
        <v>1141</v>
      </c>
      <c r="P5" s="3">
        <v>8</v>
      </c>
      <c r="Q5" s="305" cm="1">
        <f t="array" ref="Q5">IF(O5="Easy", VLOOKUP(M5&amp;"-"&amp;N5, CHOOSE({1,2}, 'S32 MTM Motion Elements'!$B$71:$B$79&amp;"-"&amp;'S32 MTM Motion Elements'!$C$71:$C$79, 'S32 MTM Motion Elements'!$D$71:$D$79), 2, 0), VLOOKUP(M5&amp;"-"&amp;N5, CHOOSE({1,2}, 'S32 MTM Motion Elements'!$B$71:$B$79&amp;"-"&amp;'S32 MTM Motion Elements'!$C$71:$C$79, 'S32 MTM Motion Elements'!$E$71:$E$79), 2, 0))</f>
        <v>16.2</v>
      </c>
      <c r="R5" s="10" t="s">
        <v>1151</v>
      </c>
      <c r="S5" s="3">
        <f t="shared" si="3"/>
        <v>8</v>
      </c>
      <c r="T5" s="305">
        <f>VLOOKUP(R5, 'S32 MTM Motion Elements'!$A$84:$B$88, 2, 0)</f>
        <v>4.2</v>
      </c>
      <c r="U5" s="10" t="s">
        <v>1142</v>
      </c>
      <c r="V5" s="3" t="s">
        <v>1152</v>
      </c>
      <c r="W5" s="3">
        <f t="shared" si="4"/>
        <v>24</v>
      </c>
      <c r="X5" s="305">
        <f>VLOOKUP(U5, 'S32 MTM Motion Elements'!$A$93:$L$95, MATCH(V5, 'S32 MTM Motion Elements'!$A$92:$L$92, 0), 0)</f>
        <v>6.8</v>
      </c>
      <c r="Y5" s="10">
        <v>1</v>
      </c>
      <c r="Z5" s="3">
        <v>6</v>
      </c>
      <c r="AA5" s="305">
        <f>VLOOKUP(Y5, 'S32 MTM Motion Elements'!$A$100:$B$101, 2, 0)</f>
        <v>2</v>
      </c>
      <c r="AB5" s="10" t="s">
        <v>1139</v>
      </c>
      <c r="AC5" s="3" t="s">
        <v>1141</v>
      </c>
      <c r="AD5" s="43">
        <f t="shared" si="5"/>
        <v>8</v>
      </c>
      <c r="AE5" s="307">
        <f>VLOOKUP(AB5, 'S32 MTM Motion Elements'!$B$106:$E$108, IF(AC5="Easy", 3, 4), 0)</f>
        <v>4</v>
      </c>
      <c r="AF5" s="304">
        <f t="shared" si="6"/>
        <v>816.8</v>
      </c>
      <c r="AG5" s="305">
        <f>AF5*'S32 MTM Motion Elements'!$C$118</f>
        <v>29.404799999999994</v>
      </c>
      <c r="AH5" s="316">
        <f>SUMIFS('S22 Required Machine Hours'!$C$2:$C$118, 'S22 Required Machine Hours'!$A$2:$A$118, A5)</f>
        <v>141224</v>
      </c>
      <c r="AI5" s="308">
        <f t="shared" si="7"/>
        <v>4152663.4751999993</v>
      </c>
      <c r="AJ5" s="307">
        <f t="shared" si="8"/>
        <v>1153.5176319999998</v>
      </c>
      <c r="AK5" s="318">
        <f>HLOOKUP(A5, 'S22 Required Machine Hours'!$S$37:$AR$38, 2, 0)</f>
        <v>274</v>
      </c>
      <c r="AL5" s="309">
        <f>VLOOKUP(A5, 'S11 Work Stations'!$A$2:$C$45, 3, 0)*60</f>
        <v>2400</v>
      </c>
      <c r="AM5" s="309">
        <f t="shared" si="9"/>
        <v>657600</v>
      </c>
      <c r="AN5" s="320">
        <f t="shared" si="10"/>
        <v>182.66666666666666</v>
      </c>
      <c r="AO5" s="310">
        <f t="shared" si="11"/>
        <v>288.37940799999996</v>
      </c>
      <c r="AP5" s="322">
        <f t="shared" si="12"/>
        <v>1624.5637066666666</v>
      </c>
      <c r="AQ5" s="311">
        <f>'S23 Available Working Hours'!$D$2</f>
        <v>1600</v>
      </c>
      <c r="AR5" s="323" cm="1">
        <f t="array" ref="AR5">IFERROR(_xlfn.IFS(A5="WS-43", 2, A5="WS-44", 2), AP5/AQ5)</f>
        <v>1.0153523166666667</v>
      </c>
    </row>
    <row r="6" spans="1:44">
      <c r="A6" s="313" t="str">
        <f>'S24 Required # of Machines'!A5</f>
        <v>WS-05</v>
      </c>
      <c r="B6" s="10">
        <v>45</v>
      </c>
      <c r="C6" s="3" t="s">
        <v>994</v>
      </c>
      <c r="D6" s="3">
        <f t="shared" si="0"/>
        <v>8</v>
      </c>
      <c r="E6" s="305">
        <f>VLOOKUP(B6, 'S32 MTM Motion Elements'!$A$5:$H$25, MATCH(C6, 'S32 MTM Motion Elements'!$A$4:$F$4, 0), 1)</f>
        <v>17</v>
      </c>
      <c r="F6" s="312" t="s">
        <v>1153</v>
      </c>
      <c r="G6" s="3">
        <f t="shared" si="1"/>
        <v>8</v>
      </c>
      <c r="H6" s="307">
        <f>VLOOKUP(F6, 'S32 MTM Motion Elements'!$B$30:$C$40, 2, 0)</f>
        <v>7.3</v>
      </c>
      <c r="I6" s="10">
        <v>48</v>
      </c>
      <c r="J6" s="3" t="s">
        <v>991</v>
      </c>
      <c r="K6" s="3">
        <f t="shared" si="2"/>
        <v>16</v>
      </c>
      <c r="L6" s="305">
        <f>VLOOKUP(I6, 'S32 MTM Motion Elements'!$A$46:$G$66, MATCH(J6, 'S32 MTM Motion Elements'!$A$45:$D$45, 0), 1)</f>
        <v>20.399999999999999</v>
      </c>
      <c r="M6" s="10" t="s">
        <v>1139</v>
      </c>
      <c r="N6" s="3" t="s">
        <v>1140</v>
      </c>
      <c r="O6" s="3" t="s">
        <v>1141</v>
      </c>
      <c r="P6" s="3">
        <v>8</v>
      </c>
      <c r="Q6" s="305" cm="1">
        <f t="array" ref="Q6">IF(O6="Easy", VLOOKUP(M6&amp;"-"&amp;N6, CHOOSE({1,2}, 'S32 MTM Motion Elements'!$B$71:$B$79&amp;"-"&amp;'S32 MTM Motion Elements'!$C$71:$C$79, 'S32 MTM Motion Elements'!$D$71:$D$79), 2, 0), VLOOKUP(M6&amp;"-"&amp;N6, CHOOSE({1,2}, 'S32 MTM Motion Elements'!$B$71:$B$79&amp;"-"&amp;'S32 MTM Motion Elements'!$C$71:$C$79, 'S32 MTM Motion Elements'!$E$71:$E$79), 2, 0))</f>
        <v>10.4</v>
      </c>
      <c r="R6" s="10" t="s">
        <v>1154</v>
      </c>
      <c r="S6" s="3">
        <f t="shared" si="3"/>
        <v>8</v>
      </c>
      <c r="T6" s="305">
        <f>VLOOKUP(R6, 'S32 MTM Motion Elements'!$A$84:$B$88, 2, 0)</f>
        <v>3</v>
      </c>
      <c r="U6" s="10" t="s">
        <v>1155</v>
      </c>
      <c r="V6" s="3" t="s">
        <v>1156</v>
      </c>
      <c r="W6" s="3">
        <f t="shared" si="4"/>
        <v>24</v>
      </c>
      <c r="X6" s="305">
        <f>VLOOKUP(U6, 'S32 MTM Motion Elements'!$A$93:$L$95, MATCH(V6, 'S32 MTM Motion Elements'!$A$92:$L$92, 0), 0)</f>
        <v>16.2</v>
      </c>
      <c r="Y6" s="10">
        <v>1</v>
      </c>
      <c r="Z6" s="3">
        <v>6</v>
      </c>
      <c r="AA6" s="305">
        <f>VLOOKUP(Y6, 'S32 MTM Motion Elements'!$A$100:$B$101, 2, 0)</f>
        <v>2</v>
      </c>
      <c r="AB6" s="10" t="s">
        <v>1139</v>
      </c>
      <c r="AC6" s="3" t="s">
        <v>1141</v>
      </c>
      <c r="AD6" s="43">
        <f t="shared" si="5"/>
        <v>8</v>
      </c>
      <c r="AE6" s="307">
        <f>VLOOKUP(AB6, 'S32 MTM Motion Elements'!$B$106:$E$108, IF(AC6="Easy", 3, 4), 0)</f>
        <v>4</v>
      </c>
      <c r="AF6" s="304">
        <f t="shared" si="6"/>
        <v>1060.8</v>
      </c>
      <c r="AG6" s="305">
        <f>AF6*'S32 MTM Motion Elements'!$C$118</f>
        <v>38.188799999999993</v>
      </c>
      <c r="AH6" s="316">
        <f>SUMIFS('S22 Required Machine Hours'!$C$2:$C$118, 'S22 Required Machine Hours'!$A$2:$A$118, A6)</f>
        <v>425244</v>
      </c>
      <c r="AI6" s="308">
        <f t="shared" si="7"/>
        <v>16239558.067199998</v>
      </c>
      <c r="AJ6" s="307">
        <f t="shared" si="8"/>
        <v>4510.9883519999994</v>
      </c>
      <c r="AK6" s="318">
        <f>HLOOKUP(A6, 'S22 Required Machine Hours'!$S$37:$AR$38, 2, 0)</f>
        <v>1052</v>
      </c>
      <c r="AL6" s="309">
        <f>VLOOKUP(A6, 'S11 Work Stations'!$A$2:$C$45, 3, 0)*60</f>
        <v>1800</v>
      </c>
      <c r="AM6" s="309">
        <f t="shared" si="9"/>
        <v>1893600</v>
      </c>
      <c r="AN6" s="320">
        <f t="shared" si="10"/>
        <v>526</v>
      </c>
      <c r="AO6" s="310">
        <f t="shared" si="11"/>
        <v>1127.7470879999998</v>
      </c>
      <c r="AP6" s="322">
        <f t="shared" si="12"/>
        <v>6164.7354399999995</v>
      </c>
      <c r="AQ6" s="311">
        <f>'S23 Available Working Hours'!$D$2</f>
        <v>1600</v>
      </c>
      <c r="AR6" s="323" cm="1">
        <f t="array" ref="AR6">IFERROR(_xlfn.IFS(A6="WS-43", 2, A6="WS-44", 2), AP6/AQ6)</f>
        <v>3.8529596499999998</v>
      </c>
    </row>
    <row r="7" spans="1:44">
      <c r="A7" s="313" t="str">
        <f>'S24 Required # of Machines'!A6</f>
        <v>WS-07</v>
      </c>
      <c r="B7" s="10">
        <v>40</v>
      </c>
      <c r="C7" s="3" t="s">
        <v>988</v>
      </c>
      <c r="D7" s="3">
        <f t="shared" si="0"/>
        <v>8</v>
      </c>
      <c r="E7" s="305">
        <f>VLOOKUP(B7, 'S32 MTM Motion Elements'!$A$5:$H$25, MATCH(C7, 'S32 MTM Motion Elements'!$A$4:$F$4, 0), 1)</f>
        <v>14.4</v>
      </c>
      <c r="F7" s="312" t="s">
        <v>1157</v>
      </c>
      <c r="G7" s="3">
        <f t="shared" si="1"/>
        <v>8</v>
      </c>
      <c r="H7" s="307">
        <f>VLOOKUP(F7, 'S32 MTM Motion Elements'!$B$30:$C$40, 2, 0)</f>
        <v>9.1</v>
      </c>
      <c r="I7" s="10">
        <v>63</v>
      </c>
      <c r="J7" s="3" t="s">
        <v>991</v>
      </c>
      <c r="K7" s="3">
        <f t="shared" si="2"/>
        <v>16</v>
      </c>
      <c r="L7" s="305">
        <f>VLOOKUP(I7, 'S32 MTM Motion Elements'!$A$46:$G$66, MATCH(J7, 'S32 MTM Motion Elements'!$A$45:$D$45, 0), 1)</f>
        <v>25.5</v>
      </c>
      <c r="M7" s="10" t="s">
        <v>1158</v>
      </c>
      <c r="N7" s="3" t="s">
        <v>1159</v>
      </c>
      <c r="O7" s="3" t="s">
        <v>1141</v>
      </c>
      <c r="P7" s="3">
        <v>8</v>
      </c>
      <c r="Q7" s="305" cm="1">
        <f t="array" ref="Q7">IF(O7="Easy", VLOOKUP(M7&amp;"-"&amp;N7, CHOOSE({1,2}, 'S32 MTM Motion Elements'!$B$71:$B$79&amp;"-"&amp;'S32 MTM Motion Elements'!$C$71:$C$79, 'S32 MTM Motion Elements'!$D$71:$D$79), 2, 0), VLOOKUP(M7&amp;"-"&amp;N7, CHOOSE({1,2}, 'S32 MTM Motion Elements'!$B$71:$B$79&amp;"-"&amp;'S32 MTM Motion Elements'!$C$71:$C$79, 'S32 MTM Motion Elements'!$E$71:$E$79), 2, 0))</f>
        <v>46.5</v>
      </c>
      <c r="R7" s="10" t="s">
        <v>1160</v>
      </c>
      <c r="S7" s="3">
        <f t="shared" si="3"/>
        <v>8</v>
      </c>
      <c r="T7" s="305">
        <f>VLOOKUP(R7, 'S32 MTM Motion Elements'!$A$84:$B$88, 2, 0)</f>
        <v>10.6</v>
      </c>
      <c r="U7" s="10" t="s">
        <v>1147</v>
      </c>
      <c r="V7" s="3" t="s">
        <v>1143</v>
      </c>
      <c r="W7" s="3">
        <f t="shared" si="4"/>
        <v>24</v>
      </c>
      <c r="X7" s="305">
        <f>VLOOKUP(U7, 'S32 MTM Motion Elements'!$A$93:$L$95, MATCH(V7, 'S32 MTM Motion Elements'!$A$92:$L$92, 0), 0)</f>
        <v>4.4000000000000004</v>
      </c>
      <c r="Y7" s="10">
        <v>1</v>
      </c>
      <c r="Z7" s="3">
        <v>6</v>
      </c>
      <c r="AA7" s="305">
        <f>VLOOKUP(Y7, 'S32 MTM Motion Elements'!$A$100:$B$101, 2, 0)</f>
        <v>2</v>
      </c>
      <c r="AB7" s="10" t="s">
        <v>1144</v>
      </c>
      <c r="AC7" s="3" t="s">
        <v>1146</v>
      </c>
      <c r="AD7" s="43">
        <f t="shared" si="5"/>
        <v>8</v>
      </c>
      <c r="AE7" s="307">
        <f>VLOOKUP(AB7, 'S32 MTM Motion Elements'!$B$106:$E$108, IF(AC7="Easy", 3, 4), 0)</f>
        <v>11.8</v>
      </c>
      <c r="AF7" s="304">
        <f t="shared" si="6"/>
        <v>1264.8</v>
      </c>
      <c r="AG7" s="305">
        <f>AF7*'S32 MTM Motion Elements'!$C$118</f>
        <v>45.532799999999995</v>
      </c>
      <c r="AH7" s="316">
        <f>SUMIFS('S22 Required Machine Hours'!$C$2:$C$118, 'S22 Required Machine Hours'!$A$2:$A$118, A7)</f>
        <v>312494</v>
      </c>
      <c r="AI7" s="308">
        <f t="shared" si="7"/>
        <v>14228726.803199999</v>
      </c>
      <c r="AJ7" s="307">
        <f t="shared" si="8"/>
        <v>3952.4241119999997</v>
      </c>
      <c r="AK7" s="318">
        <f>HLOOKUP(A7, 'S22 Required Machine Hours'!$S$37:$AR$38, 2, 0)</f>
        <v>1322</v>
      </c>
      <c r="AL7" s="309">
        <f>VLOOKUP(A7, 'S11 Work Stations'!$A$2:$C$45, 3, 0)*60</f>
        <v>2100</v>
      </c>
      <c r="AM7" s="309">
        <f t="shared" si="9"/>
        <v>2776200</v>
      </c>
      <c r="AN7" s="320">
        <f t="shared" si="10"/>
        <v>771.16666666666663</v>
      </c>
      <c r="AO7" s="310">
        <f t="shared" si="11"/>
        <v>988.10602799999992</v>
      </c>
      <c r="AP7" s="322">
        <f t="shared" si="12"/>
        <v>5711.6968066666668</v>
      </c>
      <c r="AQ7" s="311">
        <f>'S23 Available Working Hours'!$D$2</f>
        <v>1600</v>
      </c>
      <c r="AR7" s="323" cm="1">
        <f t="array" ref="AR7">IFERROR(_xlfn.IFS(A7="WS-43", 2, A7="WS-44", 2), AP7/AQ7)</f>
        <v>3.5698105041666666</v>
      </c>
    </row>
    <row r="8" spans="1:44">
      <c r="A8" s="313" t="str">
        <f>'S24 Required # of Machines'!A7</f>
        <v>WS-08</v>
      </c>
      <c r="B8" s="10">
        <v>35</v>
      </c>
      <c r="C8" s="3" t="s">
        <v>981</v>
      </c>
      <c r="D8" s="3">
        <f t="shared" si="0"/>
        <v>8</v>
      </c>
      <c r="E8" s="305">
        <f>VLOOKUP(B8, 'S32 MTM Motion Elements'!$A$5:$H$25, MATCH(C8, 'S32 MTM Motion Elements'!$A$4:$F$4, 0), 1)</f>
        <v>9.6</v>
      </c>
      <c r="F8" s="312">
        <v>3</v>
      </c>
      <c r="G8" s="3">
        <f t="shared" si="1"/>
        <v>8</v>
      </c>
      <c r="H8" s="307">
        <f>VLOOKUP(F8, 'S32 MTM Motion Elements'!$B$30:$C$40, 2, 0)</f>
        <v>5.6</v>
      </c>
      <c r="I8" s="10">
        <v>15</v>
      </c>
      <c r="J8" s="3" t="s">
        <v>991</v>
      </c>
      <c r="K8" s="3">
        <f t="shared" si="2"/>
        <v>16</v>
      </c>
      <c r="L8" s="305">
        <f>VLOOKUP(I8, 'S32 MTM Motion Elements'!$A$46:$G$66, MATCH(J8, 'S32 MTM Motion Elements'!$A$45:$D$45, 0), 1)</f>
        <v>9.1999999999999993</v>
      </c>
      <c r="M8" s="10" t="s">
        <v>1158</v>
      </c>
      <c r="N8" s="3" t="s">
        <v>1159</v>
      </c>
      <c r="O8" s="3" t="s">
        <v>1146</v>
      </c>
      <c r="P8" s="3">
        <v>8</v>
      </c>
      <c r="Q8" s="305" cm="1">
        <f t="array" ref="Q8">IF(O8="Easy", VLOOKUP(M8&amp;"-"&amp;N8, CHOOSE({1,2}, 'S32 MTM Motion Elements'!$B$71:$B$79&amp;"-"&amp;'S32 MTM Motion Elements'!$C$71:$C$79, 'S32 MTM Motion Elements'!$D$71:$D$79), 2, 0), VLOOKUP(M8&amp;"-"&amp;N8, CHOOSE({1,2}, 'S32 MTM Motion Elements'!$B$71:$B$79&amp;"-"&amp;'S32 MTM Motion Elements'!$C$71:$C$79, 'S32 MTM Motion Elements'!$E$71:$E$79), 2, 0))</f>
        <v>52.1</v>
      </c>
      <c r="R8" s="10" t="s">
        <v>1161</v>
      </c>
      <c r="S8" s="3">
        <f t="shared" si="3"/>
        <v>8</v>
      </c>
      <c r="T8" s="305">
        <f>VLOOKUP(R8, 'S32 MTM Motion Elements'!$A$84:$B$88, 2, 0)</f>
        <v>16.2</v>
      </c>
      <c r="U8" s="10" t="s">
        <v>1142</v>
      </c>
      <c r="V8" s="3" t="s">
        <v>1156</v>
      </c>
      <c r="W8" s="3">
        <f t="shared" si="4"/>
        <v>24</v>
      </c>
      <c r="X8" s="305">
        <f>VLOOKUP(U8, 'S32 MTM Motion Elements'!$A$93:$L$95, MATCH(V8, 'S32 MTM Motion Elements'!$A$92:$L$92, 0), 0)</f>
        <v>5.4</v>
      </c>
      <c r="Y8" s="10">
        <v>1</v>
      </c>
      <c r="Z8" s="3">
        <v>6</v>
      </c>
      <c r="AA8" s="305">
        <f>VLOOKUP(Y8, 'S32 MTM Motion Elements'!$A$100:$B$101, 2, 0)</f>
        <v>2</v>
      </c>
      <c r="AB8" s="10" t="s">
        <v>1149</v>
      </c>
      <c r="AC8" s="3" t="s">
        <v>1146</v>
      </c>
      <c r="AD8" s="43">
        <f t="shared" si="5"/>
        <v>8</v>
      </c>
      <c r="AE8" s="307">
        <f>VLOOKUP(AB8, 'S32 MTM Motion Elements'!$B$106:$E$108, IF(AC8="Easy", 3, 4), 0)</f>
        <v>34.700000000000003</v>
      </c>
      <c r="AF8" s="304">
        <f t="shared" si="6"/>
        <v>1234.4000000000001</v>
      </c>
      <c r="AG8" s="305">
        <f>AF8*'S32 MTM Motion Elements'!$C$118</f>
        <v>44.438400000000001</v>
      </c>
      <c r="AH8" s="316">
        <f>SUMIFS('S22 Required Machine Hours'!$C$2:$C$118, 'S22 Required Machine Hours'!$A$2:$A$118, A8)</f>
        <v>136301</v>
      </c>
      <c r="AI8" s="308">
        <f t="shared" si="7"/>
        <v>6056998.3584000003</v>
      </c>
      <c r="AJ8" s="307">
        <f t="shared" si="8"/>
        <v>1682.499544</v>
      </c>
      <c r="AK8" s="318">
        <f>HLOOKUP(A8, 'S22 Required Machine Hours'!$S$37:$AR$38, 2, 0)</f>
        <v>254</v>
      </c>
      <c r="AL8" s="309">
        <f>VLOOKUP(A8, 'S11 Work Stations'!$A$2:$C$45, 3, 0)*60</f>
        <v>1800</v>
      </c>
      <c r="AM8" s="309">
        <f t="shared" si="9"/>
        <v>457200</v>
      </c>
      <c r="AN8" s="320">
        <f t="shared" si="10"/>
        <v>127</v>
      </c>
      <c r="AO8" s="310">
        <f t="shared" si="11"/>
        <v>420.624886</v>
      </c>
      <c r="AP8" s="322">
        <f t="shared" si="12"/>
        <v>2230.1244299999998</v>
      </c>
      <c r="AQ8" s="311">
        <f>'S23 Available Working Hours'!$D$2</f>
        <v>1600</v>
      </c>
      <c r="AR8" s="323" cm="1">
        <f t="array" ref="AR8">IFERROR(_xlfn.IFS(A8="WS-43", 2, A8="WS-44", 2), AP8/AQ8)</f>
        <v>1.3938277687499998</v>
      </c>
    </row>
    <row r="9" spans="1:44">
      <c r="A9" s="313" t="str">
        <f>'S24 Required # of Machines'!A8</f>
        <v>WS-18</v>
      </c>
      <c r="B9" s="10">
        <v>40</v>
      </c>
      <c r="C9" s="3" t="s">
        <v>988</v>
      </c>
      <c r="D9" s="3">
        <f t="shared" si="0"/>
        <v>8</v>
      </c>
      <c r="E9" s="305">
        <f>VLOOKUP(B9, 'S32 MTM Motion Elements'!$A$5:$H$25, MATCH(C9, 'S32 MTM Motion Elements'!$A$4:$F$4, 0), 1)</f>
        <v>14.4</v>
      </c>
      <c r="F9" s="312">
        <v>2</v>
      </c>
      <c r="G9" s="3">
        <f t="shared" si="1"/>
        <v>8</v>
      </c>
      <c r="H9" s="307">
        <f>VLOOKUP(F9, 'S32 MTM Motion Elements'!$B$30:$C$40, 2, 0)</f>
        <v>5.6</v>
      </c>
      <c r="I9" s="10">
        <v>19</v>
      </c>
      <c r="J9" s="3" t="s">
        <v>991</v>
      </c>
      <c r="K9" s="3">
        <f t="shared" si="2"/>
        <v>16</v>
      </c>
      <c r="L9" s="305">
        <f>VLOOKUP(I9, 'S32 MTM Motion Elements'!$A$46:$G$66, MATCH(J9, 'S32 MTM Motion Elements'!$A$45:$D$45, 0), 1)</f>
        <v>11.1</v>
      </c>
      <c r="M9" s="10" t="s">
        <v>1139</v>
      </c>
      <c r="N9" s="3" t="s">
        <v>1140</v>
      </c>
      <c r="O9" s="3" t="s">
        <v>1146</v>
      </c>
      <c r="P9" s="3">
        <v>8</v>
      </c>
      <c r="Q9" s="305" cm="1">
        <f t="array" ref="Q9">IF(O9="Easy", VLOOKUP(M9&amp;"-"&amp;N9, CHOOSE({1,2}, 'S32 MTM Motion Elements'!$B$71:$B$79&amp;"-"&amp;'S32 MTM Motion Elements'!$C$71:$C$79, 'S32 MTM Motion Elements'!$D$71:$D$79), 2, 0), VLOOKUP(M9&amp;"-"&amp;N9, CHOOSE({1,2}, 'S32 MTM Motion Elements'!$B$71:$B$79&amp;"-"&amp;'S32 MTM Motion Elements'!$C$71:$C$79, 'S32 MTM Motion Elements'!$E$71:$E$79), 2, 0))</f>
        <v>16</v>
      </c>
      <c r="R9" s="10" t="s">
        <v>1160</v>
      </c>
      <c r="S9" s="3">
        <f t="shared" si="3"/>
        <v>8</v>
      </c>
      <c r="T9" s="305">
        <f>VLOOKUP(R9, 'S32 MTM Motion Elements'!$A$84:$B$88, 2, 0)</f>
        <v>10.6</v>
      </c>
      <c r="U9" s="10" t="s">
        <v>1155</v>
      </c>
      <c r="V9" s="3" t="s">
        <v>1148</v>
      </c>
      <c r="W9" s="3">
        <f t="shared" si="4"/>
        <v>24</v>
      </c>
      <c r="X9" s="305">
        <f>VLOOKUP(U9, 'S32 MTM Motion Elements'!$A$93:$L$95, MATCH(V9, 'S32 MTM Motion Elements'!$A$92:$L$92, 0), 0)</f>
        <v>12.3</v>
      </c>
      <c r="Y9" s="10">
        <v>1</v>
      </c>
      <c r="Z9" s="3">
        <v>6</v>
      </c>
      <c r="AA9" s="305">
        <f>VLOOKUP(Y9, 'S32 MTM Motion Elements'!$A$100:$B$101, 2, 0)</f>
        <v>2</v>
      </c>
      <c r="AB9" s="10" t="s">
        <v>1144</v>
      </c>
      <c r="AC9" s="3" t="s">
        <v>1146</v>
      </c>
      <c r="AD9" s="43">
        <f t="shared" si="5"/>
        <v>8</v>
      </c>
      <c r="AE9" s="307">
        <f>VLOOKUP(AB9, 'S32 MTM Motion Elements'!$B$106:$E$108, IF(AC9="Easy", 3, 4), 0)</f>
        <v>11.8</v>
      </c>
      <c r="AF9" s="304">
        <f t="shared" si="6"/>
        <v>952</v>
      </c>
      <c r="AG9" s="305">
        <f>AF9*'S32 MTM Motion Elements'!$C$118</f>
        <v>34.271999999999998</v>
      </c>
      <c r="AH9" s="316">
        <f>SUMIFS('S22 Required Machine Hours'!$C$2:$C$118, 'S22 Required Machine Hours'!$A$2:$A$118, A9)</f>
        <v>301684</v>
      </c>
      <c r="AI9" s="308">
        <f t="shared" si="7"/>
        <v>10339314.048</v>
      </c>
      <c r="AJ9" s="307">
        <f t="shared" si="8"/>
        <v>2872.0316800000001</v>
      </c>
      <c r="AK9" s="318">
        <f>HLOOKUP(A9, 'S22 Required Machine Hours'!$S$37:$AR$38, 2, 0)</f>
        <v>258</v>
      </c>
      <c r="AL9" s="309">
        <f>VLOOKUP(A9, 'S11 Work Stations'!$A$2:$C$45, 3, 0)*60</f>
        <v>1800</v>
      </c>
      <c r="AM9" s="309">
        <f t="shared" si="9"/>
        <v>464400</v>
      </c>
      <c r="AN9" s="320">
        <f t="shared" si="10"/>
        <v>129</v>
      </c>
      <c r="AO9" s="310">
        <f t="shared" si="11"/>
        <v>718.00792000000001</v>
      </c>
      <c r="AP9" s="322">
        <f t="shared" si="12"/>
        <v>3719.0396000000001</v>
      </c>
      <c r="AQ9" s="311">
        <f>'S23 Available Working Hours'!$D$2</f>
        <v>1600</v>
      </c>
      <c r="AR9" s="323" cm="1">
        <f t="array" ref="AR9">IFERROR(_xlfn.IFS(A9="WS-43", 2, A9="WS-44", 2), AP9/AQ9)</f>
        <v>2.32439975</v>
      </c>
    </row>
    <row r="10" spans="1:44">
      <c r="A10" s="313" t="str">
        <f>'S24 Required # of Machines'!A9</f>
        <v>WS-20</v>
      </c>
      <c r="B10" s="10">
        <v>35</v>
      </c>
      <c r="C10" s="3" t="s">
        <v>994</v>
      </c>
      <c r="D10" s="3">
        <f t="shared" si="0"/>
        <v>8</v>
      </c>
      <c r="E10" s="305">
        <f>VLOOKUP(B10, 'S32 MTM Motion Elements'!$A$5:$H$25, MATCH(C10, 'S32 MTM Motion Elements'!$A$4:$F$4, 0), 1)</f>
        <v>14.2</v>
      </c>
      <c r="F10" s="312" t="s">
        <v>1162</v>
      </c>
      <c r="G10" s="3">
        <f t="shared" si="1"/>
        <v>8</v>
      </c>
      <c r="H10" s="307">
        <f>VLOOKUP(F10, 'S32 MTM Motion Elements'!$B$30:$C$40, 2, 0)</f>
        <v>7.3</v>
      </c>
      <c r="I10" s="10">
        <v>62</v>
      </c>
      <c r="J10" s="3" t="s">
        <v>991</v>
      </c>
      <c r="K10" s="3">
        <f t="shared" si="2"/>
        <v>16</v>
      </c>
      <c r="L10" s="305">
        <f>VLOOKUP(I10, 'S32 MTM Motion Elements'!$A$46:$G$66, MATCH(J10, 'S32 MTM Motion Elements'!$A$45:$D$45, 0), 1)</f>
        <v>25.5</v>
      </c>
      <c r="M10" s="10" t="s">
        <v>1144</v>
      </c>
      <c r="N10" s="3" t="s">
        <v>1145</v>
      </c>
      <c r="O10" s="3" t="s">
        <v>1141</v>
      </c>
      <c r="P10" s="3">
        <v>8</v>
      </c>
      <c r="Q10" s="305" cm="1">
        <f t="array" ref="Q10">IF(O10="Easy", VLOOKUP(M10&amp;"-"&amp;N10, CHOOSE({1,2}, 'S32 MTM Motion Elements'!$B$71:$B$79&amp;"-"&amp;'S32 MTM Motion Elements'!$C$71:$C$79, 'S32 MTM Motion Elements'!$D$71:$D$79), 2, 0), VLOOKUP(M10&amp;"-"&amp;N10, CHOOSE({1,2}, 'S32 MTM Motion Elements'!$B$71:$B$79&amp;"-"&amp;'S32 MTM Motion Elements'!$C$71:$C$79, 'S32 MTM Motion Elements'!$E$71:$E$79), 2, 0))</f>
        <v>16.2</v>
      </c>
      <c r="R10" s="10" t="s">
        <v>1161</v>
      </c>
      <c r="S10" s="3">
        <f t="shared" si="3"/>
        <v>8</v>
      </c>
      <c r="T10" s="305">
        <f>VLOOKUP(R10, 'S32 MTM Motion Elements'!$A$84:$B$88, 2, 0)</f>
        <v>16.2</v>
      </c>
      <c r="U10" s="10" t="s">
        <v>1155</v>
      </c>
      <c r="V10" s="3" t="s">
        <v>1152</v>
      </c>
      <c r="W10" s="3">
        <f t="shared" si="4"/>
        <v>24</v>
      </c>
      <c r="X10" s="305">
        <f>VLOOKUP(U10, 'S32 MTM Motion Elements'!$A$93:$L$95, MATCH(V10, 'S32 MTM Motion Elements'!$A$92:$L$92, 0), 0)</f>
        <v>20.399999999999999</v>
      </c>
      <c r="Y10" s="10">
        <v>1</v>
      </c>
      <c r="Z10" s="3">
        <v>6</v>
      </c>
      <c r="AA10" s="305">
        <f>VLOOKUP(Y10, 'S32 MTM Motion Elements'!$A$100:$B$101, 2, 0)</f>
        <v>2</v>
      </c>
      <c r="AB10" s="10" t="s">
        <v>1139</v>
      </c>
      <c r="AC10" s="3" t="s">
        <v>1141</v>
      </c>
      <c r="AD10" s="43">
        <f t="shared" si="5"/>
        <v>8</v>
      </c>
      <c r="AE10" s="307">
        <f>VLOOKUP(AB10, 'S32 MTM Motion Elements'!$B$106:$E$108, IF(AC10="Easy", 3, 4), 0)</f>
        <v>4</v>
      </c>
      <c r="AF10" s="304">
        <f t="shared" si="6"/>
        <v>1372.8</v>
      </c>
      <c r="AG10" s="305">
        <f>AF10*'S32 MTM Motion Elements'!$C$118</f>
        <v>49.420799999999993</v>
      </c>
      <c r="AH10" s="316">
        <f>SUMIFS('S22 Required Machine Hours'!$C$2:$C$118, 'S22 Required Machine Hours'!$A$2:$A$118, A10)</f>
        <v>136301</v>
      </c>
      <c r="AI10" s="308">
        <f t="shared" si="7"/>
        <v>6736104.4607999986</v>
      </c>
      <c r="AJ10" s="307">
        <f t="shared" si="8"/>
        <v>1871.1401279999995</v>
      </c>
      <c r="AK10" s="318">
        <f>HLOOKUP(A10, 'S22 Required Machine Hours'!$S$37:$AR$38, 2, 0)</f>
        <v>254</v>
      </c>
      <c r="AL10" s="309">
        <f>VLOOKUP(A10, 'S11 Work Stations'!$A$2:$C$45, 3, 0)*60</f>
        <v>1200</v>
      </c>
      <c r="AM10" s="309">
        <f t="shared" si="9"/>
        <v>304800</v>
      </c>
      <c r="AN10" s="320">
        <f t="shared" si="10"/>
        <v>84.666666666666671</v>
      </c>
      <c r="AO10" s="310">
        <f t="shared" si="11"/>
        <v>467.78503199999989</v>
      </c>
      <c r="AP10" s="322">
        <f t="shared" si="12"/>
        <v>2423.5918266666663</v>
      </c>
      <c r="AQ10" s="311">
        <f>'S23 Available Working Hours'!$D$2</f>
        <v>1600</v>
      </c>
      <c r="AR10" s="323" cm="1">
        <f t="array" ref="AR10">IFERROR(_xlfn.IFS(A10="WS-43", 2, A10="WS-44", 2), AP10/AQ10)</f>
        <v>1.5147448916666664</v>
      </c>
    </row>
    <row r="11" spans="1:44">
      <c r="A11" s="313" t="str">
        <f>'S24 Required # of Machines'!A10</f>
        <v>WS-21</v>
      </c>
      <c r="B11" s="10">
        <v>35</v>
      </c>
      <c r="C11" s="3" t="s">
        <v>988</v>
      </c>
      <c r="D11" s="3">
        <f t="shared" si="0"/>
        <v>8</v>
      </c>
      <c r="E11" s="305">
        <f>VLOOKUP(B11, 'S32 MTM Motion Elements'!$A$5:$H$25, MATCH(C11, 'S32 MTM Motion Elements'!$A$4:$F$4, 0), 1)</f>
        <v>12.9</v>
      </c>
      <c r="F11" s="312" t="s">
        <v>1163</v>
      </c>
      <c r="G11" s="3">
        <f t="shared" si="1"/>
        <v>8</v>
      </c>
      <c r="H11" s="307">
        <f>VLOOKUP(F11, 'S32 MTM Motion Elements'!$B$30:$C$40, 2, 0)</f>
        <v>8.6999999999999993</v>
      </c>
      <c r="I11" s="10">
        <v>50</v>
      </c>
      <c r="J11" s="3" t="s">
        <v>991</v>
      </c>
      <c r="K11" s="3">
        <f t="shared" si="2"/>
        <v>16</v>
      </c>
      <c r="L11" s="305">
        <f>VLOOKUP(I11, 'S32 MTM Motion Elements'!$A$46:$G$66, MATCH(J11, 'S32 MTM Motion Elements'!$A$45:$D$45, 0), 1)</f>
        <v>20.399999999999999</v>
      </c>
      <c r="M11" s="10" t="s">
        <v>1139</v>
      </c>
      <c r="N11" s="3" t="s">
        <v>1140</v>
      </c>
      <c r="O11" s="3" t="s">
        <v>1146</v>
      </c>
      <c r="P11" s="3">
        <v>8</v>
      </c>
      <c r="Q11" s="305" cm="1">
        <f t="array" ref="Q11">IF(O11="Easy", VLOOKUP(M11&amp;"-"&amp;N11, CHOOSE({1,2}, 'S32 MTM Motion Elements'!$B$71:$B$79&amp;"-"&amp;'S32 MTM Motion Elements'!$C$71:$C$79, 'S32 MTM Motion Elements'!$D$71:$D$79), 2, 0), VLOOKUP(M11&amp;"-"&amp;N11, CHOOSE({1,2}, 'S32 MTM Motion Elements'!$B$71:$B$79&amp;"-"&amp;'S32 MTM Motion Elements'!$C$71:$C$79, 'S32 MTM Motion Elements'!$E$71:$E$79), 2, 0))</f>
        <v>16</v>
      </c>
      <c r="R11" s="10" t="s">
        <v>1160</v>
      </c>
      <c r="S11" s="3">
        <f t="shared" si="3"/>
        <v>8</v>
      </c>
      <c r="T11" s="305">
        <f>VLOOKUP(R11, 'S32 MTM Motion Elements'!$A$84:$B$88, 2, 0)</f>
        <v>10.6</v>
      </c>
      <c r="U11" s="10" t="s">
        <v>1147</v>
      </c>
      <c r="V11" s="3" t="s">
        <v>1156</v>
      </c>
      <c r="W11" s="3">
        <f t="shared" si="4"/>
        <v>24</v>
      </c>
      <c r="X11" s="305">
        <f>VLOOKUP(U11, 'S32 MTM Motion Elements'!$A$93:$L$95, MATCH(V11, 'S32 MTM Motion Elements'!$A$92:$L$92, 0), 0)</f>
        <v>8.6</v>
      </c>
      <c r="Y11" s="10">
        <v>1</v>
      </c>
      <c r="Z11" s="3">
        <v>6</v>
      </c>
      <c r="AA11" s="305">
        <f>VLOOKUP(Y11, 'S32 MTM Motion Elements'!$A$100:$B$101, 2, 0)</f>
        <v>2</v>
      </c>
      <c r="AB11" s="10" t="s">
        <v>1144</v>
      </c>
      <c r="AC11" s="3" t="s">
        <v>1146</v>
      </c>
      <c r="AD11" s="43">
        <f t="shared" si="5"/>
        <v>8</v>
      </c>
      <c r="AE11" s="307">
        <f>VLOOKUP(AB11, 'S32 MTM Motion Elements'!$B$106:$E$108, IF(AC11="Easy", 3, 4), 0)</f>
        <v>11.8</v>
      </c>
      <c r="AF11" s="304">
        <f t="shared" si="6"/>
        <v>1024.8</v>
      </c>
      <c r="AG11" s="305">
        <f>AF11*'S32 MTM Motion Elements'!$C$118</f>
        <v>36.892799999999994</v>
      </c>
      <c r="AH11" s="316">
        <f>SUMIFS('S22 Required Machine Hours'!$C$2:$C$118, 'S22 Required Machine Hours'!$A$2:$A$118, A11)</f>
        <v>176193</v>
      </c>
      <c r="AI11" s="308">
        <f t="shared" si="7"/>
        <v>6500253.1103999987</v>
      </c>
      <c r="AJ11" s="307">
        <f t="shared" si="8"/>
        <v>1805.6258639999996</v>
      </c>
      <c r="AK11" s="318">
        <f>HLOOKUP(A11, 'S22 Required Machine Hours'!$S$37:$AR$38, 2, 0)</f>
        <v>639</v>
      </c>
      <c r="AL11" s="309">
        <f>VLOOKUP(A11, 'S11 Work Stations'!$A$2:$C$45, 3, 0)*60</f>
        <v>1800</v>
      </c>
      <c r="AM11" s="309">
        <f t="shared" si="9"/>
        <v>1150200</v>
      </c>
      <c r="AN11" s="320">
        <f t="shared" si="10"/>
        <v>319.5</v>
      </c>
      <c r="AO11" s="310">
        <f t="shared" si="11"/>
        <v>451.40646599999991</v>
      </c>
      <c r="AP11" s="322">
        <f t="shared" si="12"/>
        <v>2576.5323299999995</v>
      </c>
      <c r="AQ11" s="311">
        <f>'S23 Available Working Hours'!$D$2</f>
        <v>1600</v>
      </c>
      <c r="AR11" s="323" cm="1">
        <f t="array" ref="AR11">IFERROR(_xlfn.IFS(A11="WS-43", 2, A11="WS-44", 2), AP11/AQ11)</f>
        <v>1.6103327062499997</v>
      </c>
    </row>
    <row r="12" spans="1:44">
      <c r="A12" s="313" t="str">
        <f>'S24 Required # of Machines'!A11</f>
        <v>WS-23</v>
      </c>
      <c r="B12" s="10">
        <v>30</v>
      </c>
      <c r="C12" s="3" t="s">
        <v>981</v>
      </c>
      <c r="D12" s="3">
        <f t="shared" si="0"/>
        <v>8</v>
      </c>
      <c r="E12" s="305">
        <f>VLOOKUP(B12, 'S32 MTM Motion Elements'!$A$5:$H$25, MATCH(C12, 'S32 MTM Motion Elements'!$A$4:$F$4, 0), 1)</f>
        <v>8.6999999999999993</v>
      </c>
      <c r="F12" s="312" t="s">
        <v>1164</v>
      </c>
      <c r="G12" s="3">
        <f t="shared" si="1"/>
        <v>8</v>
      </c>
      <c r="H12" s="307">
        <f>VLOOKUP(F12, 'S32 MTM Motion Elements'!$B$30:$C$40, 2, 0)</f>
        <v>10.8</v>
      </c>
      <c r="I12" s="10">
        <v>57</v>
      </c>
      <c r="J12" s="3" t="s">
        <v>991</v>
      </c>
      <c r="K12" s="3">
        <f t="shared" si="2"/>
        <v>16</v>
      </c>
      <c r="L12" s="305">
        <f>VLOOKUP(I12, 'S32 MTM Motion Elements'!$A$46:$G$66, MATCH(J12, 'S32 MTM Motion Elements'!$A$45:$D$45, 0), 1)</f>
        <v>23.8</v>
      </c>
      <c r="M12" s="10" t="s">
        <v>1144</v>
      </c>
      <c r="N12" s="3" t="s">
        <v>1145</v>
      </c>
      <c r="O12" s="3" t="s">
        <v>1141</v>
      </c>
      <c r="P12" s="3">
        <v>8</v>
      </c>
      <c r="Q12" s="305" cm="1">
        <f t="array" ref="Q12">IF(O12="Easy", VLOOKUP(M12&amp;"-"&amp;N12, CHOOSE({1,2}, 'S32 MTM Motion Elements'!$B$71:$B$79&amp;"-"&amp;'S32 MTM Motion Elements'!$C$71:$C$79, 'S32 MTM Motion Elements'!$D$71:$D$79), 2, 0), VLOOKUP(M12&amp;"-"&amp;N12, CHOOSE({1,2}, 'S32 MTM Motion Elements'!$B$71:$B$79&amp;"-"&amp;'S32 MTM Motion Elements'!$C$71:$C$79, 'S32 MTM Motion Elements'!$E$71:$E$79), 2, 0))</f>
        <v>16.2</v>
      </c>
      <c r="R12" s="10" t="s">
        <v>1160</v>
      </c>
      <c r="S12" s="3">
        <f t="shared" si="3"/>
        <v>8</v>
      </c>
      <c r="T12" s="305">
        <f>VLOOKUP(R12, 'S32 MTM Motion Elements'!$A$84:$B$88, 2, 0)</f>
        <v>10.6</v>
      </c>
      <c r="U12" s="10" t="s">
        <v>1155</v>
      </c>
      <c r="V12" s="3" t="s">
        <v>1148</v>
      </c>
      <c r="W12" s="3">
        <f t="shared" si="4"/>
        <v>24</v>
      </c>
      <c r="X12" s="305">
        <f>VLOOKUP(U12, 'S32 MTM Motion Elements'!$A$93:$L$95, MATCH(V12, 'S32 MTM Motion Elements'!$A$92:$L$92, 0), 0)</f>
        <v>12.3</v>
      </c>
      <c r="Y12" s="10">
        <v>1</v>
      </c>
      <c r="Z12" s="3">
        <v>6</v>
      </c>
      <c r="AA12" s="305">
        <f>VLOOKUP(Y12, 'S32 MTM Motion Elements'!$A$100:$B$101, 2, 0)</f>
        <v>2</v>
      </c>
      <c r="AB12" s="10" t="s">
        <v>1149</v>
      </c>
      <c r="AC12" s="3" t="s">
        <v>1146</v>
      </c>
      <c r="AD12" s="43">
        <f t="shared" si="5"/>
        <v>8</v>
      </c>
      <c r="AE12" s="307">
        <f>VLOOKUP(AB12, 'S32 MTM Motion Elements'!$B$106:$E$108, IF(AC12="Easy", 3, 4), 0)</f>
        <v>34.700000000000003</v>
      </c>
      <c r="AF12" s="304">
        <f t="shared" si="6"/>
        <v>1336</v>
      </c>
      <c r="AG12" s="305">
        <f>AF12*'S32 MTM Motion Elements'!$C$118</f>
        <v>48.095999999999997</v>
      </c>
      <c r="AH12" s="316">
        <f>SUMIFS('S22 Required Machine Hours'!$C$2:$C$118, 'S22 Required Machine Hours'!$A$2:$A$118, A12)</f>
        <v>141224</v>
      </c>
      <c r="AI12" s="308">
        <f t="shared" si="7"/>
        <v>6792309.5039999997</v>
      </c>
      <c r="AJ12" s="307">
        <f t="shared" si="8"/>
        <v>1886.7526399999999</v>
      </c>
      <c r="AK12" s="318">
        <f>HLOOKUP(A12, 'S22 Required Machine Hours'!$S$37:$AR$38, 2, 0)</f>
        <v>274</v>
      </c>
      <c r="AL12" s="309">
        <f>VLOOKUP(A12, 'S11 Work Stations'!$A$2:$C$45, 3, 0)*60</f>
        <v>2100</v>
      </c>
      <c r="AM12" s="309">
        <f t="shared" si="9"/>
        <v>575400</v>
      </c>
      <c r="AN12" s="320">
        <f t="shared" si="10"/>
        <v>159.83333333333334</v>
      </c>
      <c r="AO12" s="310">
        <f t="shared" si="11"/>
        <v>471.68815999999998</v>
      </c>
      <c r="AP12" s="322">
        <f t="shared" si="12"/>
        <v>2518.2741333333333</v>
      </c>
      <c r="AQ12" s="311">
        <f>'S23 Available Working Hours'!$D$2</f>
        <v>1600</v>
      </c>
      <c r="AR12" s="323" cm="1">
        <f t="array" ref="AR12">IFERROR(_xlfn.IFS(A12="WS-43", 2, A12="WS-44", 2), AP12/AQ12)</f>
        <v>1.5739213333333333</v>
      </c>
    </row>
    <row r="13" spans="1:44">
      <c r="A13" s="313" t="str">
        <f>'S24 Required # of Machines'!A12</f>
        <v>WS-24</v>
      </c>
      <c r="B13" s="10">
        <v>25</v>
      </c>
      <c r="C13" s="3" t="s">
        <v>994</v>
      </c>
      <c r="D13" s="3">
        <f t="shared" si="0"/>
        <v>8</v>
      </c>
      <c r="E13" s="305">
        <f>VLOOKUP(B13, 'S32 MTM Motion Elements'!$A$5:$H$25, MATCH(C13, 'S32 MTM Motion Elements'!$A$4:$F$4, 0), 1)</f>
        <v>12.2</v>
      </c>
      <c r="F13" s="312">
        <v>3</v>
      </c>
      <c r="G13" s="3">
        <f t="shared" si="1"/>
        <v>8</v>
      </c>
      <c r="H13" s="307">
        <f>VLOOKUP(F13, 'S32 MTM Motion Elements'!$B$30:$C$40, 2, 0)</f>
        <v>5.6</v>
      </c>
      <c r="I13" s="10">
        <v>28</v>
      </c>
      <c r="J13" s="3" t="s">
        <v>991</v>
      </c>
      <c r="K13" s="3">
        <f t="shared" si="2"/>
        <v>16</v>
      </c>
      <c r="L13" s="305">
        <f>VLOOKUP(I13, 'S32 MTM Motion Elements'!$A$46:$G$66, MATCH(J13, 'S32 MTM Motion Elements'!$A$45:$D$45, 0), 1)</f>
        <v>13.5</v>
      </c>
      <c r="M13" s="10" t="s">
        <v>1139</v>
      </c>
      <c r="N13" s="3" t="s">
        <v>1140</v>
      </c>
      <c r="O13" s="3" t="s">
        <v>1146</v>
      </c>
      <c r="P13" s="3">
        <v>8</v>
      </c>
      <c r="Q13" s="305" cm="1">
        <f t="array" ref="Q13">IF(O13="Easy", VLOOKUP(M13&amp;"-"&amp;N13, CHOOSE({1,2}, 'S32 MTM Motion Elements'!$B$71:$B$79&amp;"-"&amp;'S32 MTM Motion Elements'!$C$71:$C$79, 'S32 MTM Motion Elements'!$D$71:$D$79), 2, 0), VLOOKUP(M13&amp;"-"&amp;N13, CHOOSE({1,2}, 'S32 MTM Motion Elements'!$B$71:$B$79&amp;"-"&amp;'S32 MTM Motion Elements'!$C$71:$C$79, 'S32 MTM Motion Elements'!$E$71:$E$79), 2, 0))</f>
        <v>16</v>
      </c>
      <c r="R13" s="10" t="s">
        <v>1161</v>
      </c>
      <c r="S13" s="3">
        <f t="shared" si="3"/>
        <v>8</v>
      </c>
      <c r="T13" s="305">
        <f>VLOOKUP(R13, 'S32 MTM Motion Elements'!$A$84:$B$88, 2, 0)</f>
        <v>16.2</v>
      </c>
      <c r="U13" s="10" t="s">
        <v>1155</v>
      </c>
      <c r="V13" s="3" t="s">
        <v>1152</v>
      </c>
      <c r="W13" s="3">
        <f t="shared" si="4"/>
        <v>24</v>
      </c>
      <c r="X13" s="305">
        <f>VLOOKUP(U13, 'S32 MTM Motion Elements'!$A$93:$L$95, MATCH(V13, 'S32 MTM Motion Elements'!$A$92:$L$92, 0), 0)</f>
        <v>20.399999999999999</v>
      </c>
      <c r="Y13" s="10">
        <v>1</v>
      </c>
      <c r="Z13" s="3">
        <v>6</v>
      </c>
      <c r="AA13" s="305">
        <f>VLOOKUP(Y13, 'S32 MTM Motion Elements'!$A$100:$B$101, 2, 0)</f>
        <v>2</v>
      </c>
      <c r="AB13" s="10" t="s">
        <v>1149</v>
      </c>
      <c r="AC13" s="3" t="s">
        <v>1146</v>
      </c>
      <c r="AD13" s="43">
        <f t="shared" si="5"/>
        <v>8</v>
      </c>
      <c r="AE13" s="307">
        <f>VLOOKUP(AB13, 'S32 MTM Motion Elements'!$B$106:$E$108, IF(AC13="Easy", 3, 4), 0)</f>
        <v>34.700000000000003</v>
      </c>
      <c r="AF13" s="304">
        <f t="shared" si="6"/>
        <v>1395.1999999999998</v>
      </c>
      <c r="AG13" s="305">
        <f>AF13*'S32 MTM Motion Elements'!$C$118</f>
        <v>50.227199999999989</v>
      </c>
      <c r="AH13" s="316">
        <f>SUMIFS('S22 Required Machine Hours'!$C$2:$C$118, 'S22 Required Machine Hours'!$A$2:$A$118, A13)</f>
        <v>301684</v>
      </c>
      <c r="AI13" s="308">
        <f t="shared" si="7"/>
        <v>15152742.604799997</v>
      </c>
      <c r="AJ13" s="307">
        <f t="shared" si="8"/>
        <v>4209.0951679999989</v>
      </c>
      <c r="AK13" s="318">
        <f>HLOOKUP(A13, 'S22 Required Machine Hours'!$S$37:$AR$38, 2, 0)</f>
        <v>258</v>
      </c>
      <c r="AL13" s="309">
        <f>VLOOKUP(A13, 'S11 Work Stations'!$A$2:$C$45, 3, 0)*60</f>
        <v>1500</v>
      </c>
      <c r="AM13" s="309">
        <f t="shared" si="9"/>
        <v>387000</v>
      </c>
      <c r="AN13" s="320">
        <f t="shared" si="10"/>
        <v>107.5</v>
      </c>
      <c r="AO13" s="310">
        <f t="shared" si="11"/>
        <v>1052.2737919999997</v>
      </c>
      <c r="AP13" s="322">
        <f t="shared" si="12"/>
        <v>5368.8689599999989</v>
      </c>
      <c r="AQ13" s="311">
        <f>'S23 Available Working Hours'!$D$2</f>
        <v>1600</v>
      </c>
      <c r="AR13" s="323" cm="1">
        <f t="array" ref="AR13">IFERROR(_xlfn.IFS(A13="WS-43", 2, A13="WS-44", 2), AP13/AQ13)</f>
        <v>3.3555430999999993</v>
      </c>
    </row>
    <row r="14" spans="1:44">
      <c r="A14" s="313" t="str">
        <f>'S24 Required # of Machines'!A13</f>
        <v>WS-25</v>
      </c>
      <c r="B14" s="10">
        <v>35</v>
      </c>
      <c r="C14" s="3" t="s">
        <v>988</v>
      </c>
      <c r="D14" s="3">
        <f t="shared" si="0"/>
        <v>8</v>
      </c>
      <c r="E14" s="305">
        <f>VLOOKUP(B14, 'S32 MTM Motion Elements'!$A$5:$H$25, MATCH(C14, 'S32 MTM Motion Elements'!$A$4:$F$4, 0), 1)</f>
        <v>12.9</v>
      </c>
      <c r="F14" s="312">
        <v>2</v>
      </c>
      <c r="G14" s="3">
        <f t="shared" si="1"/>
        <v>8</v>
      </c>
      <c r="H14" s="307">
        <f>VLOOKUP(F14, 'S32 MTM Motion Elements'!$B$30:$C$40, 2, 0)</f>
        <v>5.6</v>
      </c>
      <c r="I14" s="10">
        <v>65</v>
      </c>
      <c r="J14" s="3" t="s">
        <v>991</v>
      </c>
      <c r="K14" s="3">
        <f t="shared" si="2"/>
        <v>16</v>
      </c>
      <c r="L14" s="305">
        <f>VLOOKUP(I14, 'S32 MTM Motion Elements'!$A$46:$G$66, MATCH(J14, 'S32 MTM Motion Elements'!$A$45:$D$45, 0), 1)</f>
        <v>25.5</v>
      </c>
      <c r="M14" s="10" t="s">
        <v>1139</v>
      </c>
      <c r="N14" s="3" t="s">
        <v>1140</v>
      </c>
      <c r="O14" s="3" t="s">
        <v>1141</v>
      </c>
      <c r="P14" s="3">
        <v>8</v>
      </c>
      <c r="Q14" s="305" cm="1">
        <f t="array" ref="Q14">IF(O14="Easy", VLOOKUP(M14&amp;"-"&amp;N14, CHOOSE({1,2}, 'S32 MTM Motion Elements'!$B$71:$B$79&amp;"-"&amp;'S32 MTM Motion Elements'!$C$71:$C$79, 'S32 MTM Motion Elements'!$D$71:$D$79), 2, 0), VLOOKUP(M14&amp;"-"&amp;N14, CHOOSE({1,2}, 'S32 MTM Motion Elements'!$B$71:$B$79&amp;"-"&amp;'S32 MTM Motion Elements'!$C$71:$C$79, 'S32 MTM Motion Elements'!$E$71:$E$79), 2, 0))</f>
        <v>10.4</v>
      </c>
      <c r="R14" s="10" t="s">
        <v>1161</v>
      </c>
      <c r="S14" s="3">
        <f t="shared" si="3"/>
        <v>8</v>
      </c>
      <c r="T14" s="305">
        <f>VLOOKUP(R14, 'S32 MTM Motion Elements'!$A$84:$B$88, 2, 0)</f>
        <v>16.2</v>
      </c>
      <c r="U14" s="10" t="s">
        <v>1147</v>
      </c>
      <c r="V14" s="3" t="s">
        <v>1156</v>
      </c>
      <c r="W14" s="3">
        <f t="shared" si="4"/>
        <v>24</v>
      </c>
      <c r="X14" s="305">
        <f>VLOOKUP(U14, 'S32 MTM Motion Elements'!$A$93:$L$95, MATCH(V14, 'S32 MTM Motion Elements'!$A$92:$L$92, 0), 0)</f>
        <v>8.6</v>
      </c>
      <c r="Y14" s="10">
        <v>1</v>
      </c>
      <c r="Z14" s="3">
        <v>6</v>
      </c>
      <c r="AA14" s="305">
        <f>VLOOKUP(Y14, 'S32 MTM Motion Elements'!$A$100:$B$101, 2, 0)</f>
        <v>2</v>
      </c>
      <c r="AB14" s="10" t="s">
        <v>1139</v>
      </c>
      <c r="AC14" s="3" t="s">
        <v>1141</v>
      </c>
      <c r="AD14" s="43">
        <f t="shared" si="5"/>
        <v>8</v>
      </c>
      <c r="AE14" s="307">
        <f>VLOOKUP(AB14, 'S32 MTM Motion Elements'!$B$106:$E$108, IF(AC14="Easy", 3, 4), 0)</f>
        <v>4</v>
      </c>
      <c r="AF14" s="304">
        <f t="shared" si="6"/>
        <v>1019.2</v>
      </c>
      <c r="AG14" s="305">
        <f>AF14*'S32 MTM Motion Elements'!$C$118</f>
        <v>36.691200000000002</v>
      </c>
      <c r="AH14" s="316">
        <f>SUMIFS('S22 Required Machine Hours'!$C$2:$C$118, 'S22 Required Machine Hours'!$A$2:$A$118, A14)</f>
        <v>425244</v>
      </c>
      <c r="AI14" s="308">
        <f t="shared" si="7"/>
        <v>15602712.652800001</v>
      </c>
      <c r="AJ14" s="307">
        <f t="shared" si="8"/>
        <v>4334.0868479999999</v>
      </c>
      <c r="AK14" s="318">
        <f>HLOOKUP(A14, 'S22 Required Machine Hours'!$S$37:$AR$38, 2, 0)</f>
        <v>1052</v>
      </c>
      <c r="AL14" s="309">
        <f>VLOOKUP(A14, 'S11 Work Stations'!$A$2:$C$45, 3, 0)*60</f>
        <v>1800</v>
      </c>
      <c r="AM14" s="309">
        <f t="shared" si="9"/>
        <v>1893600</v>
      </c>
      <c r="AN14" s="320">
        <f t="shared" si="10"/>
        <v>526</v>
      </c>
      <c r="AO14" s="310">
        <f t="shared" si="11"/>
        <v>1083.521712</v>
      </c>
      <c r="AP14" s="322">
        <f t="shared" si="12"/>
        <v>5943.6085599999997</v>
      </c>
      <c r="AQ14" s="311">
        <f>'S23 Available Working Hours'!$D$2</f>
        <v>1600</v>
      </c>
      <c r="AR14" s="323" cm="1">
        <f t="array" ref="AR14">IFERROR(_xlfn.IFS(A14="WS-43", 2, A14="WS-44", 2), AP14/AQ14)</f>
        <v>3.7147553499999999</v>
      </c>
    </row>
    <row r="15" spans="1:44">
      <c r="A15" s="313" t="str">
        <f>'S24 Required # of Machines'!A14</f>
        <v>WS-26</v>
      </c>
      <c r="B15" s="10">
        <v>40</v>
      </c>
      <c r="C15" s="3" t="s">
        <v>981</v>
      </c>
      <c r="D15" s="3">
        <f t="shared" si="0"/>
        <v>8</v>
      </c>
      <c r="E15" s="305">
        <f>VLOOKUP(B15, 'S32 MTM Motion Elements'!$A$5:$H$25, MATCH(C15, 'S32 MTM Motion Elements'!$A$4:$F$4, 0), 1)</f>
        <v>10.5</v>
      </c>
      <c r="F15" s="312" t="s">
        <v>1138</v>
      </c>
      <c r="G15" s="3">
        <f t="shared" si="1"/>
        <v>8</v>
      </c>
      <c r="H15" s="307">
        <f>VLOOKUP(F15, 'S32 MTM Motion Elements'!$B$30:$C$40, 2, 0)</f>
        <v>2</v>
      </c>
      <c r="I15" s="10">
        <v>23</v>
      </c>
      <c r="J15" s="3" t="s">
        <v>991</v>
      </c>
      <c r="K15" s="3">
        <f t="shared" si="2"/>
        <v>16</v>
      </c>
      <c r="L15" s="305">
        <f>VLOOKUP(I15, 'S32 MTM Motion Elements'!$A$46:$G$66, MATCH(J15, 'S32 MTM Motion Elements'!$A$45:$D$45, 0), 1)</f>
        <v>12.7</v>
      </c>
      <c r="M15" s="10" t="s">
        <v>1158</v>
      </c>
      <c r="N15" s="3" t="s">
        <v>1159</v>
      </c>
      <c r="O15" s="3" t="s">
        <v>1146</v>
      </c>
      <c r="P15" s="3">
        <v>8</v>
      </c>
      <c r="Q15" s="305" cm="1">
        <f t="array" ref="Q15">IF(O15="Easy", VLOOKUP(M15&amp;"-"&amp;N15, CHOOSE({1,2}, 'S32 MTM Motion Elements'!$B$71:$B$79&amp;"-"&amp;'S32 MTM Motion Elements'!$C$71:$C$79, 'S32 MTM Motion Elements'!$D$71:$D$79), 2, 0), VLOOKUP(M15&amp;"-"&amp;N15, CHOOSE({1,2}, 'S32 MTM Motion Elements'!$B$71:$B$79&amp;"-"&amp;'S32 MTM Motion Elements'!$C$71:$C$79, 'S32 MTM Motion Elements'!$E$71:$E$79), 2, 0))</f>
        <v>52.1</v>
      </c>
      <c r="R15" s="10" t="s">
        <v>1161</v>
      </c>
      <c r="S15" s="3">
        <f t="shared" si="3"/>
        <v>8</v>
      </c>
      <c r="T15" s="305">
        <f>VLOOKUP(R15, 'S32 MTM Motion Elements'!$A$84:$B$88, 2, 0)</f>
        <v>16.2</v>
      </c>
      <c r="U15" s="10" t="s">
        <v>1142</v>
      </c>
      <c r="V15" s="3" t="s">
        <v>1156</v>
      </c>
      <c r="W15" s="3">
        <f t="shared" si="4"/>
        <v>24</v>
      </c>
      <c r="X15" s="305">
        <f>VLOOKUP(U15, 'S32 MTM Motion Elements'!$A$93:$L$95, MATCH(V15, 'S32 MTM Motion Elements'!$A$92:$L$92, 0), 0)</f>
        <v>5.4</v>
      </c>
      <c r="Y15" s="10">
        <v>1</v>
      </c>
      <c r="Z15" s="3">
        <v>6</v>
      </c>
      <c r="AA15" s="305">
        <f>VLOOKUP(Y15, 'S32 MTM Motion Elements'!$A$100:$B$101, 2, 0)</f>
        <v>2</v>
      </c>
      <c r="AB15" s="10" t="s">
        <v>1144</v>
      </c>
      <c r="AC15" s="3" t="s">
        <v>1146</v>
      </c>
      <c r="AD15" s="43">
        <f t="shared" si="5"/>
        <v>8</v>
      </c>
      <c r="AE15" s="307">
        <f>VLOOKUP(AB15, 'S32 MTM Motion Elements'!$B$106:$E$108, IF(AC15="Easy", 3, 4), 0)</f>
        <v>11.8</v>
      </c>
      <c r="AF15" s="304">
        <f t="shared" si="6"/>
        <v>1085.6000000000001</v>
      </c>
      <c r="AG15" s="305">
        <f>AF15*'S32 MTM Motion Elements'!$C$118</f>
        <v>39.081600000000002</v>
      </c>
      <c r="AH15" s="316">
        <f>SUMIFS('S22 Required Machine Hours'!$C$2:$C$118, 'S22 Required Machine Hours'!$A$2:$A$118, A15)</f>
        <v>136301</v>
      </c>
      <c r="AI15" s="308">
        <f t="shared" si="7"/>
        <v>5326861.1616000002</v>
      </c>
      <c r="AJ15" s="307">
        <f t="shared" si="8"/>
        <v>1479.6836560000002</v>
      </c>
      <c r="AK15" s="318">
        <f>HLOOKUP(A15, 'S22 Required Machine Hours'!$S$37:$AR$38, 2, 0)</f>
        <v>254</v>
      </c>
      <c r="AL15" s="309">
        <f>VLOOKUP(A15, 'S11 Work Stations'!$A$2:$C$45, 3, 0)*60</f>
        <v>1800</v>
      </c>
      <c r="AM15" s="309">
        <f t="shared" si="9"/>
        <v>457200</v>
      </c>
      <c r="AN15" s="320">
        <f t="shared" si="10"/>
        <v>127</v>
      </c>
      <c r="AO15" s="310">
        <f t="shared" si="11"/>
        <v>369.92091400000004</v>
      </c>
      <c r="AP15" s="322">
        <f t="shared" si="12"/>
        <v>1976.6045700000002</v>
      </c>
      <c r="AQ15" s="311">
        <f>'S23 Available Working Hours'!$D$2</f>
        <v>1600</v>
      </c>
      <c r="AR15" s="323" cm="1">
        <f t="array" ref="AR15">IFERROR(_xlfn.IFS(A15="WS-43", 2, A15="WS-44", 2), AP15/AQ15)</f>
        <v>1.2353778562500002</v>
      </c>
    </row>
    <row r="16" spans="1:44">
      <c r="A16" s="313" t="str">
        <f>'S24 Required # of Machines'!A15</f>
        <v>WS-27</v>
      </c>
      <c r="B16" s="10">
        <v>40</v>
      </c>
      <c r="C16" s="3" t="s">
        <v>988</v>
      </c>
      <c r="D16" s="3">
        <f t="shared" si="0"/>
        <v>8</v>
      </c>
      <c r="E16" s="305">
        <f>VLOOKUP(B16, 'S32 MTM Motion Elements'!$A$5:$H$25, MATCH(C16, 'S32 MTM Motion Elements'!$A$4:$F$4, 0), 1)</f>
        <v>14.4</v>
      </c>
      <c r="F16" s="312" t="s">
        <v>1153</v>
      </c>
      <c r="G16" s="3">
        <f t="shared" si="1"/>
        <v>8</v>
      </c>
      <c r="H16" s="307">
        <f>VLOOKUP(F16, 'S32 MTM Motion Elements'!$B$30:$C$40, 2, 0)</f>
        <v>7.3</v>
      </c>
      <c r="I16" s="10">
        <v>34</v>
      </c>
      <c r="J16" s="3" t="s">
        <v>991</v>
      </c>
      <c r="K16" s="3">
        <f t="shared" si="2"/>
        <v>16</v>
      </c>
      <c r="L16" s="305">
        <f>VLOOKUP(I16, 'S32 MTM Motion Elements'!$A$46:$G$66, MATCH(J16, 'S32 MTM Motion Elements'!$A$45:$D$45, 0), 1)</f>
        <v>15.2</v>
      </c>
      <c r="M16" s="10" t="s">
        <v>1144</v>
      </c>
      <c r="N16" s="3" t="s">
        <v>1145</v>
      </c>
      <c r="O16" s="3" t="s">
        <v>1141</v>
      </c>
      <c r="P16" s="3">
        <v>8</v>
      </c>
      <c r="Q16" s="305" cm="1">
        <f t="array" ref="Q16">IF(O16="Easy", VLOOKUP(M16&amp;"-"&amp;N16, CHOOSE({1,2}, 'S32 MTM Motion Elements'!$B$71:$B$79&amp;"-"&amp;'S32 MTM Motion Elements'!$C$71:$C$79, 'S32 MTM Motion Elements'!$D$71:$D$79), 2, 0), VLOOKUP(M16&amp;"-"&amp;N16, CHOOSE({1,2}, 'S32 MTM Motion Elements'!$B$71:$B$79&amp;"-"&amp;'S32 MTM Motion Elements'!$C$71:$C$79, 'S32 MTM Motion Elements'!$E$71:$E$79), 2, 0))</f>
        <v>16.2</v>
      </c>
      <c r="R16" s="10" t="s">
        <v>1161</v>
      </c>
      <c r="S16" s="3">
        <f t="shared" si="3"/>
        <v>8</v>
      </c>
      <c r="T16" s="305">
        <f>VLOOKUP(R16, 'S32 MTM Motion Elements'!$A$84:$B$88, 2, 0)</f>
        <v>16.2</v>
      </c>
      <c r="U16" s="10" t="s">
        <v>1155</v>
      </c>
      <c r="V16" s="3" t="s">
        <v>1156</v>
      </c>
      <c r="W16" s="3">
        <f t="shared" si="4"/>
        <v>24</v>
      </c>
      <c r="X16" s="305">
        <f>VLOOKUP(U16, 'S32 MTM Motion Elements'!$A$93:$L$95, MATCH(V16, 'S32 MTM Motion Elements'!$A$92:$L$92, 0), 0)</f>
        <v>16.2</v>
      </c>
      <c r="Y16" s="10">
        <v>1</v>
      </c>
      <c r="Z16" s="3">
        <v>6</v>
      </c>
      <c r="AA16" s="305">
        <f>VLOOKUP(Y16, 'S32 MTM Motion Elements'!$A$100:$B$101, 2, 0)</f>
        <v>2</v>
      </c>
      <c r="AB16" s="10" t="s">
        <v>1149</v>
      </c>
      <c r="AC16" s="3" t="s">
        <v>1146</v>
      </c>
      <c r="AD16" s="43">
        <f t="shared" si="5"/>
        <v>8</v>
      </c>
      <c r="AE16" s="307">
        <f>VLOOKUP(AB16, 'S32 MTM Motion Elements'!$B$106:$E$108, IF(AC16="Easy", 3, 4), 0)</f>
        <v>34.700000000000003</v>
      </c>
      <c r="AF16" s="304">
        <f t="shared" si="6"/>
        <v>1354.4</v>
      </c>
      <c r="AG16" s="305">
        <f>AF16*'S32 MTM Motion Elements'!$C$118</f>
        <v>48.758400000000002</v>
      </c>
      <c r="AH16" s="316">
        <f>SUMIFS('S22 Required Machine Hours'!$C$2:$C$118, 'S22 Required Machine Hours'!$A$2:$A$118, A16)</f>
        <v>176193</v>
      </c>
      <c r="AI16" s="308">
        <f t="shared" si="7"/>
        <v>8590888.7711999994</v>
      </c>
      <c r="AJ16" s="307">
        <f t="shared" si="8"/>
        <v>2386.3579919999997</v>
      </c>
      <c r="AK16" s="318">
        <f>HLOOKUP(A16, 'S22 Required Machine Hours'!$S$37:$AR$38, 2, 0)</f>
        <v>639</v>
      </c>
      <c r="AL16" s="309">
        <f>VLOOKUP(A16, 'S11 Work Stations'!$A$2:$C$45, 3, 0)*60</f>
        <v>1800</v>
      </c>
      <c r="AM16" s="309">
        <f t="shared" si="9"/>
        <v>1150200</v>
      </c>
      <c r="AN16" s="320">
        <f t="shared" si="10"/>
        <v>319.5</v>
      </c>
      <c r="AO16" s="310">
        <f t="shared" si="11"/>
        <v>596.58949799999994</v>
      </c>
      <c r="AP16" s="322">
        <f t="shared" si="12"/>
        <v>3302.4474899999996</v>
      </c>
      <c r="AQ16" s="311">
        <f>'S23 Available Working Hours'!$D$2</f>
        <v>1600</v>
      </c>
      <c r="AR16" s="323" cm="1">
        <f t="array" ref="AR16">IFERROR(_xlfn.IFS(A16="WS-43", 2, A16="WS-44", 2), AP16/AQ16)</f>
        <v>2.0640296812499996</v>
      </c>
    </row>
    <row r="17" spans="1:44">
      <c r="A17" s="313" t="str">
        <f>'S24 Required # of Machines'!A16</f>
        <v>WS-28</v>
      </c>
      <c r="B17" s="10">
        <v>35</v>
      </c>
      <c r="C17" s="3" t="s">
        <v>994</v>
      </c>
      <c r="D17" s="3">
        <f t="shared" si="0"/>
        <v>8</v>
      </c>
      <c r="E17" s="305">
        <f>VLOOKUP(B17, 'S32 MTM Motion Elements'!$A$5:$H$25, MATCH(C17, 'S32 MTM Motion Elements'!$A$4:$F$4, 0), 1)</f>
        <v>14.2</v>
      </c>
      <c r="F17" s="312" t="s">
        <v>1157</v>
      </c>
      <c r="G17" s="3">
        <f t="shared" si="1"/>
        <v>8</v>
      </c>
      <c r="H17" s="307">
        <f>VLOOKUP(F17, 'S32 MTM Motion Elements'!$B$30:$C$40, 2, 0)</f>
        <v>9.1</v>
      </c>
      <c r="I17" s="10">
        <v>23</v>
      </c>
      <c r="J17" s="3" t="s">
        <v>991</v>
      </c>
      <c r="K17" s="3">
        <f t="shared" si="2"/>
        <v>16</v>
      </c>
      <c r="L17" s="305">
        <f>VLOOKUP(I17, 'S32 MTM Motion Elements'!$A$46:$G$66, MATCH(J17, 'S32 MTM Motion Elements'!$A$45:$D$45, 0), 1)</f>
        <v>12.7</v>
      </c>
      <c r="M17" s="10" t="s">
        <v>1139</v>
      </c>
      <c r="N17" s="3" t="s">
        <v>1140</v>
      </c>
      <c r="O17" s="3" t="s">
        <v>1146</v>
      </c>
      <c r="P17" s="3">
        <v>8</v>
      </c>
      <c r="Q17" s="305" cm="1">
        <f t="array" ref="Q17">IF(O17="Easy", VLOOKUP(M17&amp;"-"&amp;N17, CHOOSE({1,2}, 'S32 MTM Motion Elements'!$B$71:$B$79&amp;"-"&amp;'S32 MTM Motion Elements'!$C$71:$C$79, 'S32 MTM Motion Elements'!$D$71:$D$79), 2, 0), VLOOKUP(M17&amp;"-"&amp;N17, CHOOSE({1,2}, 'S32 MTM Motion Elements'!$B$71:$B$79&amp;"-"&amp;'S32 MTM Motion Elements'!$C$71:$C$79, 'S32 MTM Motion Elements'!$E$71:$E$79), 2, 0))</f>
        <v>16</v>
      </c>
      <c r="R17" s="10" t="s">
        <v>1161</v>
      </c>
      <c r="S17" s="3">
        <f t="shared" si="3"/>
        <v>8</v>
      </c>
      <c r="T17" s="305">
        <f>VLOOKUP(R17, 'S32 MTM Motion Elements'!$A$84:$B$88, 2, 0)</f>
        <v>16.2</v>
      </c>
      <c r="U17" s="10" t="s">
        <v>1155</v>
      </c>
      <c r="V17" s="3" t="s">
        <v>1152</v>
      </c>
      <c r="W17" s="3">
        <f t="shared" si="4"/>
        <v>24</v>
      </c>
      <c r="X17" s="305">
        <f>VLOOKUP(U17, 'S32 MTM Motion Elements'!$A$93:$L$95, MATCH(V17, 'S32 MTM Motion Elements'!$A$92:$L$92, 0), 0)</f>
        <v>20.399999999999999</v>
      </c>
      <c r="Y17" s="10">
        <v>1</v>
      </c>
      <c r="Z17" s="3">
        <v>6</v>
      </c>
      <c r="AA17" s="305">
        <f>VLOOKUP(Y17, 'S32 MTM Motion Elements'!$A$100:$B$101, 2, 0)</f>
        <v>2</v>
      </c>
      <c r="AB17" s="10" t="s">
        <v>1149</v>
      </c>
      <c r="AC17" s="3" t="s">
        <v>1146</v>
      </c>
      <c r="AD17" s="43">
        <f t="shared" si="5"/>
        <v>8</v>
      </c>
      <c r="AE17" s="307">
        <f>VLOOKUP(AB17, 'S32 MTM Motion Elements'!$B$106:$E$108, IF(AC17="Easy", 3, 4), 0)</f>
        <v>34.700000000000003</v>
      </c>
      <c r="AF17" s="304">
        <f t="shared" si="6"/>
        <v>1426.4</v>
      </c>
      <c r="AG17" s="305">
        <f>AF17*'S32 MTM Motion Elements'!$C$118</f>
        <v>51.3504</v>
      </c>
      <c r="AH17" s="316">
        <f>SUMIFS('S22 Required Machine Hours'!$C$2:$C$118, 'S22 Required Machine Hours'!$A$2:$A$118, A17)</f>
        <v>176193</v>
      </c>
      <c r="AI17" s="308">
        <f t="shared" si="7"/>
        <v>9047581.0272000004</v>
      </c>
      <c r="AJ17" s="307">
        <f t="shared" si="8"/>
        <v>2513.2169520000002</v>
      </c>
      <c r="AK17" s="318">
        <f>HLOOKUP(A17, 'S22 Required Machine Hours'!$S$37:$AR$38, 2, 0)</f>
        <v>639</v>
      </c>
      <c r="AL17" s="309">
        <f>VLOOKUP(A17, 'S11 Work Stations'!$A$2:$C$45, 3, 0)*60</f>
        <v>1800</v>
      </c>
      <c r="AM17" s="309">
        <f t="shared" si="9"/>
        <v>1150200</v>
      </c>
      <c r="AN17" s="320">
        <f t="shared" si="10"/>
        <v>319.5</v>
      </c>
      <c r="AO17" s="310">
        <f t="shared" si="11"/>
        <v>628.30423800000005</v>
      </c>
      <c r="AP17" s="322">
        <f t="shared" si="12"/>
        <v>3461.0211900000004</v>
      </c>
      <c r="AQ17" s="311">
        <f>'S23 Available Working Hours'!$D$2</f>
        <v>1600</v>
      </c>
      <c r="AR17" s="323" cm="1">
        <f t="array" ref="AR17">IFERROR(_xlfn.IFS(A17="WS-43", 2, A17="WS-44", 2), AP17/AQ17)</f>
        <v>2.1631382437500002</v>
      </c>
    </row>
    <row r="18" spans="1:44">
      <c r="A18" s="313" t="str">
        <f>'S24 Required # of Machines'!A17</f>
        <v>WS-29</v>
      </c>
      <c r="B18" s="10">
        <v>35</v>
      </c>
      <c r="C18" s="3" t="s">
        <v>981</v>
      </c>
      <c r="D18" s="3">
        <f t="shared" si="0"/>
        <v>8</v>
      </c>
      <c r="E18" s="305">
        <f>VLOOKUP(B18, 'S32 MTM Motion Elements'!$A$5:$H$25, MATCH(C18, 'S32 MTM Motion Elements'!$A$4:$F$4, 0), 1)</f>
        <v>9.6</v>
      </c>
      <c r="F18" s="312" t="s">
        <v>1165</v>
      </c>
      <c r="G18" s="3">
        <f t="shared" si="1"/>
        <v>8</v>
      </c>
      <c r="H18" s="307">
        <f>VLOOKUP(F18, 'S32 MTM Motion Elements'!$B$30:$C$40, 2, 0)</f>
        <v>12.9</v>
      </c>
      <c r="I18" s="10">
        <v>34</v>
      </c>
      <c r="J18" s="3" t="s">
        <v>991</v>
      </c>
      <c r="K18" s="3">
        <f t="shared" si="2"/>
        <v>16</v>
      </c>
      <c r="L18" s="305">
        <f>VLOOKUP(I18, 'S32 MTM Motion Elements'!$A$46:$G$66, MATCH(J18, 'S32 MTM Motion Elements'!$A$45:$D$45, 0), 1)</f>
        <v>15.2</v>
      </c>
      <c r="M18" s="10" t="s">
        <v>1144</v>
      </c>
      <c r="N18" s="3" t="s">
        <v>1145</v>
      </c>
      <c r="O18" s="3" t="s">
        <v>1141</v>
      </c>
      <c r="P18" s="3">
        <v>8</v>
      </c>
      <c r="Q18" s="305" cm="1">
        <f t="array" ref="Q18">IF(O18="Easy", VLOOKUP(M18&amp;"-"&amp;N18, CHOOSE({1,2}, 'S32 MTM Motion Elements'!$B$71:$B$79&amp;"-"&amp;'S32 MTM Motion Elements'!$C$71:$C$79, 'S32 MTM Motion Elements'!$D$71:$D$79), 2, 0), VLOOKUP(M18&amp;"-"&amp;N18, CHOOSE({1,2}, 'S32 MTM Motion Elements'!$B$71:$B$79&amp;"-"&amp;'S32 MTM Motion Elements'!$C$71:$C$79, 'S32 MTM Motion Elements'!$E$71:$E$79), 2, 0))</f>
        <v>16.2</v>
      </c>
      <c r="R18" s="10" t="s">
        <v>1160</v>
      </c>
      <c r="S18" s="3">
        <f t="shared" si="3"/>
        <v>8</v>
      </c>
      <c r="T18" s="305">
        <f>VLOOKUP(R18, 'S32 MTM Motion Elements'!$A$84:$B$88, 2, 0)</f>
        <v>10.6</v>
      </c>
      <c r="U18" s="10" t="s">
        <v>1142</v>
      </c>
      <c r="V18" s="3" t="s">
        <v>1156</v>
      </c>
      <c r="W18" s="3">
        <f t="shared" si="4"/>
        <v>24</v>
      </c>
      <c r="X18" s="305">
        <f>VLOOKUP(U18, 'S32 MTM Motion Elements'!$A$93:$L$95, MATCH(V18, 'S32 MTM Motion Elements'!$A$92:$L$92, 0), 0)</f>
        <v>5.4</v>
      </c>
      <c r="Y18" s="10">
        <v>1</v>
      </c>
      <c r="Z18" s="3">
        <v>6</v>
      </c>
      <c r="AA18" s="305">
        <f>VLOOKUP(Y18, 'S32 MTM Motion Elements'!$A$100:$B$101, 2, 0)</f>
        <v>2</v>
      </c>
      <c r="AB18" s="10" t="s">
        <v>1149</v>
      </c>
      <c r="AC18" s="3" t="s">
        <v>1146</v>
      </c>
      <c r="AD18" s="43">
        <f t="shared" si="5"/>
        <v>8</v>
      </c>
      <c r="AE18" s="307">
        <f>VLOOKUP(AB18, 'S32 MTM Motion Elements'!$B$106:$E$108, IF(AC18="Easy", 3, 4), 0)</f>
        <v>34.700000000000003</v>
      </c>
      <c r="AF18" s="304">
        <f t="shared" si="6"/>
        <v>1056.8</v>
      </c>
      <c r="AG18" s="305">
        <f>AF18*'S32 MTM Motion Elements'!$C$118</f>
        <v>38.044799999999995</v>
      </c>
      <c r="AH18" s="316">
        <f>SUMIFS('S22 Required Machine Hours'!$C$2:$C$118, 'S22 Required Machine Hours'!$A$2:$A$118, A18)</f>
        <v>301684</v>
      </c>
      <c r="AI18" s="308">
        <f t="shared" si="7"/>
        <v>11477507.443199998</v>
      </c>
      <c r="AJ18" s="307">
        <f t="shared" si="8"/>
        <v>3188.1965119999995</v>
      </c>
      <c r="AK18" s="318">
        <f>HLOOKUP(A18, 'S22 Required Machine Hours'!$S$37:$AR$38, 2, 0)</f>
        <v>258</v>
      </c>
      <c r="AL18" s="309">
        <f>VLOOKUP(A18, 'S11 Work Stations'!$A$2:$C$45, 3, 0)*60</f>
        <v>1200</v>
      </c>
      <c r="AM18" s="309">
        <f t="shared" si="9"/>
        <v>309600</v>
      </c>
      <c r="AN18" s="320">
        <f t="shared" si="10"/>
        <v>86</v>
      </c>
      <c r="AO18" s="310">
        <f t="shared" si="11"/>
        <v>797.04912799999988</v>
      </c>
      <c r="AP18" s="322">
        <f t="shared" si="12"/>
        <v>4071.2456399999992</v>
      </c>
      <c r="AQ18" s="311">
        <f>'S23 Available Working Hours'!$D$2</f>
        <v>1600</v>
      </c>
      <c r="AR18" s="323" cm="1">
        <f t="array" ref="AR18">IFERROR(_xlfn.IFS(A18="WS-43", 2, A18="WS-44", 2), AP18/AQ18)</f>
        <v>2.5445285249999996</v>
      </c>
    </row>
    <row r="19" spans="1:44">
      <c r="A19" s="313" t="str">
        <f>'S24 Required # of Machines'!A18</f>
        <v>WS-31</v>
      </c>
      <c r="B19" s="10">
        <v>35</v>
      </c>
      <c r="C19" s="3" t="s">
        <v>994</v>
      </c>
      <c r="D19" s="3">
        <f t="shared" si="0"/>
        <v>8</v>
      </c>
      <c r="E19" s="305">
        <f>VLOOKUP(B19, 'S32 MTM Motion Elements'!$A$5:$H$25, MATCH(C19, 'S32 MTM Motion Elements'!$A$4:$F$4, 0), 1)</f>
        <v>14.2</v>
      </c>
      <c r="F19" s="312" t="s">
        <v>1153</v>
      </c>
      <c r="G19" s="3">
        <f t="shared" si="1"/>
        <v>8</v>
      </c>
      <c r="H19" s="307">
        <f>VLOOKUP(F19, 'S32 MTM Motion Elements'!$B$30:$C$40, 2, 0)</f>
        <v>7.3</v>
      </c>
      <c r="I19" s="10">
        <v>42</v>
      </c>
      <c r="J19" s="3" t="s">
        <v>991</v>
      </c>
      <c r="K19" s="3">
        <f t="shared" si="2"/>
        <v>16</v>
      </c>
      <c r="L19" s="305">
        <f>VLOOKUP(I19, 'S32 MTM Motion Elements'!$A$46:$G$66, MATCH(J19, 'S32 MTM Motion Elements'!$A$45:$D$45, 0), 1)</f>
        <v>18.7</v>
      </c>
      <c r="M19" s="10" t="s">
        <v>1144</v>
      </c>
      <c r="N19" s="3" t="s">
        <v>1145</v>
      </c>
      <c r="O19" s="3" t="s">
        <v>1146</v>
      </c>
      <c r="P19" s="3">
        <v>8</v>
      </c>
      <c r="Q19" s="305" cm="1">
        <f t="array" ref="Q19">IF(O19="Easy", VLOOKUP(M19&amp;"-"&amp;N19, CHOOSE({1,2}, 'S32 MTM Motion Elements'!$B$71:$B$79&amp;"-"&amp;'S32 MTM Motion Elements'!$C$71:$C$79, 'S32 MTM Motion Elements'!$D$71:$D$79), 2, 0), VLOOKUP(M19&amp;"-"&amp;N19, CHOOSE({1,2}, 'S32 MTM Motion Elements'!$B$71:$B$79&amp;"-"&amp;'S32 MTM Motion Elements'!$C$71:$C$79, 'S32 MTM Motion Elements'!$E$71:$E$79), 2, 0))</f>
        <v>21.8</v>
      </c>
      <c r="R19" s="10" t="s">
        <v>1161</v>
      </c>
      <c r="S19" s="3">
        <f t="shared" si="3"/>
        <v>8</v>
      </c>
      <c r="T19" s="305">
        <f>VLOOKUP(R19, 'S32 MTM Motion Elements'!$A$84:$B$88, 2, 0)</f>
        <v>16.2</v>
      </c>
      <c r="U19" s="10" t="s">
        <v>1147</v>
      </c>
      <c r="V19" s="3" t="s">
        <v>1148</v>
      </c>
      <c r="W19" s="3">
        <f t="shared" si="4"/>
        <v>24</v>
      </c>
      <c r="X19" s="305">
        <f>VLOOKUP(U19, 'S32 MTM Motion Elements'!$A$93:$L$95, MATCH(V19, 'S32 MTM Motion Elements'!$A$92:$L$92, 0), 0)</f>
        <v>6.5</v>
      </c>
      <c r="Y19" s="10">
        <v>1</v>
      </c>
      <c r="Z19" s="3">
        <v>6</v>
      </c>
      <c r="AA19" s="305">
        <f>VLOOKUP(Y19, 'S32 MTM Motion Elements'!$A$100:$B$101, 2, 0)</f>
        <v>2</v>
      </c>
      <c r="AB19" s="10" t="s">
        <v>1149</v>
      </c>
      <c r="AC19" s="3" t="s">
        <v>1146</v>
      </c>
      <c r="AD19" s="43">
        <f t="shared" si="5"/>
        <v>8</v>
      </c>
      <c r="AE19" s="307">
        <f>VLOOKUP(AB19, 'S32 MTM Motion Elements'!$B$106:$E$108, IF(AC19="Easy", 3, 4), 0)</f>
        <v>34.700000000000003</v>
      </c>
      <c r="AF19" s="304">
        <f t="shared" si="6"/>
        <v>1220.8000000000002</v>
      </c>
      <c r="AG19" s="305">
        <f>AF19*'S32 MTM Motion Elements'!$C$118</f>
        <v>43.948800000000006</v>
      </c>
      <c r="AH19" s="316">
        <f>SUMIFS('S22 Required Machine Hours'!$C$2:$C$118, 'S22 Required Machine Hours'!$A$2:$A$118, A19)</f>
        <v>141224</v>
      </c>
      <c r="AI19" s="308">
        <f t="shared" si="7"/>
        <v>6206625.3312000008</v>
      </c>
      <c r="AJ19" s="307">
        <f t="shared" si="8"/>
        <v>1724.0625920000002</v>
      </c>
      <c r="AK19" s="318">
        <f>HLOOKUP(A19, 'S22 Required Machine Hours'!$S$37:$AR$38, 2, 0)</f>
        <v>274</v>
      </c>
      <c r="AL19" s="309">
        <f>VLOOKUP(A19, 'S11 Work Stations'!$A$2:$C$45, 3, 0)*60</f>
        <v>1800</v>
      </c>
      <c r="AM19" s="309">
        <f t="shared" si="9"/>
        <v>493200</v>
      </c>
      <c r="AN19" s="320">
        <f t="shared" si="10"/>
        <v>137</v>
      </c>
      <c r="AO19" s="310">
        <f t="shared" si="11"/>
        <v>431.01564800000006</v>
      </c>
      <c r="AP19" s="322">
        <f t="shared" si="12"/>
        <v>2292.0782400000003</v>
      </c>
      <c r="AQ19" s="311">
        <f>'S23 Available Working Hours'!$D$2</f>
        <v>1600</v>
      </c>
      <c r="AR19" s="323" cm="1">
        <f t="array" ref="AR19">IFERROR(_xlfn.IFS(A19="WS-43", 2, A19="WS-44", 2), AP19/AQ19)</f>
        <v>1.4325489000000002</v>
      </c>
    </row>
    <row r="20" spans="1:44">
      <c r="A20" s="313" t="str">
        <f>'S24 Required # of Machines'!A19</f>
        <v>WS-32</v>
      </c>
      <c r="B20" s="10">
        <v>40</v>
      </c>
      <c r="C20" s="3" t="s">
        <v>981</v>
      </c>
      <c r="D20" s="3">
        <f t="shared" si="0"/>
        <v>8</v>
      </c>
      <c r="E20" s="305">
        <f>VLOOKUP(B20, 'S32 MTM Motion Elements'!$A$5:$H$25, MATCH(C20, 'S32 MTM Motion Elements'!$A$4:$F$4, 0), 1)</f>
        <v>10.5</v>
      </c>
      <c r="F20" s="312" t="s">
        <v>1138</v>
      </c>
      <c r="G20" s="3">
        <f t="shared" si="1"/>
        <v>8</v>
      </c>
      <c r="H20" s="307">
        <f>VLOOKUP(F20, 'S32 MTM Motion Elements'!$B$30:$C$40, 2, 0)</f>
        <v>2</v>
      </c>
      <c r="I20" s="10">
        <v>58</v>
      </c>
      <c r="J20" s="3" t="s">
        <v>991</v>
      </c>
      <c r="K20" s="3">
        <f t="shared" si="2"/>
        <v>16</v>
      </c>
      <c r="L20" s="305">
        <f>VLOOKUP(I20, 'S32 MTM Motion Elements'!$A$46:$G$66, MATCH(J20, 'S32 MTM Motion Elements'!$A$45:$D$45, 0), 1)</f>
        <v>23.8</v>
      </c>
      <c r="M20" s="10" t="s">
        <v>1158</v>
      </c>
      <c r="N20" s="3" t="s">
        <v>1159</v>
      </c>
      <c r="O20" s="3" t="s">
        <v>1141</v>
      </c>
      <c r="P20" s="3">
        <v>8</v>
      </c>
      <c r="Q20" s="305" cm="1">
        <f t="array" ref="Q20">IF(O20="Easy", VLOOKUP(M20&amp;"-"&amp;N20, CHOOSE({1,2}, 'S32 MTM Motion Elements'!$B$71:$B$79&amp;"-"&amp;'S32 MTM Motion Elements'!$C$71:$C$79, 'S32 MTM Motion Elements'!$D$71:$D$79), 2, 0), VLOOKUP(M20&amp;"-"&amp;N20, CHOOSE({1,2}, 'S32 MTM Motion Elements'!$B$71:$B$79&amp;"-"&amp;'S32 MTM Motion Elements'!$C$71:$C$79, 'S32 MTM Motion Elements'!$E$71:$E$79), 2, 0))</f>
        <v>46.5</v>
      </c>
      <c r="R20" s="10" t="s">
        <v>1161</v>
      </c>
      <c r="S20" s="3">
        <f t="shared" si="3"/>
        <v>8</v>
      </c>
      <c r="T20" s="305">
        <f>VLOOKUP(R20, 'S32 MTM Motion Elements'!$A$84:$B$88, 2, 0)</f>
        <v>16.2</v>
      </c>
      <c r="U20" s="10" t="s">
        <v>1142</v>
      </c>
      <c r="V20" s="3" t="s">
        <v>1156</v>
      </c>
      <c r="W20" s="3">
        <f t="shared" si="4"/>
        <v>24</v>
      </c>
      <c r="X20" s="305">
        <f>VLOOKUP(U20, 'S32 MTM Motion Elements'!$A$93:$L$95, MATCH(V20, 'S32 MTM Motion Elements'!$A$92:$L$92, 0), 0)</f>
        <v>5.4</v>
      </c>
      <c r="Y20" s="10">
        <v>1</v>
      </c>
      <c r="Z20" s="3">
        <v>6</v>
      </c>
      <c r="AA20" s="305">
        <f>VLOOKUP(Y20, 'S32 MTM Motion Elements'!$A$100:$B$101, 2, 0)</f>
        <v>2</v>
      </c>
      <c r="AB20" s="10" t="s">
        <v>1149</v>
      </c>
      <c r="AC20" s="3" t="s">
        <v>1146</v>
      </c>
      <c r="AD20" s="43">
        <f t="shared" si="5"/>
        <v>8</v>
      </c>
      <c r="AE20" s="307">
        <f>VLOOKUP(AB20, 'S32 MTM Motion Elements'!$B$106:$E$108, IF(AC20="Easy", 3, 4), 0)</f>
        <v>34.700000000000003</v>
      </c>
      <c r="AF20" s="304">
        <f t="shared" si="6"/>
        <v>1401.6</v>
      </c>
      <c r="AG20" s="305">
        <f>AF20*'S32 MTM Motion Elements'!$C$118</f>
        <v>50.457599999999992</v>
      </c>
      <c r="AH20" s="316">
        <f>SUMIFS('S22 Required Machine Hours'!$C$2:$C$118, 'S22 Required Machine Hours'!$A$2:$A$118, A20)</f>
        <v>453718</v>
      </c>
      <c r="AI20" s="308">
        <f t="shared" si="7"/>
        <v>22893521.356799997</v>
      </c>
      <c r="AJ20" s="307">
        <f t="shared" si="8"/>
        <v>6359.3114879999994</v>
      </c>
      <c r="AK20" s="318">
        <f>HLOOKUP(A20, 'S22 Required Machine Hours'!$S$37:$AR$38, 2, 0)</f>
        <v>2029</v>
      </c>
      <c r="AL20" s="309">
        <f>VLOOKUP(A20, 'S11 Work Stations'!$A$2:$C$45, 3, 0)*60</f>
        <v>2400</v>
      </c>
      <c r="AM20" s="309">
        <f t="shared" si="9"/>
        <v>4869600</v>
      </c>
      <c r="AN20" s="320">
        <f t="shared" si="10"/>
        <v>1352.6666666666667</v>
      </c>
      <c r="AO20" s="310">
        <f t="shared" si="11"/>
        <v>1589.8278719999998</v>
      </c>
      <c r="AP20" s="322">
        <f t="shared" si="12"/>
        <v>9301.8060266666653</v>
      </c>
      <c r="AQ20" s="311">
        <f>'S23 Available Working Hours'!$D$2</f>
        <v>1600</v>
      </c>
      <c r="AR20" s="323" cm="1">
        <f t="array" ref="AR20">IFERROR(_xlfn.IFS(A20="WS-43", 2, A20="WS-44", 2), AP20/AQ20)</f>
        <v>5.8136287666666657</v>
      </c>
    </row>
    <row r="21" spans="1:44">
      <c r="A21" s="313" t="str">
        <f>'S24 Required # of Machines'!A20</f>
        <v>WS-33</v>
      </c>
      <c r="B21" s="10">
        <v>45</v>
      </c>
      <c r="C21" s="3" t="s">
        <v>994</v>
      </c>
      <c r="D21" s="3">
        <f t="shared" si="0"/>
        <v>8</v>
      </c>
      <c r="E21" s="305">
        <f>VLOOKUP(B21, 'S32 MTM Motion Elements'!$A$5:$H$25, MATCH(C21, 'S32 MTM Motion Elements'!$A$4:$F$4, 0), 1)</f>
        <v>17</v>
      </c>
      <c r="F21" s="312" t="s">
        <v>1163</v>
      </c>
      <c r="G21" s="3">
        <f t="shared" si="1"/>
        <v>8</v>
      </c>
      <c r="H21" s="307">
        <f>VLOOKUP(F21, 'S32 MTM Motion Elements'!$B$30:$C$40, 2, 0)</f>
        <v>8.6999999999999993</v>
      </c>
      <c r="I21" s="10">
        <v>41</v>
      </c>
      <c r="J21" s="3" t="s">
        <v>991</v>
      </c>
      <c r="K21" s="3">
        <f t="shared" si="2"/>
        <v>16</v>
      </c>
      <c r="L21" s="305">
        <f>VLOOKUP(I21, 'S32 MTM Motion Elements'!$A$46:$G$66, MATCH(J21, 'S32 MTM Motion Elements'!$A$45:$D$45, 0), 1)</f>
        <v>18.7</v>
      </c>
      <c r="M21" s="10" t="s">
        <v>1144</v>
      </c>
      <c r="N21" s="3" t="s">
        <v>1145</v>
      </c>
      <c r="O21" s="3" t="s">
        <v>1146</v>
      </c>
      <c r="P21" s="3">
        <v>8</v>
      </c>
      <c r="Q21" s="305" cm="1">
        <f t="array" ref="Q21">IF(O21="Easy", VLOOKUP(M21&amp;"-"&amp;N21, CHOOSE({1,2}, 'S32 MTM Motion Elements'!$B$71:$B$79&amp;"-"&amp;'S32 MTM Motion Elements'!$C$71:$C$79, 'S32 MTM Motion Elements'!$D$71:$D$79), 2, 0), VLOOKUP(M21&amp;"-"&amp;N21, CHOOSE({1,2}, 'S32 MTM Motion Elements'!$B$71:$B$79&amp;"-"&amp;'S32 MTM Motion Elements'!$C$71:$C$79, 'S32 MTM Motion Elements'!$E$71:$E$79), 2, 0))</f>
        <v>21.8</v>
      </c>
      <c r="R21" s="10" t="s">
        <v>1160</v>
      </c>
      <c r="S21" s="3">
        <f t="shared" si="3"/>
        <v>8</v>
      </c>
      <c r="T21" s="305">
        <f>VLOOKUP(R21, 'S32 MTM Motion Elements'!$A$84:$B$88, 2, 0)</f>
        <v>10.6</v>
      </c>
      <c r="U21" s="10" t="s">
        <v>1155</v>
      </c>
      <c r="V21" s="3" t="s">
        <v>1152</v>
      </c>
      <c r="W21" s="3">
        <f t="shared" si="4"/>
        <v>24</v>
      </c>
      <c r="X21" s="305">
        <f>VLOOKUP(U21, 'S32 MTM Motion Elements'!$A$93:$L$95, MATCH(V21, 'S32 MTM Motion Elements'!$A$92:$L$92, 0), 0)</f>
        <v>20.399999999999999</v>
      </c>
      <c r="Y21" s="10">
        <v>1</v>
      </c>
      <c r="Z21" s="3">
        <v>6</v>
      </c>
      <c r="AA21" s="305">
        <f>VLOOKUP(Y21, 'S32 MTM Motion Elements'!$A$100:$B$101, 2, 0)</f>
        <v>2</v>
      </c>
      <c r="AB21" s="10" t="s">
        <v>1149</v>
      </c>
      <c r="AC21" s="3" t="s">
        <v>1146</v>
      </c>
      <c r="AD21" s="43">
        <f t="shared" si="5"/>
        <v>8</v>
      </c>
      <c r="AE21" s="307">
        <f>VLOOKUP(AB21, 'S32 MTM Motion Elements'!$B$106:$E$108, IF(AC21="Easy", 3, 4), 0)</f>
        <v>34.700000000000003</v>
      </c>
      <c r="AF21" s="304">
        <f t="shared" si="6"/>
        <v>1543.1999999999998</v>
      </c>
      <c r="AG21" s="305">
        <f>AF21*'S32 MTM Motion Elements'!$C$118</f>
        <v>55.555199999999992</v>
      </c>
      <c r="AH21" s="316">
        <f>SUMIFS('S22 Required Machine Hours'!$C$2:$C$118, 'S22 Required Machine Hours'!$A$2:$A$118, A21)</f>
        <v>301684</v>
      </c>
      <c r="AI21" s="308">
        <f t="shared" si="7"/>
        <v>16760114.956799997</v>
      </c>
      <c r="AJ21" s="307">
        <f t="shared" si="8"/>
        <v>4655.5874879999992</v>
      </c>
      <c r="AK21" s="318">
        <f>HLOOKUP(A21, 'S22 Required Machine Hours'!$S$37:$AR$38, 2, 0)</f>
        <v>258</v>
      </c>
      <c r="AL21" s="309">
        <f>VLOOKUP(A21, 'S11 Work Stations'!$A$2:$C$45, 3, 0)*60</f>
        <v>1800</v>
      </c>
      <c r="AM21" s="309">
        <f t="shared" si="9"/>
        <v>464400</v>
      </c>
      <c r="AN21" s="320">
        <f t="shared" si="10"/>
        <v>129</v>
      </c>
      <c r="AO21" s="310">
        <f t="shared" si="11"/>
        <v>1163.8968719999998</v>
      </c>
      <c r="AP21" s="322">
        <f t="shared" si="12"/>
        <v>5948.4843599999986</v>
      </c>
      <c r="AQ21" s="311">
        <f>'S23 Available Working Hours'!$D$2</f>
        <v>1600</v>
      </c>
      <c r="AR21" s="323" cm="1">
        <f t="array" ref="AR21">IFERROR(_xlfn.IFS(A21="WS-43", 2, A21="WS-44", 2), AP21/AQ21)</f>
        <v>3.717802724999999</v>
      </c>
    </row>
    <row r="22" spans="1:44">
      <c r="A22" s="313" t="str">
        <f>'S24 Required # of Machines'!A21</f>
        <v>WS-34</v>
      </c>
      <c r="B22" s="10">
        <v>35</v>
      </c>
      <c r="C22" s="3" t="s">
        <v>994</v>
      </c>
      <c r="D22" s="3">
        <f t="shared" si="0"/>
        <v>8</v>
      </c>
      <c r="E22" s="305">
        <f>VLOOKUP(B22, 'S32 MTM Motion Elements'!$A$5:$H$25, MATCH(C22, 'S32 MTM Motion Elements'!$A$4:$F$4, 0), 1)</f>
        <v>14.2</v>
      </c>
      <c r="F22" s="312" t="s">
        <v>1153</v>
      </c>
      <c r="G22" s="3">
        <f t="shared" si="1"/>
        <v>8</v>
      </c>
      <c r="H22" s="307">
        <f>VLOOKUP(F22, 'S32 MTM Motion Elements'!$B$30:$C$40, 2, 0)</f>
        <v>7.3</v>
      </c>
      <c r="I22" s="10">
        <v>42</v>
      </c>
      <c r="J22" s="3" t="s">
        <v>991</v>
      </c>
      <c r="K22" s="3">
        <f t="shared" si="2"/>
        <v>16</v>
      </c>
      <c r="L22" s="305">
        <f>VLOOKUP(I22, 'S32 MTM Motion Elements'!$A$46:$G$66, MATCH(J22, 'S32 MTM Motion Elements'!$A$45:$D$45, 0), 1)</f>
        <v>18.7</v>
      </c>
      <c r="M22" s="10" t="s">
        <v>1144</v>
      </c>
      <c r="N22" s="3" t="s">
        <v>1145</v>
      </c>
      <c r="O22" s="3" t="s">
        <v>1146</v>
      </c>
      <c r="P22" s="3">
        <v>8</v>
      </c>
      <c r="Q22" s="305" cm="1">
        <f t="array" ref="Q22">IF(O22="Easy", VLOOKUP(M22&amp;"-"&amp;N22, CHOOSE({1,2}, 'S32 MTM Motion Elements'!$B$71:$B$79&amp;"-"&amp;'S32 MTM Motion Elements'!$C$71:$C$79, 'S32 MTM Motion Elements'!$D$71:$D$79), 2, 0), VLOOKUP(M22&amp;"-"&amp;N22, CHOOSE({1,2}, 'S32 MTM Motion Elements'!$B$71:$B$79&amp;"-"&amp;'S32 MTM Motion Elements'!$C$71:$C$79, 'S32 MTM Motion Elements'!$E$71:$E$79), 2, 0))</f>
        <v>21.8</v>
      </c>
      <c r="R22" s="10" t="s">
        <v>1161</v>
      </c>
      <c r="S22" s="3">
        <f t="shared" si="3"/>
        <v>8</v>
      </c>
      <c r="T22" s="305">
        <f>VLOOKUP(R22, 'S32 MTM Motion Elements'!$A$84:$B$88, 2, 0)</f>
        <v>16.2</v>
      </c>
      <c r="U22" s="10" t="s">
        <v>1147</v>
      </c>
      <c r="V22" s="3" t="s">
        <v>1148</v>
      </c>
      <c r="W22" s="3">
        <f t="shared" si="4"/>
        <v>24</v>
      </c>
      <c r="X22" s="305">
        <f>VLOOKUP(U22, 'S32 MTM Motion Elements'!$A$93:$L$95, MATCH(V22, 'S32 MTM Motion Elements'!$A$92:$L$92, 0), 0)</f>
        <v>6.5</v>
      </c>
      <c r="Y22" s="10">
        <v>1</v>
      </c>
      <c r="Z22" s="3">
        <v>6</v>
      </c>
      <c r="AA22" s="305">
        <f>VLOOKUP(Y22, 'S32 MTM Motion Elements'!$A$100:$B$101, 2, 0)</f>
        <v>2</v>
      </c>
      <c r="AB22" s="10" t="s">
        <v>1149</v>
      </c>
      <c r="AC22" s="3" t="s">
        <v>1146</v>
      </c>
      <c r="AD22" s="43">
        <f t="shared" si="5"/>
        <v>8</v>
      </c>
      <c r="AE22" s="307">
        <f>VLOOKUP(AB22, 'S32 MTM Motion Elements'!$B$106:$E$108, IF(AC22="Easy", 3, 4), 0)</f>
        <v>34.700000000000003</v>
      </c>
      <c r="AF22" s="304">
        <f t="shared" si="6"/>
        <v>1220.8000000000002</v>
      </c>
      <c r="AG22" s="305">
        <f>AF22*'S32 MTM Motion Elements'!$C$118</f>
        <v>43.948800000000006</v>
      </c>
      <c r="AH22" s="316">
        <f>SUMIFS('S22 Required Machine Hours'!$C$2:$C$118, 'S22 Required Machine Hours'!$A$2:$A$118, A22)</f>
        <v>425244</v>
      </c>
      <c r="AI22" s="308">
        <f t="shared" si="7"/>
        <v>18688963.507200003</v>
      </c>
      <c r="AJ22" s="307">
        <f t="shared" si="8"/>
        <v>5191.3787520000005</v>
      </c>
      <c r="AK22" s="318">
        <f>HLOOKUP(A22, 'S22 Required Machine Hours'!$S$37:$AR$38, 2, 0)</f>
        <v>1052</v>
      </c>
      <c r="AL22" s="309">
        <f>VLOOKUP(A22, 'S11 Work Stations'!$A$2:$C$45, 3, 0)*60</f>
        <v>2100</v>
      </c>
      <c r="AM22" s="309">
        <f t="shared" si="9"/>
        <v>2209200</v>
      </c>
      <c r="AN22" s="320">
        <f t="shared" si="10"/>
        <v>613.66666666666663</v>
      </c>
      <c r="AO22" s="310">
        <f t="shared" si="11"/>
        <v>1297.8446880000001</v>
      </c>
      <c r="AP22" s="322">
        <f t="shared" si="12"/>
        <v>7102.8901066666676</v>
      </c>
      <c r="AQ22" s="311">
        <f>'S23 Available Working Hours'!$D$2</f>
        <v>1600</v>
      </c>
      <c r="AR22" s="323" cm="1">
        <f t="array" ref="AR22">IFERROR(_xlfn.IFS(A22="WS-43", 2, A22="WS-44", 2), AP22/AQ22)</f>
        <v>4.4393063166666673</v>
      </c>
    </row>
    <row r="23" spans="1:44">
      <c r="A23" s="313" t="str">
        <f>'S24 Required # of Machines'!A22</f>
        <v>WS-36</v>
      </c>
      <c r="B23" s="10">
        <v>25</v>
      </c>
      <c r="C23" s="3" t="s">
        <v>1020</v>
      </c>
      <c r="D23" s="3">
        <f t="shared" si="0"/>
        <v>8</v>
      </c>
      <c r="E23" s="305">
        <f>VLOOKUP(B23, 'S32 MTM Motion Elements'!$A$5:$H$25, MATCH(C23, 'S32 MTM Motion Elements'!$A$4:$F$4, 0), 1)</f>
        <v>9.9</v>
      </c>
      <c r="F23" s="312" t="s">
        <v>1163</v>
      </c>
      <c r="G23" s="3">
        <f t="shared" si="1"/>
        <v>8</v>
      </c>
      <c r="H23" s="307">
        <f>VLOOKUP(F23, 'S32 MTM Motion Elements'!$B$30:$C$40, 2, 0)</f>
        <v>8.6999999999999993</v>
      </c>
      <c r="I23" s="10">
        <v>56</v>
      </c>
      <c r="J23" s="3" t="s">
        <v>991</v>
      </c>
      <c r="K23" s="3">
        <f t="shared" si="2"/>
        <v>16</v>
      </c>
      <c r="L23" s="305">
        <f>VLOOKUP(I23, 'S32 MTM Motion Elements'!$A$46:$G$66, MATCH(J23, 'S32 MTM Motion Elements'!$A$45:$D$45, 0), 1)</f>
        <v>23.8</v>
      </c>
      <c r="M23" s="10" t="s">
        <v>1139</v>
      </c>
      <c r="N23" s="3" t="s">
        <v>1145</v>
      </c>
      <c r="O23" s="3" t="s">
        <v>1141</v>
      </c>
      <c r="P23" s="3">
        <v>8</v>
      </c>
      <c r="Q23" s="305" cm="1">
        <f t="array" ref="Q23">IF(O23="Easy", VLOOKUP(M23&amp;"-"&amp;N23, CHOOSE({1,2}, 'S32 MTM Motion Elements'!$B$71:$B$79&amp;"-"&amp;'S32 MTM Motion Elements'!$C$71:$C$79, 'S32 MTM Motion Elements'!$D$71:$D$79), 2, 0), VLOOKUP(M23&amp;"-"&amp;N23, CHOOSE({1,2}, 'S32 MTM Motion Elements'!$B$71:$B$79&amp;"-"&amp;'S32 MTM Motion Elements'!$C$71:$C$79, 'S32 MTM Motion Elements'!$E$71:$E$79), 2, 0))</f>
        <v>5.6</v>
      </c>
      <c r="R23" s="10" t="s">
        <v>1151</v>
      </c>
      <c r="S23" s="3">
        <f t="shared" si="3"/>
        <v>8</v>
      </c>
      <c r="T23" s="305">
        <f>VLOOKUP(R23, 'S32 MTM Motion Elements'!$A$84:$B$88, 2, 0)</f>
        <v>4.2</v>
      </c>
      <c r="U23" s="10" t="s">
        <v>1142</v>
      </c>
      <c r="V23" s="3" t="s">
        <v>1156</v>
      </c>
      <c r="W23" s="3">
        <f t="shared" ref="W23:W28" si="13">3*P23</f>
        <v>24</v>
      </c>
      <c r="X23" s="305">
        <f>VLOOKUP(U23, 'S32 MTM Motion Elements'!$A$93:$L$95, MATCH(V23, 'S32 MTM Motion Elements'!$A$92:$L$92, 0), 0)</f>
        <v>5.4</v>
      </c>
      <c r="Y23" s="10">
        <v>1</v>
      </c>
      <c r="Z23" s="3">
        <v>6</v>
      </c>
      <c r="AA23" s="305">
        <f>VLOOKUP(Y23, 'S32 MTM Motion Elements'!$A$100:$B$101, 2, 0)</f>
        <v>2</v>
      </c>
      <c r="AB23" s="10" t="s">
        <v>1144</v>
      </c>
      <c r="AC23" s="3" t="s">
        <v>1146</v>
      </c>
      <c r="AD23" s="43">
        <f t="shared" ref="AD23:AD28" si="14">P23</f>
        <v>8</v>
      </c>
      <c r="AE23" s="307">
        <f>VLOOKUP(AB23, 'S32 MTM Motion Elements'!$B$106:$E$108, IF(AC23="Easy", 3, 4), 0)</f>
        <v>11.8</v>
      </c>
      <c r="AF23" s="304">
        <f t="shared" si="6"/>
        <v>844</v>
      </c>
      <c r="AG23" s="305">
        <f>AF23*'S32 MTM Motion Elements'!$C$118</f>
        <v>30.383999999999997</v>
      </c>
      <c r="AH23" s="316">
        <f>SUMIFS('S22 Required Machine Hours'!$C$2:$C$118, 'S22 Required Machine Hours'!$A$2:$A$118, A23)</f>
        <v>425244</v>
      </c>
      <c r="AI23" s="308">
        <f t="shared" si="7"/>
        <v>12920613.695999999</v>
      </c>
      <c r="AJ23" s="307">
        <f t="shared" si="8"/>
        <v>3589.0593599999997</v>
      </c>
      <c r="AK23" s="318">
        <f>HLOOKUP(A23, 'S22 Required Machine Hours'!$S$37:$AR$38, 2, 0)</f>
        <v>1052</v>
      </c>
      <c r="AL23" s="309">
        <f>VLOOKUP(A23, 'S11 Work Stations'!$A$2:$C$45, 3, 0)*60</f>
        <v>2400</v>
      </c>
      <c r="AM23" s="309">
        <f t="shared" si="9"/>
        <v>2524800</v>
      </c>
      <c r="AN23" s="320">
        <f t="shared" si="10"/>
        <v>701.33333333333337</v>
      </c>
      <c r="AO23" s="310">
        <f t="shared" si="11"/>
        <v>897.26483999999994</v>
      </c>
      <c r="AP23" s="322">
        <f t="shared" si="12"/>
        <v>5187.657533333333</v>
      </c>
      <c r="AQ23" s="311">
        <f>'S23 Available Working Hours'!$D$2</f>
        <v>1600</v>
      </c>
      <c r="AR23" s="323" cm="1">
        <f t="array" ref="AR23">IFERROR(_xlfn.IFS(A23="WS-43", 2, A23="WS-44", 2), AP23/AQ23)</f>
        <v>3.242285958333333</v>
      </c>
    </row>
    <row r="24" spans="1:44">
      <c r="A24" s="314" t="str">
        <f>'S24 Required # of Machines'!A23</f>
        <v>WS-38</v>
      </c>
      <c r="B24" s="25">
        <v>20</v>
      </c>
      <c r="C24" s="23" t="s">
        <v>1020</v>
      </c>
      <c r="D24" s="3">
        <f t="shared" si="0"/>
        <v>8</v>
      </c>
      <c r="E24" s="305">
        <f>VLOOKUP(B24, 'S32 MTM Motion Elements'!$A$5:$H$25, MATCH(C24, 'S32 MTM Motion Elements'!$A$4:$F$4, 0), 1)</f>
        <v>8.6999999999999993</v>
      </c>
      <c r="F24" s="312" t="s">
        <v>1164</v>
      </c>
      <c r="G24" s="3">
        <f t="shared" si="1"/>
        <v>8</v>
      </c>
      <c r="H24" s="307">
        <f>VLOOKUP(F24, 'S32 MTM Motion Elements'!$B$30:$C$40, 2, 0)</f>
        <v>10.8</v>
      </c>
      <c r="I24" s="25">
        <v>46</v>
      </c>
      <c r="J24" s="3" t="s">
        <v>991</v>
      </c>
      <c r="K24" s="3">
        <f t="shared" si="2"/>
        <v>16</v>
      </c>
      <c r="L24" s="305">
        <f>VLOOKUP(I24, 'S32 MTM Motion Elements'!$A$46:$G$66, MATCH(J24, 'S32 MTM Motion Elements'!$A$45:$D$45, 0), 1)</f>
        <v>20.399999999999999</v>
      </c>
      <c r="M24" s="10" t="s">
        <v>1144</v>
      </c>
      <c r="N24" s="3" t="s">
        <v>1140</v>
      </c>
      <c r="O24" s="3" t="s">
        <v>1141</v>
      </c>
      <c r="P24" s="23">
        <v>8</v>
      </c>
      <c r="Q24" s="305" cm="1">
        <f t="array" ref="Q24">IF(O24="Easy", VLOOKUP(M24&amp;"-"&amp;N24, CHOOSE({1,2}, 'S32 MTM Motion Elements'!$B$71:$B$79&amp;"-"&amp;'S32 MTM Motion Elements'!$C$71:$C$79, 'S32 MTM Motion Elements'!$D$71:$D$79), 2, 0), VLOOKUP(M24&amp;"-"&amp;N24, CHOOSE({1,2}, 'S32 MTM Motion Elements'!$B$71:$B$79&amp;"-"&amp;'S32 MTM Motion Elements'!$C$71:$C$79, 'S32 MTM Motion Elements'!$E$71:$E$79), 2, 0))</f>
        <v>21</v>
      </c>
      <c r="R24" s="10" t="s">
        <v>1154</v>
      </c>
      <c r="S24" s="3">
        <f t="shared" si="3"/>
        <v>8</v>
      </c>
      <c r="T24" s="305">
        <f>VLOOKUP(R24, 'S32 MTM Motion Elements'!$A$84:$B$88, 2, 0)</f>
        <v>3</v>
      </c>
      <c r="U24" s="10" t="s">
        <v>1155</v>
      </c>
      <c r="V24" s="3" t="s">
        <v>1148</v>
      </c>
      <c r="W24" s="3">
        <f t="shared" si="13"/>
        <v>24</v>
      </c>
      <c r="X24" s="305">
        <f>VLOOKUP(U24, 'S32 MTM Motion Elements'!$A$93:$L$95, MATCH(V24, 'S32 MTM Motion Elements'!$A$92:$L$92, 0), 0)</f>
        <v>12.3</v>
      </c>
      <c r="Y24" s="10">
        <v>1</v>
      </c>
      <c r="Z24" s="3">
        <v>6</v>
      </c>
      <c r="AA24" s="305">
        <f>VLOOKUP(Y24, 'S32 MTM Motion Elements'!$A$100:$B$101, 2, 0)</f>
        <v>2</v>
      </c>
      <c r="AB24" s="10" t="s">
        <v>1149</v>
      </c>
      <c r="AC24" s="3" t="s">
        <v>1146</v>
      </c>
      <c r="AD24" s="43">
        <f t="shared" si="14"/>
        <v>8</v>
      </c>
      <c r="AE24" s="307">
        <f>VLOOKUP(AB24, 'S32 MTM Motion Elements'!$B$106:$E$108, IF(AC24="Easy", 3, 4), 0)</f>
        <v>34.700000000000003</v>
      </c>
      <c r="AF24" s="304">
        <f t="shared" si="6"/>
        <v>1259.2</v>
      </c>
      <c r="AG24" s="305">
        <f>AF24*'S32 MTM Motion Elements'!$C$118</f>
        <v>45.331199999999995</v>
      </c>
      <c r="AH24" s="316">
        <f>SUMIFS('S22 Required Machine Hours'!$C$2:$C$118, 'S22 Required Machine Hours'!$A$2:$A$118, A24)</f>
        <v>176193</v>
      </c>
      <c r="AI24" s="308">
        <f t="shared" si="7"/>
        <v>7987040.1215999993</v>
      </c>
      <c r="AJ24" s="307">
        <f t="shared" si="8"/>
        <v>2218.6222559999997</v>
      </c>
      <c r="AK24" s="318">
        <f>HLOOKUP(A24, 'S22 Required Machine Hours'!$S$37:$AR$38, 2, 0)</f>
        <v>639</v>
      </c>
      <c r="AL24" s="309">
        <f>VLOOKUP(A24, 'S11 Work Stations'!$A$2:$C$45, 3, 0)*60</f>
        <v>2100</v>
      </c>
      <c r="AM24" s="309">
        <f t="shared" si="9"/>
        <v>1341900</v>
      </c>
      <c r="AN24" s="320">
        <f t="shared" si="10"/>
        <v>372.75</v>
      </c>
      <c r="AO24" s="310">
        <f t="shared" si="11"/>
        <v>554.65556399999991</v>
      </c>
      <c r="AP24" s="322">
        <f t="shared" si="12"/>
        <v>3146.0278199999993</v>
      </c>
      <c r="AQ24" s="311">
        <f>'S23 Available Working Hours'!$D$2</f>
        <v>1600</v>
      </c>
      <c r="AR24" s="323" cm="1">
        <f t="array" ref="AR24">IFERROR(_xlfn.IFS(A24="WS-43", 2, A24="WS-44", 2), AP24/AQ24)</f>
        <v>1.9662673874999996</v>
      </c>
    </row>
    <row r="25" spans="1:44">
      <c r="A25" s="313" t="str">
        <f>'S24 Required # of Machines'!A24</f>
        <v>WS-40</v>
      </c>
      <c r="B25" s="10">
        <v>30</v>
      </c>
      <c r="C25" s="3" t="s">
        <v>994</v>
      </c>
      <c r="D25" s="3">
        <f t="shared" si="0"/>
        <v>8</v>
      </c>
      <c r="E25" s="305">
        <f>VLOOKUP(B25, 'S32 MTM Motion Elements'!$A$5:$H$25, MATCH(C25, 'S32 MTM Motion Elements'!$A$4:$F$4, 0), 1)</f>
        <v>12.9</v>
      </c>
      <c r="F25" s="312">
        <v>3</v>
      </c>
      <c r="G25" s="3">
        <f t="shared" si="1"/>
        <v>8</v>
      </c>
      <c r="H25" s="307">
        <f>VLOOKUP(F25, 'S32 MTM Motion Elements'!$B$30:$C$40, 2, 0)</f>
        <v>5.6</v>
      </c>
      <c r="I25" s="10">
        <v>43</v>
      </c>
      <c r="J25" s="3" t="s">
        <v>991</v>
      </c>
      <c r="K25" s="3">
        <f t="shared" si="2"/>
        <v>16</v>
      </c>
      <c r="L25" s="305">
        <f>VLOOKUP(I25, 'S32 MTM Motion Elements'!$A$46:$G$66, MATCH(J25, 'S32 MTM Motion Elements'!$A$45:$D$45, 0), 1)</f>
        <v>18.7</v>
      </c>
      <c r="M25" s="10" t="s">
        <v>1139</v>
      </c>
      <c r="N25" s="3" t="s">
        <v>1140</v>
      </c>
      <c r="O25" s="3" t="s">
        <v>1146</v>
      </c>
      <c r="P25" s="3">
        <v>8</v>
      </c>
      <c r="Q25" s="305" cm="1">
        <f t="array" ref="Q25">IF(O25="Easy", VLOOKUP(M25&amp;"-"&amp;N25, CHOOSE({1,2}, 'S32 MTM Motion Elements'!$B$71:$B$79&amp;"-"&amp;'S32 MTM Motion Elements'!$C$71:$C$79, 'S32 MTM Motion Elements'!$D$71:$D$79), 2, 0), VLOOKUP(M25&amp;"-"&amp;N25, CHOOSE({1,2}, 'S32 MTM Motion Elements'!$B$71:$B$79&amp;"-"&amp;'S32 MTM Motion Elements'!$C$71:$C$79, 'S32 MTM Motion Elements'!$E$71:$E$79), 2, 0))</f>
        <v>16</v>
      </c>
      <c r="R25" s="10" t="s">
        <v>1160</v>
      </c>
      <c r="S25" s="3">
        <f t="shared" si="3"/>
        <v>8</v>
      </c>
      <c r="T25" s="305">
        <f>VLOOKUP(R25, 'S32 MTM Motion Elements'!$A$84:$B$88, 2, 0)</f>
        <v>10.6</v>
      </c>
      <c r="U25" s="10" t="s">
        <v>1155</v>
      </c>
      <c r="V25" s="3" t="s">
        <v>1152</v>
      </c>
      <c r="W25" s="3">
        <f t="shared" si="13"/>
        <v>24</v>
      </c>
      <c r="X25" s="305">
        <f>VLOOKUP(U25, 'S32 MTM Motion Elements'!$A$93:$L$95, MATCH(V25, 'S32 MTM Motion Elements'!$A$92:$L$92, 0), 0)</f>
        <v>20.399999999999999</v>
      </c>
      <c r="Y25" s="10">
        <v>1</v>
      </c>
      <c r="Z25" s="3">
        <v>6</v>
      </c>
      <c r="AA25" s="305">
        <f>VLOOKUP(Y25, 'S32 MTM Motion Elements'!$A$100:$B$101, 2, 0)</f>
        <v>2</v>
      </c>
      <c r="AB25" s="10" t="s">
        <v>1144</v>
      </c>
      <c r="AC25" s="3" t="s">
        <v>1146</v>
      </c>
      <c r="AD25" s="43">
        <f t="shared" si="14"/>
        <v>8</v>
      </c>
      <c r="AE25" s="307">
        <f>VLOOKUP(AB25, 'S32 MTM Motion Elements'!$B$106:$E$108, IF(AC25="Easy", 3, 4), 0)</f>
        <v>11.8</v>
      </c>
      <c r="AF25" s="304">
        <f t="shared" si="6"/>
        <v>1256</v>
      </c>
      <c r="AG25" s="305">
        <f>AF25*'S32 MTM Motion Elements'!$C$118</f>
        <v>45.215999999999994</v>
      </c>
      <c r="AH25" s="316">
        <f>SUMIFS('S22 Required Machine Hours'!$C$2:$C$118, 'S22 Required Machine Hours'!$A$2:$A$118, A25)</f>
        <v>579209</v>
      </c>
      <c r="AI25" s="308">
        <f t="shared" si="7"/>
        <v>26189514.143999998</v>
      </c>
      <c r="AJ25" s="307">
        <f t="shared" si="8"/>
        <v>7274.8650399999997</v>
      </c>
      <c r="AK25" s="318">
        <f>HLOOKUP(A25, 'S22 Required Machine Hours'!$S$37:$AR$38, 2, 0)</f>
        <v>1648</v>
      </c>
      <c r="AL25" s="309">
        <f>VLOOKUP(A25, 'S11 Work Stations'!$A$2:$C$45, 3, 0)*60</f>
        <v>2400</v>
      </c>
      <c r="AM25" s="309">
        <f t="shared" si="9"/>
        <v>3955200</v>
      </c>
      <c r="AN25" s="320">
        <f t="shared" si="10"/>
        <v>1098.6666666666667</v>
      </c>
      <c r="AO25" s="310">
        <f t="shared" si="11"/>
        <v>1818.7162599999999</v>
      </c>
      <c r="AP25" s="322">
        <f t="shared" si="12"/>
        <v>10192.247966666666</v>
      </c>
      <c r="AQ25" s="311">
        <f>'S23 Available Working Hours'!$D$2</f>
        <v>1600</v>
      </c>
      <c r="AR25" s="323" cm="1">
        <f t="array" ref="AR25">IFERROR(_xlfn.IFS(A25="WS-43", 2, A25="WS-44", 2), AP25/AQ25)</f>
        <v>6.3701549791666663</v>
      </c>
    </row>
    <row r="26" spans="1:44">
      <c r="A26" s="313" t="str">
        <f>'S24 Required # of Machines'!A25</f>
        <v>WS-42</v>
      </c>
      <c r="B26" s="10">
        <v>45</v>
      </c>
      <c r="C26" s="3" t="s">
        <v>1020</v>
      </c>
      <c r="D26" s="3">
        <f t="shared" si="0"/>
        <v>8</v>
      </c>
      <c r="E26" s="305">
        <f>VLOOKUP(B26, 'S32 MTM Motion Elements'!$A$5:$H$25, MATCH(C26, 'S32 MTM Motion Elements'!$A$4:$F$4, 0), 1)</f>
        <v>14.2</v>
      </c>
      <c r="F26" s="312">
        <v>2</v>
      </c>
      <c r="G26" s="3">
        <f t="shared" si="1"/>
        <v>8</v>
      </c>
      <c r="H26" s="307">
        <f>VLOOKUP(F26, 'S32 MTM Motion Elements'!$B$30:$C$40, 2, 0)</f>
        <v>5.6</v>
      </c>
      <c r="I26" s="10">
        <v>24</v>
      </c>
      <c r="J26" s="3" t="s">
        <v>991</v>
      </c>
      <c r="K26" s="3">
        <f t="shared" si="2"/>
        <v>16</v>
      </c>
      <c r="L26" s="305">
        <f>VLOOKUP(I26, 'S32 MTM Motion Elements'!$A$46:$G$66, MATCH(J26, 'S32 MTM Motion Elements'!$A$45:$D$45, 0), 1)</f>
        <v>12.7</v>
      </c>
      <c r="M26" s="10" t="s">
        <v>1139</v>
      </c>
      <c r="N26" s="3" t="s">
        <v>1159</v>
      </c>
      <c r="O26" s="3" t="s">
        <v>1146</v>
      </c>
      <c r="P26" s="3">
        <v>8</v>
      </c>
      <c r="Q26" s="305" cm="1">
        <f t="array" ref="Q26">IF(O26="Easy", VLOOKUP(M26&amp;"-"&amp;N26, CHOOSE({1,2}, 'S32 MTM Motion Elements'!$B$71:$B$79&amp;"-"&amp;'S32 MTM Motion Elements'!$C$71:$C$79, 'S32 MTM Motion Elements'!$D$71:$D$79), 2, 0), VLOOKUP(M26&amp;"-"&amp;N26, CHOOSE({1,2}, 'S32 MTM Motion Elements'!$B$71:$B$79&amp;"-"&amp;'S32 MTM Motion Elements'!$C$71:$C$79, 'S32 MTM Motion Elements'!$E$71:$E$79), 2, 0))</f>
        <v>14.7</v>
      </c>
      <c r="R26" s="10" t="s">
        <v>1161</v>
      </c>
      <c r="S26" s="3">
        <f t="shared" si="3"/>
        <v>8</v>
      </c>
      <c r="T26" s="305">
        <f>VLOOKUP(R26, 'S32 MTM Motion Elements'!$A$84:$B$88, 2, 0)</f>
        <v>16.2</v>
      </c>
      <c r="U26" s="10" t="s">
        <v>1147</v>
      </c>
      <c r="V26" s="3" t="s">
        <v>1156</v>
      </c>
      <c r="W26" s="3">
        <f t="shared" si="13"/>
        <v>24</v>
      </c>
      <c r="X26" s="305">
        <f>VLOOKUP(U26, 'S32 MTM Motion Elements'!$A$93:$L$95, MATCH(V26, 'S32 MTM Motion Elements'!$A$92:$L$92, 0), 0)</f>
        <v>8.6</v>
      </c>
      <c r="Y26" s="10">
        <v>1</v>
      </c>
      <c r="Z26" s="3">
        <v>6</v>
      </c>
      <c r="AA26" s="305">
        <f>VLOOKUP(Y26, 'S32 MTM Motion Elements'!$A$100:$B$101, 2, 0)</f>
        <v>2</v>
      </c>
      <c r="AB26" s="10" t="s">
        <v>1139</v>
      </c>
      <c r="AC26" s="3" t="s">
        <v>1141</v>
      </c>
      <c r="AD26" s="43">
        <f t="shared" si="14"/>
        <v>8</v>
      </c>
      <c r="AE26" s="307">
        <f>VLOOKUP(AB26, 'S32 MTM Motion Elements'!$B$106:$E$108, IF(AC26="Easy", 3, 4), 0)</f>
        <v>4</v>
      </c>
      <c r="AF26" s="304">
        <f t="shared" si="6"/>
        <v>859.19999999999993</v>
      </c>
      <c r="AG26" s="305">
        <f>AF26*'S32 MTM Motion Elements'!$C$118</f>
        <v>30.931199999999997</v>
      </c>
      <c r="AH26" s="316">
        <f>SUMIFS('S22 Required Machine Hours'!$C$2:$C$118, 'S22 Required Machine Hours'!$A$2:$A$118, A26)</f>
        <v>86542</v>
      </c>
      <c r="AI26" s="308">
        <f t="shared" si="7"/>
        <v>2676847.9103999999</v>
      </c>
      <c r="AJ26" s="307">
        <f t="shared" si="8"/>
        <v>743.56886399999996</v>
      </c>
      <c r="AK26" s="318">
        <f>HLOOKUP(A26, 'S22 Required Machine Hours'!$S$37:$AR$38, 2, 0)</f>
        <v>0</v>
      </c>
      <c r="AL26" s="309">
        <f>VLOOKUP(A26, 'S11 Work Stations'!$A$2:$C$45, 3, 0)*60</f>
        <v>3600</v>
      </c>
      <c r="AM26" s="309">
        <f t="shared" si="9"/>
        <v>0</v>
      </c>
      <c r="AN26" s="320">
        <f t="shared" si="10"/>
        <v>0</v>
      </c>
      <c r="AO26" s="310">
        <f t="shared" si="11"/>
        <v>185.89221599999999</v>
      </c>
      <c r="AP26" s="322">
        <f t="shared" si="12"/>
        <v>929.46107999999992</v>
      </c>
      <c r="AQ26" s="311">
        <f>'S23 Available Working Hours'!$D$2</f>
        <v>1600</v>
      </c>
      <c r="AR26" s="323" cm="1">
        <f t="array" ref="AR26">IFERROR(_xlfn.IFS(A26="WS-43", 2, A26="WS-44", 2), AP26/AQ26)</f>
        <v>0.58091317499999995</v>
      </c>
    </row>
    <row r="27" spans="1:44">
      <c r="A27" s="313" t="str">
        <f>'S24 Required # of Machines'!A26</f>
        <v>WS-43</v>
      </c>
      <c r="B27" s="10">
        <v>40</v>
      </c>
      <c r="C27" s="3" t="s">
        <v>1020</v>
      </c>
      <c r="D27" s="3">
        <f t="shared" si="0"/>
        <v>8</v>
      </c>
      <c r="E27" s="305">
        <f>VLOOKUP(B27, 'S32 MTM Motion Elements'!$A$5:$H$25, MATCH(C27, 'S32 MTM Motion Elements'!$A$4:$F$4, 0), 1)</f>
        <v>13</v>
      </c>
      <c r="F27" s="312" t="s">
        <v>1138</v>
      </c>
      <c r="G27" s="3">
        <f t="shared" si="1"/>
        <v>8</v>
      </c>
      <c r="H27" s="307">
        <f>VLOOKUP(F27, 'S32 MTM Motion Elements'!$B$30:$C$40, 2, 0)</f>
        <v>2</v>
      </c>
      <c r="I27" s="10">
        <v>56</v>
      </c>
      <c r="J27" s="3" t="s">
        <v>991</v>
      </c>
      <c r="K27" s="3">
        <f t="shared" si="2"/>
        <v>16</v>
      </c>
      <c r="L27" s="305">
        <f>VLOOKUP(I27, 'S32 MTM Motion Elements'!$A$46:$G$66, MATCH(J27, 'S32 MTM Motion Elements'!$A$45:$D$45, 0), 1)</f>
        <v>23.8</v>
      </c>
      <c r="M27" s="10" t="s">
        <v>1158</v>
      </c>
      <c r="N27" s="3" t="s">
        <v>1145</v>
      </c>
      <c r="O27" s="3" t="s">
        <v>1141</v>
      </c>
      <c r="P27" s="3">
        <v>8</v>
      </c>
      <c r="Q27" s="305" cm="1">
        <f t="array" ref="Q27">IF(O27="Easy", VLOOKUP(M27&amp;"-"&amp;N27, CHOOSE({1,2}, 'S32 MTM Motion Elements'!$B$71:$B$79&amp;"-"&amp;'S32 MTM Motion Elements'!$C$71:$C$79, 'S32 MTM Motion Elements'!$D$71:$D$79), 2, 0), VLOOKUP(M27&amp;"-"&amp;N27, CHOOSE({1,2}, 'S32 MTM Motion Elements'!$B$71:$B$79&amp;"-"&amp;'S32 MTM Motion Elements'!$C$71:$C$79, 'S32 MTM Motion Elements'!$E$71:$E$79), 2, 0))</f>
        <v>43</v>
      </c>
      <c r="R27" s="10" t="s">
        <v>1160</v>
      </c>
      <c r="S27" s="3">
        <f t="shared" si="3"/>
        <v>8</v>
      </c>
      <c r="T27" s="305">
        <f>VLOOKUP(R27, 'S32 MTM Motion Elements'!$A$84:$B$88, 2, 0)</f>
        <v>10.6</v>
      </c>
      <c r="U27" s="10" t="s">
        <v>1155</v>
      </c>
      <c r="V27" s="3" t="s">
        <v>1148</v>
      </c>
      <c r="W27" s="3">
        <f t="shared" si="13"/>
        <v>24</v>
      </c>
      <c r="X27" s="305">
        <f>VLOOKUP(U27, 'S32 MTM Motion Elements'!$A$93:$L$95, MATCH(V27, 'S32 MTM Motion Elements'!$A$92:$L$92, 0), 0)</f>
        <v>12.3</v>
      </c>
      <c r="Y27" s="10">
        <v>1</v>
      </c>
      <c r="Z27" s="3">
        <v>6</v>
      </c>
      <c r="AA27" s="305">
        <f>VLOOKUP(Y27, 'S32 MTM Motion Elements'!$A$100:$B$101, 2, 0)</f>
        <v>2</v>
      </c>
      <c r="AB27" s="10" t="s">
        <v>1144</v>
      </c>
      <c r="AC27" s="3" t="s">
        <v>1146</v>
      </c>
      <c r="AD27" s="43">
        <f t="shared" si="14"/>
        <v>8</v>
      </c>
      <c r="AE27" s="307">
        <f>VLOOKUP(AB27, 'S32 MTM Motion Elements'!$B$106:$E$108, IF(AC27="Easy", 3, 4), 0)</f>
        <v>11.8</v>
      </c>
      <c r="AF27" s="304">
        <f t="shared" si="6"/>
        <v>1331.2</v>
      </c>
      <c r="AG27" s="305">
        <f>AF27*'S32 MTM Motion Elements'!$C$118</f>
        <v>47.923200000000001</v>
      </c>
      <c r="AH27" s="316">
        <f>SUMIFS('S22 Required Machine Hours'!$C$2:$C$118, 'S22 Required Machine Hours'!$A$2:$A$118, A27)</f>
        <v>1180646</v>
      </c>
      <c r="AI27" s="308">
        <f t="shared" si="7"/>
        <v>56580334.387199998</v>
      </c>
      <c r="AJ27" s="307">
        <f t="shared" si="8"/>
        <v>15716.759552</v>
      </c>
      <c r="AK27" s="318">
        <f>HLOOKUP(A27, 'S22 Required Machine Hours'!$S$37:$AR$38, 2, 0)</f>
        <v>5043</v>
      </c>
      <c r="AL27" s="309">
        <f>VLOOKUP(A27, 'S11 Work Stations'!$A$2:$C$45, 3, 0)*60</f>
        <v>60</v>
      </c>
      <c r="AM27" s="309">
        <f t="shared" si="9"/>
        <v>302580</v>
      </c>
      <c r="AN27" s="320">
        <f t="shared" si="10"/>
        <v>84.05</v>
      </c>
      <c r="AO27" s="310">
        <f t="shared" si="11"/>
        <v>3929.1898879999999</v>
      </c>
      <c r="AP27" s="322">
        <f t="shared" si="12"/>
        <v>19729.99944</v>
      </c>
      <c r="AQ27" s="311">
        <f>'S23 Available Working Hours'!$D$2</f>
        <v>1600</v>
      </c>
      <c r="AR27" s="323" cm="1">
        <f t="array" ref="AR27">IFERROR(_xlfn.IFS(A27="WS-43", 2, A27="WS-44", 2), AP27/AQ27)</f>
        <v>2</v>
      </c>
    </row>
    <row r="28" spans="1:44" ht="17" thickBot="1">
      <c r="A28" s="315" t="str">
        <f>'S24 Required # of Machines'!A27</f>
        <v>WS-44</v>
      </c>
      <c r="B28" s="139">
        <v>35</v>
      </c>
      <c r="C28" s="140" t="s">
        <v>1020</v>
      </c>
      <c r="D28" s="140">
        <f t="shared" si="0"/>
        <v>8</v>
      </c>
      <c r="E28" s="305">
        <f>VLOOKUP(B28, 'S32 MTM Motion Elements'!$A$5:$H$25, MATCH(C28, 'S32 MTM Motion Elements'!$A$4:$F$4, 0), 1)</f>
        <v>11.8</v>
      </c>
      <c r="F28" s="326" t="s">
        <v>1153</v>
      </c>
      <c r="G28" s="140">
        <f t="shared" si="1"/>
        <v>8</v>
      </c>
      <c r="H28" s="307">
        <f>VLOOKUP(F28, 'S32 MTM Motion Elements'!$B$30:$C$40, 2, 0)</f>
        <v>7.3</v>
      </c>
      <c r="I28" s="139">
        <v>67</v>
      </c>
      <c r="J28" s="140" t="s">
        <v>991</v>
      </c>
      <c r="K28" s="140">
        <f t="shared" si="2"/>
        <v>16</v>
      </c>
      <c r="L28" s="305">
        <f>VLOOKUP(I28, 'S32 MTM Motion Elements'!$A$46:$G$66, MATCH(J28, 'S32 MTM Motion Elements'!$A$45:$D$45, 0), 1)</f>
        <v>27.3</v>
      </c>
      <c r="M28" s="139" t="s">
        <v>1144</v>
      </c>
      <c r="N28" s="140" t="s">
        <v>1140</v>
      </c>
      <c r="O28" s="140" t="s">
        <v>1146</v>
      </c>
      <c r="P28" s="140">
        <v>8</v>
      </c>
      <c r="Q28" s="305" cm="1">
        <f t="array" ref="Q28">IF(O28="Easy", VLOOKUP(M28&amp;"-"&amp;N28, CHOOSE({1,2}, 'S32 MTM Motion Elements'!$B$71:$B$79&amp;"-"&amp;'S32 MTM Motion Elements'!$C$71:$C$79, 'S32 MTM Motion Elements'!$D$71:$D$79), 2, 0), VLOOKUP(M28&amp;"-"&amp;N28, CHOOSE({1,2}, 'S32 MTM Motion Elements'!$B$71:$B$79&amp;"-"&amp;'S32 MTM Motion Elements'!$C$71:$C$79, 'S32 MTM Motion Elements'!$E$71:$E$79), 2, 0))</f>
        <v>26.6</v>
      </c>
      <c r="R28" s="139" t="s">
        <v>1161</v>
      </c>
      <c r="S28" s="140">
        <f t="shared" si="3"/>
        <v>8</v>
      </c>
      <c r="T28" s="305">
        <f>VLOOKUP(R28, 'S32 MTM Motion Elements'!$A$84:$B$88, 2, 0)</f>
        <v>16.2</v>
      </c>
      <c r="U28" s="139" t="s">
        <v>1155</v>
      </c>
      <c r="V28" s="140" t="s">
        <v>1152</v>
      </c>
      <c r="W28" s="140">
        <f t="shared" si="13"/>
        <v>24</v>
      </c>
      <c r="X28" s="305">
        <f>VLOOKUP(U28, 'S32 MTM Motion Elements'!$A$93:$L$95, MATCH(V28, 'S32 MTM Motion Elements'!$A$92:$L$92, 0), 0)</f>
        <v>20.399999999999999</v>
      </c>
      <c r="Y28" s="139">
        <v>1</v>
      </c>
      <c r="Z28" s="140">
        <v>6</v>
      </c>
      <c r="AA28" s="305">
        <f>VLOOKUP(Y28, 'S32 MTM Motion Elements'!$A$100:$B$101, 2, 0)</f>
        <v>2</v>
      </c>
      <c r="AB28" s="139" t="s">
        <v>1149</v>
      </c>
      <c r="AC28" s="140" t="s">
        <v>1146</v>
      </c>
      <c r="AD28" s="327">
        <f t="shared" si="14"/>
        <v>8</v>
      </c>
      <c r="AE28" s="307">
        <f>VLOOKUP(AB28, 'S32 MTM Motion Elements'!$B$106:$E$108, IF(AC28="Easy", 3, 4), 0)</f>
        <v>34.700000000000003</v>
      </c>
      <c r="AF28" s="304">
        <f t="shared" si="6"/>
        <v>1711.2000000000003</v>
      </c>
      <c r="AG28" s="305">
        <f>AF28*'S32 MTM Motion Elements'!$C$118</f>
        <v>61.603200000000008</v>
      </c>
      <c r="AH28" s="316">
        <f>SUMIFS('S22 Required Machine Hours'!$C$2:$C$118, 'S22 Required Machine Hours'!$A$2:$A$118, A28)</f>
        <v>1180646</v>
      </c>
      <c r="AI28" s="308">
        <f t="shared" si="7"/>
        <v>72731571.667200014</v>
      </c>
      <c r="AJ28" s="307">
        <f t="shared" si="8"/>
        <v>20203.214352000003</v>
      </c>
      <c r="AK28" s="318">
        <f>HLOOKUP(A28, 'S22 Required Machine Hours'!$S$37:$AR$38, 2, 0)</f>
        <v>5043</v>
      </c>
      <c r="AL28" s="309">
        <f>VLOOKUP(A28, 'S11 Work Stations'!$A$2:$C$45, 3, 0)*60</f>
        <v>60</v>
      </c>
      <c r="AM28" s="309">
        <f t="shared" si="9"/>
        <v>302580</v>
      </c>
      <c r="AN28" s="320">
        <f t="shared" si="10"/>
        <v>84.05</v>
      </c>
      <c r="AO28" s="310">
        <f t="shared" si="11"/>
        <v>5050.8035880000007</v>
      </c>
      <c r="AP28" s="322">
        <f t="shared" si="12"/>
        <v>25338.067940000001</v>
      </c>
      <c r="AQ28" s="311">
        <f>'S23 Available Working Hours'!$D$2</f>
        <v>1600</v>
      </c>
      <c r="AR28" s="323" cm="1">
        <f t="array" ref="AR28">IFERROR(_xlfn.IFS(A28="WS-43", 2, A28="WS-44", 2), AP28/AQ28)</f>
        <v>2</v>
      </c>
    </row>
    <row r="29" spans="1:44" ht="17" thickBot="1">
      <c r="AR29" s="461">
        <f>ROUNDUP(SUM(AR3:AR28),0)</f>
        <v>67</v>
      </c>
    </row>
  </sheetData>
  <mergeCells count="18">
    <mergeCell ref="R1:T1"/>
    <mergeCell ref="A1:A2"/>
    <mergeCell ref="B1:E1"/>
    <mergeCell ref="F1:H1"/>
    <mergeCell ref="I1:L1"/>
    <mergeCell ref="M1:Q1"/>
    <mergeCell ref="AR1:AR2"/>
    <mergeCell ref="U1:X1"/>
    <mergeCell ref="Y1:AA1"/>
    <mergeCell ref="AB1:AE1"/>
    <mergeCell ref="AF1:AF2"/>
    <mergeCell ref="AG1:AG2"/>
    <mergeCell ref="AH1:AH2"/>
    <mergeCell ref="AI1:AI2"/>
    <mergeCell ref="AJ1:AJ2"/>
    <mergeCell ref="AK1:AN1"/>
    <mergeCell ref="AP1:AP2"/>
    <mergeCell ref="AQ1:A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</vt:i4>
      </vt:variant>
    </vt:vector>
  </HeadingPairs>
  <TitlesOfParts>
    <vt:vector size="34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  <vt:lpstr>S22 Required Machine Hours</vt:lpstr>
      <vt:lpstr>S23 Available Working Hours</vt:lpstr>
      <vt:lpstr>S24 Required # of Machines</vt:lpstr>
      <vt:lpstr>S25 Space Coefficient</vt:lpstr>
      <vt:lpstr>S26 Space Requirements</vt:lpstr>
      <vt:lpstr>S27 Material Flow Matrix</vt:lpstr>
      <vt:lpstr>S28 Transportation Matrix</vt:lpstr>
      <vt:lpstr>S29 Distances Matrix</vt:lpstr>
      <vt:lpstr>S30 Transport Intensity Matrix</vt:lpstr>
      <vt:lpstr>S31 Draft Block Layout</vt:lpstr>
      <vt:lpstr>S32 MTM Motion Elements</vt:lpstr>
      <vt:lpstr>S33 Required # Operators</vt:lpstr>
      <vt:lpstr>MakeBuy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2019-02-12T08:38:12Z</dcterms:created>
  <dcterms:modified xsi:type="dcterms:W3CDTF">2022-05-05T09:11:27Z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